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n\Downloads\"/>
    </mc:Choice>
  </mc:AlternateContent>
  <xr:revisionPtr revIDLastSave="0" documentId="13_ncr:1_{502A77A9-BF24-4D43-BB21-8C7B6AEAE75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2024-05-08" sheetId="9" r:id="rId1"/>
    <sheet name="Dashboard" sheetId="8" r:id="rId2"/>
    <sheet name="MHT" sheetId="4" r:id="rId3"/>
    <sheet name="Deliverables" sheetId="6" state="hidden" r:id="rId4"/>
    <sheet name="Raw" sheetId="5" state="hidden" r:id="rId5"/>
  </sheets>
  <functionGroups builtInGroupCount="19"/>
  <definedNames>
    <definedName name="_xlnm._FilterDatabase" localSheetId="2" hidden="1">MHT!$A$8:$F$1447</definedName>
    <definedName name="_xlnm._FilterDatabase" localSheetId="4" hidden="1">Raw!$A$2:$A$8</definedName>
    <definedName name="_xlnm.Criteria" localSheetId="2">MHT!#REF!</definedName>
    <definedName name="_xlnm.Criteria" localSheetId="4">Raw!#REF!</definedName>
    <definedName name="_xlnm.Extract" localSheetId="2">MHT!$A$9</definedName>
    <definedName name="_xlnm.Extract" localSheetId="4">Raw!$ZZ$5</definedName>
    <definedName name="PauseRange">MHT!#REF!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4" l="1" a="1"/>
  <c r="F16" i="4" s="1"/>
  <c r="F17" i="4" a="1"/>
  <c r="F17" i="4" s="1"/>
  <c r="F18" i="4" a="1"/>
  <c r="F18" i="4" s="1"/>
  <c r="F19" i="4" a="1"/>
  <c r="F19" i="4" s="1"/>
  <c r="F20" i="4" a="1"/>
  <c r="F20" i="4" s="1"/>
  <c r="F21" i="4" a="1"/>
  <c r="F21" i="4" s="1"/>
  <c r="F22" i="4" a="1"/>
  <c r="F22" i="4" s="1"/>
  <c r="F23" i="4" a="1"/>
  <c r="F23" i="4" s="1"/>
  <c r="F24" i="4" a="1"/>
  <c r="F24" i="4" s="1"/>
  <c r="F25" i="4" a="1"/>
  <c r="F25" i="4" s="1"/>
  <c r="F26" i="4" a="1"/>
  <c r="F26" i="4" s="1"/>
  <c r="F27" i="4" a="1"/>
  <c r="F27" i="4" s="1"/>
  <c r="F28" i="4" a="1"/>
  <c r="F28" i="4" s="1"/>
  <c r="F29" i="4" a="1"/>
  <c r="F29" i="4" s="1"/>
  <c r="F30" i="4" a="1"/>
  <c r="F30" i="4" s="1"/>
  <c r="F31" i="4" a="1"/>
  <c r="F31" i="4" s="1"/>
  <c r="F32" i="4" a="1"/>
  <c r="F32" i="4" s="1"/>
  <c r="F33" i="4" a="1"/>
  <c r="F33" i="4" s="1"/>
  <c r="F34" i="4" a="1"/>
  <c r="F34" i="4" s="1"/>
  <c r="F35" i="4" a="1"/>
  <c r="F35" i="4" s="1"/>
  <c r="F36" i="4" a="1"/>
  <c r="F36" i="4" s="1"/>
  <c r="F37" i="4" a="1"/>
  <c r="F37" i="4" s="1"/>
  <c r="F38" i="4" a="1"/>
  <c r="F38" i="4" s="1"/>
  <c r="F39" i="4" a="1"/>
  <c r="F39" i="4" s="1"/>
  <c r="F40" i="4" a="1"/>
  <c r="F40" i="4" s="1"/>
  <c r="F41" i="4" a="1"/>
  <c r="F41" i="4" s="1"/>
  <c r="F42" i="4" a="1"/>
  <c r="F42" i="4" s="1"/>
  <c r="F43" i="4" a="1"/>
  <c r="F43" i="4" s="1"/>
  <c r="F44" i="4" a="1"/>
  <c r="F44" i="4" s="1"/>
  <c r="F45" i="4" a="1"/>
  <c r="F45" i="4" s="1"/>
  <c r="F46" i="4" a="1"/>
  <c r="F46" i="4" s="1"/>
  <c r="F47" i="4" a="1"/>
  <c r="F47" i="4" s="1"/>
  <c r="F48" i="4" a="1"/>
  <c r="F48" i="4" s="1"/>
  <c r="F49" i="4" a="1"/>
  <c r="F49" i="4" s="1"/>
  <c r="F50" i="4" a="1"/>
  <c r="F50" i="4" s="1"/>
  <c r="F51" i="4" a="1"/>
  <c r="F51" i="4" s="1"/>
  <c r="F52" i="4" a="1"/>
  <c r="F52" i="4" s="1"/>
  <c r="F53" i="4" a="1"/>
  <c r="F53" i="4" s="1"/>
  <c r="F54" i="4" a="1"/>
  <c r="F54" i="4" s="1"/>
  <c r="F55" i="4" a="1"/>
  <c r="F55" i="4" s="1"/>
  <c r="F56" i="4" a="1"/>
  <c r="F56" i="4" s="1"/>
  <c r="F57" i="4" a="1"/>
  <c r="F57" i="4" s="1"/>
  <c r="F58" i="4" a="1"/>
  <c r="F58" i="4" s="1"/>
  <c r="F59" i="4" a="1"/>
  <c r="F59" i="4" s="1"/>
  <c r="F60" i="4" a="1"/>
  <c r="F60" i="4" s="1"/>
  <c r="F61" i="4" a="1"/>
  <c r="F61" i="4" s="1"/>
  <c r="F62" i="4" a="1"/>
  <c r="F62" i="4" s="1"/>
  <c r="F63" i="4" a="1"/>
  <c r="F63" i="4" s="1"/>
  <c r="F64" i="4" a="1"/>
  <c r="F64" i="4" s="1"/>
  <c r="F65" i="4" a="1"/>
  <c r="F65" i="4" s="1"/>
  <c r="F66" i="4" a="1"/>
  <c r="F66" i="4" s="1"/>
  <c r="F67" i="4" a="1"/>
  <c r="F67" i="4" s="1"/>
  <c r="F68" i="4" a="1"/>
  <c r="F68" i="4" s="1"/>
  <c r="F69" i="4" a="1"/>
  <c r="F69" i="4" s="1"/>
  <c r="F70" i="4" a="1"/>
  <c r="F70" i="4" s="1"/>
  <c r="F71" i="4" a="1"/>
  <c r="F71" i="4" s="1"/>
  <c r="F72" i="4" a="1"/>
  <c r="F72" i="4" s="1"/>
  <c r="F73" i="4" a="1"/>
  <c r="F73" i="4" s="1"/>
  <c r="F74" i="4" a="1"/>
  <c r="F74" i="4" s="1"/>
  <c r="F75" i="4" a="1"/>
  <c r="F75" i="4" s="1"/>
  <c r="F76" i="4" a="1"/>
  <c r="F76" i="4" s="1"/>
  <c r="F77" i="4" a="1"/>
  <c r="F77" i="4" s="1"/>
  <c r="F78" i="4" a="1"/>
  <c r="F78" i="4" s="1"/>
  <c r="F79" i="4" a="1"/>
  <c r="F79" i="4" s="1"/>
  <c r="F80" i="4" a="1"/>
  <c r="F80" i="4" s="1"/>
  <c r="F81" i="4" a="1"/>
  <c r="F81" i="4" s="1"/>
  <c r="F82" i="4" a="1"/>
  <c r="F82" i="4" s="1"/>
  <c r="F83" i="4" a="1"/>
  <c r="F83" i="4" s="1"/>
  <c r="F84" i="4" a="1"/>
  <c r="F84" i="4" s="1"/>
  <c r="F85" i="4" a="1"/>
  <c r="F85" i="4" s="1"/>
  <c r="F86" i="4" a="1"/>
  <c r="F86" i="4" s="1"/>
  <c r="F87" i="4" a="1"/>
  <c r="F87" i="4" s="1"/>
  <c r="F88" i="4" a="1"/>
  <c r="F88" i="4" s="1"/>
  <c r="F89" i="4" a="1"/>
  <c r="F89" i="4" s="1"/>
  <c r="F90" i="4" a="1"/>
  <c r="F90" i="4" s="1"/>
  <c r="F91" i="4" a="1"/>
  <c r="F91" i="4" s="1"/>
  <c r="F92" i="4" a="1"/>
  <c r="F92" i="4" s="1"/>
  <c r="F93" i="4" a="1"/>
  <c r="F93" i="4" s="1"/>
  <c r="F94" i="4" a="1"/>
  <c r="F94" i="4" s="1"/>
  <c r="F95" i="4" a="1"/>
  <c r="F95" i="4" s="1"/>
  <c r="F96" i="4" a="1"/>
  <c r="F96" i="4" s="1"/>
  <c r="F97" i="4" a="1"/>
  <c r="F97" i="4" s="1"/>
  <c r="F98" i="4" a="1"/>
  <c r="F98" i="4" s="1"/>
  <c r="F99" i="4" a="1"/>
  <c r="F99" i="4" s="1"/>
  <c r="F100" i="4" a="1"/>
  <c r="F100" i="4" s="1"/>
  <c r="F101" i="4" a="1"/>
  <c r="F101" i="4" s="1"/>
  <c r="F102" i="4" a="1"/>
  <c r="F102" i="4" s="1"/>
  <c r="F103" i="4" a="1"/>
  <c r="F103" i="4" s="1"/>
  <c r="F104" i="4" a="1"/>
  <c r="F104" i="4" s="1"/>
  <c r="F105" i="4" a="1"/>
  <c r="F105" i="4" s="1"/>
  <c r="F106" i="4" a="1"/>
  <c r="F106" i="4" s="1"/>
  <c r="F107" i="4" a="1"/>
  <c r="F107" i="4" s="1"/>
  <c r="F108" i="4" a="1"/>
  <c r="F108" i="4" s="1"/>
  <c r="F109" i="4" a="1"/>
  <c r="F109" i="4" s="1"/>
  <c r="F110" i="4" a="1"/>
  <c r="F110" i="4" s="1"/>
  <c r="F111" i="4" a="1"/>
  <c r="F111" i="4" s="1"/>
  <c r="F112" i="4" a="1"/>
  <c r="F112" i="4" s="1"/>
  <c r="F113" i="4" a="1"/>
  <c r="F113" i="4" s="1"/>
  <c r="F114" i="4" a="1"/>
  <c r="F114" i="4" s="1"/>
  <c r="F115" i="4" a="1"/>
  <c r="F115" i="4" s="1"/>
  <c r="F116" i="4" a="1"/>
  <c r="F116" i="4" s="1"/>
  <c r="F117" i="4" a="1"/>
  <c r="F117" i="4" s="1"/>
  <c r="F118" i="4" a="1"/>
  <c r="F118" i="4" s="1"/>
  <c r="F119" i="4" a="1"/>
  <c r="F119" i="4" s="1"/>
  <c r="F120" i="4" a="1"/>
  <c r="F120" i="4" s="1"/>
  <c r="F121" i="4" a="1"/>
  <c r="F121" i="4" s="1"/>
  <c r="F122" i="4" a="1"/>
  <c r="F122" i="4" s="1"/>
  <c r="F123" i="4" a="1"/>
  <c r="F123" i="4" s="1"/>
  <c r="F124" i="4" a="1"/>
  <c r="F124" i="4" s="1"/>
  <c r="F125" i="4" a="1"/>
  <c r="F125" i="4" s="1"/>
  <c r="F126" i="4" a="1"/>
  <c r="F126" i="4" s="1"/>
  <c r="F127" i="4" a="1"/>
  <c r="F127" i="4" s="1"/>
  <c r="F128" i="4" a="1"/>
  <c r="F128" i="4" s="1"/>
  <c r="F129" i="4" a="1"/>
  <c r="F129" i="4" s="1"/>
  <c r="F130" i="4" a="1"/>
  <c r="F130" i="4" s="1"/>
  <c r="F131" i="4" a="1"/>
  <c r="F131" i="4" s="1"/>
  <c r="F132" i="4" a="1"/>
  <c r="F132" i="4" s="1"/>
  <c r="F133" i="4" a="1"/>
  <c r="F133" i="4" s="1"/>
  <c r="F134" i="4" a="1"/>
  <c r="F134" i="4" s="1"/>
  <c r="F135" i="4" a="1"/>
  <c r="F135" i="4" s="1"/>
  <c r="F136" i="4" a="1"/>
  <c r="F136" i="4" s="1"/>
  <c r="F137" i="4" a="1"/>
  <c r="F137" i="4" s="1"/>
  <c r="F138" i="4" a="1"/>
  <c r="F138" i="4" s="1"/>
  <c r="F139" i="4" a="1"/>
  <c r="F139" i="4" s="1"/>
  <c r="F140" i="4" a="1"/>
  <c r="F140" i="4" s="1"/>
  <c r="F141" i="4" a="1"/>
  <c r="F141" i="4" s="1"/>
  <c r="F142" i="4" a="1"/>
  <c r="F142" i="4" s="1"/>
  <c r="F143" i="4" a="1"/>
  <c r="F143" i="4" s="1"/>
  <c r="F144" i="4" a="1"/>
  <c r="F144" i="4" s="1"/>
  <c r="F145" i="4" a="1"/>
  <c r="F145" i="4" s="1"/>
  <c r="F146" i="4" a="1"/>
  <c r="F146" i="4" s="1"/>
  <c r="F147" i="4" a="1"/>
  <c r="F147" i="4" s="1"/>
  <c r="F148" i="4" a="1"/>
  <c r="F148" i="4" s="1"/>
  <c r="F149" i="4" a="1"/>
  <c r="F149" i="4" s="1"/>
  <c r="F150" i="4" a="1"/>
  <c r="F150" i="4" s="1"/>
  <c r="F151" i="4" a="1"/>
  <c r="F151" i="4" s="1"/>
  <c r="F152" i="4" a="1"/>
  <c r="F152" i="4" s="1"/>
  <c r="F153" i="4" a="1"/>
  <c r="F153" i="4" s="1"/>
  <c r="F154" i="4" a="1"/>
  <c r="F154" i="4" s="1"/>
  <c r="F155" i="4" a="1"/>
  <c r="F155" i="4" s="1"/>
  <c r="F156" i="4" a="1"/>
  <c r="F156" i="4" s="1"/>
  <c r="F157" i="4" a="1"/>
  <c r="F157" i="4" s="1"/>
  <c r="F158" i="4" a="1"/>
  <c r="F158" i="4" s="1"/>
  <c r="F159" i="4" a="1"/>
  <c r="F159" i="4" s="1"/>
  <c r="F160" i="4" a="1"/>
  <c r="F160" i="4" s="1"/>
  <c r="F161" i="4" a="1"/>
  <c r="F161" i="4" s="1"/>
  <c r="F162" i="4" a="1"/>
  <c r="F162" i="4" s="1"/>
  <c r="F163" i="4" a="1"/>
  <c r="F163" i="4" s="1"/>
  <c r="F164" i="4" a="1"/>
  <c r="F164" i="4" s="1"/>
  <c r="F165" i="4" a="1"/>
  <c r="F165" i="4" s="1"/>
  <c r="F166" i="4" a="1"/>
  <c r="F166" i="4" s="1"/>
  <c r="F167" i="4" a="1"/>
  <c r="F167" i="4" s="1"/>
  <c r="F168" i="4" a="1"/>
  <c r="F168" i="4" s="1"/>
  <c r="F169" i="4" a="1"/>
  <c r="F169" i="4" s="1"/>
  <c r="F170" i="4" a="1"/>
  <c r="F170" i="4" s="1"/>
  <c r="F171" i="4" a="1"/>
  <c r="F171" i="4" s="1"/>
  <c r="F172" i="4" a="1"/>
  <c r="F172" i="4" s="1"/>
  <c r="F173" i="4" a="1"/>
  <c r="F173" i="4" s="1"/>
  <c r="F174" i="4" a="1"/>
  <c r="F174" i="4" s="1"/>
  <c r="F175" i="4" a="1"/>
  <c r="F175" i="4" s="1"/>
  <c r="F176" i="4" a="1"/>
  <c r="F176" i="4" s="1"/>
  <c r="F177" i="4" a="1"/>
  <c r="F177" i="4" s="1"/>
  <c r="F178" i="4" a="1"/>
  <c r="F178" i="4" s="1"/>
  <c r="F179" i="4" a="1"/>
  <c r="F179" i="4" s="1"/>
  <c r="F180" i="4" a="1"/>
  <c r="F180" i="4" s="1"/>
  <c r="F181" i="4" a="1"/>
  <c r="F181" i="4" s="1"/>
  <c r="F182" i="4" a="1"/>
  <c r="F182" i="4" s="1"/>
  <c r="F183" i="4" a="1"/>
  <c r="F183" i="4" s="1"/>
  <c r="F184" i="4" a="1"/>
  <c r="F184" i="4" s="1"/>
  <c r="F185" i="4" a="1"/>
  <c r="F185" i="4" s="1"/>
  <c r="F186" i="4" a="1"/>
  <c r="F186" i="4" s="1"/>
  <c r="F187" i="4" a="1"/>
  <c r="F187" i="4" s="1"/>
  <c r="F188" i="4" a="1"/>
  <c r="F188" i="4" s="1"/>
  <c r="F189" i="4" a="1"/>
  <c r="F189" i="4" s="1"/>
  <c r="F190" i="4" a="1"/>
  <c r="F190" i="4" s="1"/>
  <c r="F191" i="4" a="1"/>
  <c r="F191" i="4" s="1"/>
  <c r="F192" i="4" a="1"/>
  <c r="F192" i="4" s="1"/>
  <c r="F193" i="4" a="1"/>
  <c r="F193" i="4" s="1"/>
  <c r="F194" i="4" a="1"/>
  <c r="F194" i="4" s="1"/>
  <c r="F195" i="4" a="1"/>
  <c r="F195" i="4" s="1"/>
  <c r="F196" i="4" a="1"/>
  <c r="F196" i="4" s="1"/>
  <c r="F197" i="4" a="1"/>
  <c r="F197" i="4" s="1"/>
  <c r="F198" i="4" a="1"/>
  <c r="F198" i="4" s="1"/>
  <c r="F199" i="4" a="1"/>
  <c r="F199" i="4" s="1"/>
  <c r="F200" i="4" a="1"/>
  <c r="F200" i="4" s="1"/>
  <c r="F201" i="4" a="1"/>
  <c r="F201" i="4" s="1"/>
  <c r="F202" i="4" a="1"/>
  <c r="F202" i="4" s="1"/>
  <c r="F203" i="4" a="1"/>
  <c r="F203" i="4" s="1"/>
  <c r="F204" i="4" a="1"/>
  <c r="F204" i="4" s="1"/>
  <c r="F205" i="4" a="1"/>
  <c r="F205" i="4" s="1"/>
  <c r="F206" i="4" a="1"/>
  <c r="F206" i="4" s="1"/>
  <c r="F207" i="4" a="1"/>
  <c r="F207" i="4" s="1"/>
  <c r="F208" i="4" a="1"/>
  <c r="F208" i="4" s="1"/>
  <c r="F209" i="4" a="1"/>
  <c r="F209" i="4" s="1"/>
  <c r="F210" i="4" a="1"/>
  <c r="F210" i="4" s="1"/>
  <c r="F211" i="4" a="1"/>
  <c r="F211" i="4" s="1"/>
  <c r="F212" i="4" a="1"/>
  <c r="F212" i="4" s="1"/>
  <c r="F213" i="4" a="1"/>
  <c r="F213" i="4" s="1"/>
  <c r="F214" i="4" a="1"/>
  <c r="F214" i="4" s="1"/>
  <c r="F215" i="4" a="1"/>
  <c r="F215" i="4" s="1"/>
  <c r="F216" i="4" a="1"/>
  <c r="F216" i="4" s="1"/>
  <c r="F217" i="4" a="1"/>
  <c r="F217" i="4" s="1"/>
  <c r="F218" i="4" a="1"/>
  <c r="F218" i="4" s="1"/>
  <c r="F219" i="4" a="1"/>
  <c r="F219" i="4" s="1"/>
  <c r="F220" i="4" a="1"/>
  <c r="F220" i="4" s="1"/>
  <c r="F221" i="4" a="1"/>
  <c r="F221" i="4" s="1"/>
  <c r="F222" i="4" a="1"/>
  <c r="F222" i="4" s="1"/>
  <c r="F223" i="4" a="1"/>
  <c r="F223" i="4" s="1"/>
  <c r="F224" i="4" a="1"/>
  <c r="F224" i="4" s="1"/>
  <c r="F225" i="4" a="1"/>
  <c r="F225" i="4" s="1"/>
  <c r="F226" i="4" a="1"/>
  <c r="F226" i="4" s="1"/>
  <c r="F227" i="4" a="1"/>
  <c r="F227" i="4" s="1"/>
  <c r="F228" i="4" a="1"/>
  <c r="F228" i="4" s="1"/>
  <c r="F229" i="4" a="1"/>
  <c r="F229" i="4" s="1"/>
  <c r="F230" i="4" a="1"/>
  <c r="F230" i="4" s="1"/>
  <c r="F231" i="4" a="1"/>
  <c r="F231" i="4" s="1"/>
  <c r="F232" i="4" a="1"/>
  <c r="F232" i="4" s="1"/>
  <c r="F233" i="4" a="1"/>
  <c r="F233" i="4" s="1"/>
  <c r="F234" i="4" a="1"/>
  <c r="F234" i="4" s="1"/>
  <c r="F235" i="4" a="1"/>
  <c r="F235" i="4" s="1"/>
  <c r="F236" i="4" a="1"/>
  <c r="F236" i="4" s="1"/>
  <c r="F237" i="4" a="1"/>
  <c r="F237" i="4" s="1"/>
  <c r="F238" i="4" a="1"/>
  <c r="F238" i="4" s="1"/>
  <c r="F239" i="4" a="1"/>
  <c r="F239" i="4" s="1"/>
  <c r="F240" i="4" a="1"/>
  <c r="F240" i="4" s="1"/>
  <c r="F241" i="4" a="1"/>
  <c r="F241" i="4" s="1"/>
  <c r="F242" i="4" a="1"/>
  <c r="F242" i="4" s="1"/>
  <c r="F243" i="4" a="1"/>
  <c r="F243" i="4" s="1"/>
  <c r="F244" i="4" a="1"/>
  <c r="F244" i="4" s="1"/>
  <c r="F245" i="4" a="1"/>
  <c r="F245" i="4" s="1"/>
  <c r="F246" i="4" a="1"/>
  <c r="F246" i="4" s="1"/>
  <c r="F247" i="4" a="1"/>
  <c r="F247" i="4" s="1"/>
  <c r="F248" i="4" a="1"/>
  <c r="F248" i="4" s="1"/>
  <c r="F249" i="4" a="1"/>
  <c r="F249" i="4" s="1"/>
  <c r="F250" i="4" a="1"/>
  <c r="F250" i="4" s="1"/>
  <c r="F251" i="4" a="1"/>
  <c r="F251" i="4" s="1"/>
  <c r="F252" i="4" a="1"/>
  <c r="F252" i="4" s="1"/>
  <c r="F253" i="4" a="1"/>
  <c r="F253" i="4" s="1"/>
  <c r="F254" i="4" a="1"/>
  <c r="F254" i="4" s="1"/>
  <c r="F255" i="4" a="1"/>
  <c r="F255" i="4" s="1"/>
  <c r="F256" i="4" a="1"/>
  <c r="F256" i="4" s="1"/>
  <c r="F257" i="4" a="1"/>
  <c r="F257" i="4" s="1"/>
  <c r="F258" i="4" a="1"/>
  <c r="F258" i="4" s="1"/>
  <c r="F259" i="4" a="1"/>
  <c r="F259" i="4" s="1"/>
  <c r="F260" i="4" a="1"/>
  <c r="F260" i="4" s="1"/>
  <c r="F261" i="4" a="1"/>
  <c r="F261" i="4" s="1"/>
  <c r="F262" i="4" a="1"/>
  <c r="F262" i="4" s="1"/>
  <c r="F263" i="4" a="1"/>
  <c r="F263" i="4" s="1"/>
  <c r="F264" i="4" a="1"/>
  <c r="F264" i="4" s="1"/>
  <c r="F265" i="4" a="1"/>
  <c r="F265" i="4" s="1"/>
  <c r="F266" i="4" a="1"/>
  <c r="F266" i="4" s="1"/>
  <c r="F267" i="4" a="1"/>
  <c r="F267" i="4" s="1"/>
  <c r="F268" i="4" a="1"/>
  <c r="F268" i="4" s="1"/>
  <c r="F269" i="4" a="1"/>
  <c r="F269" i="4" s="1"/>
  <c r="F270" i="4" a="1"/>
  <c r="F270" i="4" s="1"/>
  <c r="F271" i="4" a="1"/>
  <c r="F271" i="4" s="1"/>
  <c r="F272" i="4" a="1"/>
  <c r="F272" i="4" s="1"/>
  <c r="F273" i="4" a="1"/>
  <c r="F273" i="4" s="1"/>
  <c r="F274" i="4" a="1"/>
  <c r="F274" i="4" s="1"/>
  <c r="F275" i="4" a="1"/>
  <c r="F275" i="4" s="1"/>
  <c r="F276" i="4" a="1"/>
  <c r="F276" i="4" s="1"/>
  <c r="F277" i="4" a="1"/>
  <c r="F277" i="4" s="1"/>
  <c r="F278" i="4" a="1"/>
  <c r="F278" i="4" s="1"/>
  <c r="F279" i="4" a="1"/>
  <c r="F279" i="4" s="1"/>
  <c r="F280" i="4" a="1"/>
  <c r="F280" i="4" s="1"/>
  <c r="F281" i="4" a="1"/>
  <c r="F281" i="4" s="1"/>
  <c r="F282" i="4" a="1"/>
  <c r="F282" i="4" s="1"/>
  <c r="F283" i="4" a="1"/>
  <c r="F283" i="4" s="1"/>
  <c r="F284" i="4" a="1"/>
  <c r="F284" i="4" s="1"/>
  <c r="F285" i="4" a="1"/>
  <c r="F285" i="4" s="1"/>
  <c r="F286" i="4" a="1"/>
  <c r="F286" i="4" s="1"/>
  <c r="F287" i="4" a="1"/>
  <c r="F287" i="4" s="1"/>
  <c r="F288" i="4" a="1"/>
  <c r="F288" i="4" s="1"/>
  <c r="F289" i="4" a="1"/>
  <c r="F289" i="4" s="1"/>
  <c r="F290" i="4" a="1"/>
  <c r="F290" i="4" s="1"/>
  <c r="F291" i="4" a="1"/>
  <c r="F291" i="4" s="1"/>
  <c r="F292" i="4" a="1"/>
  <c r="F292" i="4" s="1"/>
  <c r="F293" i="4" a="1"/>
  <c r="F293" i="4" s="1"/>
  <c r="F294" i="4" a="1"/>
  <c r="F294" i="4" s="1"/>
  <c r="F295" i="4" a="1"/>
  <c r="F295" i="4" s="1"/>
  <c r="F296" i="4" a="1"/>
  <c r="F296" i="4" s="1"/>
  <c r="F297" i="4" a="1"/>
  <c r="F297" i="4" s="1"/>
  <c r="F298" i="4" a="1"/>
  <c r="F298" i="4" s="1"/>
  <c r="F299" i="4" a="1"/>
  <c r="F299" i="4" s="1"/>
  <c r="F300" i="4" a="1"/>
  <c r="F300" i="4" s="1"/>
  <c r="F301" i="4" a="1"/>
  <c r="F301" i="4" s="1"/>
  <c r="F302" i="4" a="1"/>
  <c r="F302" i="4" s="1"/>
  <c r="F303" i="4" a="1"/>
  <c r="F303" i="4" s="1"/>
  <c r="F304" i="4" a="1"/>
  <c r="F304" i="4" s="1"/>
  <c r="F305" i="4" a="1"/>
  <c r="F305" i="4" s="1"/>
  <c r="F306" i="4" a="1"/>
  <c r="F306" i="4" s="1"/>
  <c r="F307" i="4" a="1"/>
  <c r="F307" i="4" s="1"/>
  <c r="F308" i="4" a="1"/>
  <c r="F308" i="4" s="1"/>
  <c r="F309" i="4" a="1"/>
  <c r="F309" i="4" s="1"/>
  <c r="F310" i="4" a="1"/>
  <c r="F310" i="4" s="1"/>
  <c r="F311" i="4" a="1"/>
  <c r="F311" i="4" s="1"/>
  <c r="F312" i="4" a="1"/>
  <c r="F312" i="4" s="1"/>
  <c r="F313" i="4" a="1"/>
  <c r="F313" i="4" s="1"/>
  <c r="F314" i="4" a="1"/>
  <c r="F314" i="4" s="1"/>
  <c r="F315" i="4" a="1"/>
  <c r="F315" i="4" s="1"/>
  <c r="F316" i="4" a="1"/>
  <c r="F316" i="4" s="1"/>
  <c r="F317" i="4" a="1"/>
  <c r="F317" i="4" s="1"/>
  <c r="F318" i="4" a="1"/>
  <c r="F318" i="4" s="1"/>
  <c r="F319" i="4" a="1"/>
  <c r="F319" i="4" s="1"/>
  <c r="F320" i="4" a="1"/>
  <c r="F320" i="4" s="1"/>
  <c r="F321" i="4" a="1"/>
  <c r="F321" i="4" s="1"/>
  <c r="F322" i="4" a="1"/>
  <c r="F322" i="4" s="1"/>
  <c r="F323" i="4" a="1"/>
  <c r="F323" i="4" s="1"/>
  <c r="F324" i="4" a="1"/>
  <c r="F324" i="4" s="1"/>
  <c r="F325" i="4" a="1"/>
  <c r="F325" i="4" s="1"/>
  <c r="F326" i="4" a="1"/>
  <c r="F326" i="4" s="1"/>
  <c r="F327" i="4" a="1"/>
  <c r="F327" i="4" s="1"/>
  <c r="F328" i="4" a="1"/>
  <c r="F328" i="4" s="1"/>
  <c r="F329" i="4" a="1"/>
  <c r="F329" i="4" s="1"/>
  <c r="F330" i="4" a="1"/>
  <c r="F330" i="4" s="1"/>
  <c r="F331" i="4" a="1"/>
  <c r="F331" i="4" s="1"/>
  <c r="F332" i="4" a="1"/>
  <c r="F332" i="4" s="1"/>
  <c r="F333" i="4" a="1"/>
  <c r="F333" i="4" s="1"/>
  <c r="F334" i="4" a="1"/>
  <c r="F334" i="4" s="1"/>
  <c r="F335" i="4" a="1"/>
  <c r="F335" i="4" s="1"/>
  <c r="F336" i="4" a="1"/>
  <c r="F336" i="4" s="1"/>
  <c r="F337" i="4" a="1"/>
  <c r="F337" i="4" s="1"/>
  <c r="F338" i="4" a="1"/>
  <c r="F338" i="4" s="1"/>
  <c r="F339" i="4" a="1"/>
  <c r="F339" i="4" s="1"/>
  <c r="F340" i="4" a="1"/>
  <c r="F340" i="4" s="1"/>
  <c r="F341" i="4" a="1"/>
  <c r="F341" i="4" s="1"/>
  <c r="F342" i="4" a="1"/>
  <c r="F342" i="4" s="1"/>
  <c r="F343" i="4" a="1"/>
  <c r="F343" i="4" s="1"/>
  <c r="F344" i="4" a="1"/>
  <c r="F344" i="4" s="1"/>
  <c r="F345" i="4" a="1"/>
  <c r="F345" i="4" s="1"/>
  <c r="F346" i="4" a="1"/>
  <c r="F346" i="4" s="1"/>
  <c r="F347" i="4" a="1"/>
  <c r="F347" i="4" s="1"/>
  <c r="F348" i="4" a="1"/>
  <c r="F348" i="4" s="1"/>
  <c r="F349" i="4" a="1"/>
  <c r="F349" i="4" s="1"/>
  <c r="F350" i="4" a="1"/>
  <c r="F350" i="4" s="1"/>
  <c r="F351" i="4" a="1"/>
  <c r="F351" i="4" s="1"/>
  <c r="F352" i="4" a="1"/>
  <c r="F352" i="4" s="1"/>
  <c r="F353" i="4" a="1"/>
  <c r="F353" i="4" s="1"/>
  <c r="F354" i="4" a="1"/>
  <c r="F354" i="4" s="1"/>
  <c r="F355" i="4" a="1"/>
  <c r="F355" i="4" s="1"/>
  <c r="F356" i="4" a="1"/>
  <c r="F356" i="4" s="1"/>
  <c r="F357" i="4" a="1"/>
  <c r="F357" i="4" s="1"/>
  <c r="F358" i="4" a="1"/>
  <c r="F358" i="4" s="1"/>
  <c r="F359" i="4" a="1"/>
  <c r="F359" i="4" s="1"/>
  <c r="F360" i="4" a="1"/>
  <c r="F360" i="4" s="1"/>
  <c r="F361" i="4" a="1"/>
  <c r="F361" i="4" s="1"/>
  <c r="F362" i="4" a="1"/>
  <c r="F362" i="4" s="1"/>
  <c r="F363" i="4" a="1"/>
  <c r="F363" i="4" s="1"/>
  <c r="F364" i="4" a="1"/>
  <c r="F364" i="4" s="1"/>
  <c r="F365" i="4" a="1"/>
  <c r="F365" i="4" s="1"/>
  <c r="F366" i="4" a="1"/>
  <c r="F366" i="4" s="1"/>
  <c r="F367" i="4" a="1"/>
  <c r="F367" i="4" s="1"/>
  <c r="F368" i="4" a="1"/>
  <c r="F368" i="4" s="1"/>
  <c r="F369" i="4" a="1"/>
  <c r="F369" i="4" s="1"/>
  <c r="F370" i="4" a="1"/>
  <c r="F370" i="4" s="1"/>
  <c r="F371" i="4" a="1"/>
  <c r="F371" i="4" s="1"/>
  <c r="F372" i="4" a="1"/>
  <c r="F372" i="4" s="1"/>
  <c r="F373" i="4" a="1"/>
  <c r="F373" i="4" s="1"/>
  <c r="F374" i="4" a="1"/>
  <c r="F374" i="4" s="1"/>
  <c r="F375" i="4" a="1"/>
  <c r="F375" i="4" s="1"/>
  <c r="F376" i="4" a="1"/>
  <c r="F376" i="4" s="1"/>
  <c r="F377" i="4" a="1"/>
  <c r="F377" i="4" s="1"/>
  <c r="F378" i="4" a="1"/>
  <c r="F378" i="4" s="1"/>
  <c r="F379" i="4" a="1"/>
  <c r="F379" i="4" s="1"/>
  <c r="F380" i="4" a="1"/>
  <c r="F380" i="4" s="1"/>
  <c r="F381" i="4" a="1"/>
  <c r="F381" i="4" s="1"/>
  <c r="F382" i="4" a="1"/>
  <c r="F382" i="4" s="1"/>
  <c r="F383" i="4" a="1"/>
  <c r="F383" i="4" s="1"/>
  <c r="F384" i="4" a="1"/>
  <c r="F384" i="4" s="1"/>
  <c r="F385" i="4" a="1"/>
  <c r="F385" i="4" s="1"/>
  <c r="F386" i="4" a="1"/>
  <c r="F386" i="4" s="1"/>
  <c r="F387" i="4" a="1"/>
  <c r="F387" i="4" s="1"/>
  <c r="F388" i="4" a="1"/>
  <c r="F388" i="4" s="1"/>
  <c r="F389" i="4" a="1"/>
  <c r="F389" i="4" s="1"/>
  <c r="F390" i="4" a="1"/>
  <c r="F390" i="4" s="1"/>
  <c r="F391" i="4" a="1"/>
  <c r="F391" i="4" s="1"/>
  <c r="F392" i="4" a="1"/>
  <c r="F392" i="4" s="1"/>
  <c r="F393" i="4" a="1"/>
  <c r="F393" i="4" s="1"/>
  <c r="F394" i="4" a="1"/>
  <c r="F394" i="4" s="1"/>
  <c r="F395" i="4" a="1"/>
  <c r="F395" i="4" s="1"/>
  <c r="F396" i="4" a="1"/>
  <c r="F396" i="4" s="1"/>
  <c r="F397" i="4" a="1"/>
  <c r="F397" i="4" s="1"/>
  <c r="F398" i="4" a="1"/>
  <c r="F398" i="4" s="1"/>
  <c r="F399" i="4" a="1"/>
  <c r="F399" i="4" s="1"/>
  <c r="F400" i="4" a="1"/>
  <c r="F400" i="4" s="1"/>
  <c r="F401" i="4" a="1"/>
  <c r="F401" i="4" s="1"/>
  <c r="F402" i="4" a="1"/>
  <c r="F402" i="4" s="1"/>
  <c r="F403" i="4" a="1"/>
  <c r="F403" i="4" s="1"/>
  <c r="F404" i="4" a="1"/>
  <c r="F404" i="4" s="1"/>
  <c r="F405" i="4" a="1"/>
  <c r="F405" i="4" s="1"/>
  <c r="F406" i="4" a="1"/>
  <c r="F406" i="4" s="1"/>
  <c r="F407" i="4" a="1"/>
  <c r="F407" i="4" s="1"/>
  <c r="F408" i="4" a="1"/>
  <c r="F408" i="4" s="1"/>
  <c r="F409" i="4" a="1"/>
  <c r="F409" i="4" s="1"/>
  <c r="F410" i="4" a="1"/>
  <c r="F410" i="4" s="1"/>
  <c r="F411" i="4" a="1"/>
  <c r="F411" i="4" s="1"/>
  <c r="F412" i="4" a="1"/>
  <c r="F412" i="4" s="1"/>
  <c r="F413" i="4" a="1"/>
  <c r="F413" i="4" s="1"/>
  <c r="F414" i="4" a="1"/>
  <c r="F414" i="4" s="1"/>
  <c r="F415" i="4" a="1"/>
  <c r="F415" i="4" s="1"/>
  <c r="F416" i="4" a="1"/>
  <c r="F416" i="4" s="1"/>
  <c r="F417" i="4" a="1"/>
  <c r="F417" i="4" s="1"/>
  <c r="F418" i="4" a="1"/>
  <c r="F418" i="4" s="1"/>
  <c r="F419" i="4" a="1"/>
  <c r="F419" i="4" s="1"/>
  <c r="F420" i="4" a="1"/>
  <c r="F420" i="4" s="1"/>
  <c r="F421" i="4" a="1"/>
  <c r="F421" i="4" s="1"/>
  <c r="F422" i="4" a="1"/>
  <c r="F422" i="4" s="1"/>
  <c r="F423" i="4" a="1"/>
  <c r="F423" i="4" s="1"/>
  <c r="F424" i="4" a="1"/>
  <c r="F424" i="4" s="1"/>
  <c r="F425" i="4" a="1"/>
  <c r="F425" i="4" s="1"/>
  <c r="F426" i="4" a="1"/>
  <c r="F426" i="4" s="1"/>
  <c r="F427" i="4" a="1"/>
  <c r="F427" i="4" s="1"/>
  <c r="F428" i="4" a="1"/>
  <c r="F428" i="4" s="1"/>
  <c r="F429" i="4" a="1"/>
  <c r="F429" i="4" s="1"/>
  <c r="F430" i="4" a="1"/>
  <c r="F430" i="4" s="1"/>
  <c r="F431" i="4" a="1"/>
  <c r="F431" i="4" s="1"/>
  <c r="F432" i="4" a="1"/>
  <c r="F432" i="4" s="1"/>
  <c r="F433" i="4" a="1"/>
  <c r="F433" i="4" s="1"/>
  <c r="F434" i="4" a="1"/>
  <c r="F434" i="4" s="1"/>
  <c r="F435" i="4" a="1"/>
  <c r="F435" i="4" s="1"/>
  <c r="F436" i="4" a="1"/>
  <c r="F436" i="4" s="1"/>
  <c r="F437" i="4" a="1"/>
  <c r="F437" i="4" s="1"/>
  <c r="F438" i="4" a="1"/>
  <c r="F438" i="4" s="1"/>
  <c r="F439" i="4" a="1"/>
  <c r="F439" i="4" s="1"/>
  <c r="F440" i="4" a="1"/>
  <c r="F440" i="4" s="1"/>
  <c r="F441" i="4" a="1"/>
  <c r="F441" i="4" s="1"/>
  <c r="F442" i="4" a="1"/>
  <c r="F442" i="4" s="1"/>
  <c r="F443" i="4" a="1"/>
  <c r="F443" i="4" s="1"/>
  <c r="F444" i="4" a="1"/>
  <c r="F444" i="4" s="1"/>
  <c r="F445" i="4" a="1"/>
  <c r="F445" i="4" s="1"/>
  <c r="F446" i="4" a="1"/>
  <c r="F446" i="4" s="1"/>
  <c r="F447" i="4" a="1"/>
  <c r="F447" i="4" s="1"/>
  <c r="F448" i="4" a="1"/>
  <c r="F448" i="4" s="1"/>
  <c r="F449" i="4" a="1"/>
  <c r="F449" i="4" s="1"/>
  <c r="F450" i="4" a="1"/>
  <c r="F450" i="4" s="1"/>
  <c r="F451" i="4" a="1"/>
  <c r="F451" i="4" s="1"/>
  <c r="F452" i="4" a="1"/>
  <c r="F452" i="4" s="1"/>
  <c r="F453" i="4" a="1"/>
  <c r="F453" i="4" s="1"/>
  <c r="F454" i="4" a="1"/>
  <c r="F454" i="4" s="1"/>
  <c r="F455" i="4" a="1"/>
  <c r="F455" i="4" s="1"/>
  <c r="F456" i="4" a="1"/>
  <c r="F456" i="4" s="1"/>
  <c r="F457" i="4" a="1"/>
  <c r="F457" i="4" s="1"/>
  <c r="F458" i="4" a="1"/>
  <c r="F458" i="4" s="1"/>
  <c r="F459" i="4" a="1"/>
  <c r="F459" i="4" s="1"/>
  <c r="F460" i="4" a="1"/>
  <c r="F460" i="4" s="1"/>
  <c r="F461" i="4" a="1"/>
  <c r="F461" i="4" s="1"/>
  <c r="F462" i="4" a="1"/>
  <c r="F462" i="4" s="1"/>
  <c r="F463" i="4" a="1"/>
  <c r="F463" i="4" s="1"/>
  <c r="F464" i="4" a="1"/>
  <c r="F464" i="4" s="1"/>
  <c r="F465" i="4" a="1"/>
  <c r="F465" i="4" s="1"/>
  <c r="F466" i="4" a="1"/>
  <c r="F466" i="4" s="1"/>
  <c r="F467" i="4" a="1"/>
  <c r="F467" i="4" s="1"/>
  <c r="F468" i="4" a="1"/>
  <c r="F468" i="4" s="1"/>
  <c r="F469" i="4" a="1"/>
  <c r="F469" i="4" s="1"/>
  <c r="F470" i="4" a="1"/>
  <c r="F470" i="4" s="1"/>
  <c r="F471" i="4" a="1"/>
  <c r="F471" i="4" s="1"/>
  <c r="F472" i="4" a="1"/>
  <c r="F472" i="4" s="1"/>
  <c r="F473" i="4" a="1"/>
  <c r="F473" i="4" s="1"/>
  <c r="F474" i="4" a="1"/>
  <c r="F474" i="4" s="1"/>
  <c r="F475" i="4" a="1"/>
  <c r="F475" i="4" s="1"/>
  <c r="F476" i="4" a="1"/>
  <c r="F476" i="4" s="1"/>
  <c r="F477" i="4" a="1"/>
  <c r="F477" i="4" s="1"/>
  <c r="F478" i="4" a="1"/>
  <c r="F478" i="4" s="1"/>
  <c r="F479" i="4" a="1"/>
  <c r="F479" i="4" s="1"/>
  <c r="F480" i="4" a="1"/>
  <c r="F480" i="4" s="1"/>
  <c r="F481" i="4" a="1"/>
  <c r="F481" i="4" s="1"/>
  <c r="F482" i="4" a="1"/>
  <c r="F482" i="4" s="1"/>
  <c r="F483" i="4" a="1"/>
  <c r="F483" i="4" s="1"/>
  <c r="F484" i="4" a="1"/>
  <c r="F484" i="4" s="1"/>
  <c r="F485" i="4" a="1"/>
  <c r="F485" i="4" s="1"/>
  <c r="F486" i="4" a="1"/>
  <c r="F486" i="4" s="1"/>
  <c r="F487" i="4" a="1"/>
  <c r="F487" i="4" s="1"/>
  <c r="F488" i="4" a="1"/>
  <c r="F488" i="4" s="1"/>
  <c r="F489" i="4" a="1"/>
  <c r="F489" i="4" s="1"/>
  <c r="F490" i="4" a="1"/>
  <c r="F490" i="4" s="1"/>
  <c r="F491" i="4" a="1"/>
  <c r="F491" i="4" s="1"/>
  <c r="F492" i="4" a="1"/>
  <c r="F492" i="4" s="1"/>
  <c r="F493" i="4" a="1"/>
  <c r="F493" i="4" s="1"/>
  <c r="F494" i="4" a="1"/>
  <c r="F494" i="4" s="1"/>
  <c r="F495" i="4" a="1"/>
  <c r="F495" i="4" s="1"/>
  <c r="F496" i="4" a="1"/>
  <c r="F496" i="4" s="1"/>
  <c r="F497" i="4" a="1"/>
  <c r="F497" i="4" s="1"/>
  <c r="F498" i="4" a="1"/>
  <c r="F498" i="4" s="1"/>
  <c r="F499" i="4" a="1"/>
  <c r="F499" i="4" s="1"/>
  <c r="F500" i="4" a="1"/>
  <c r="F500" i="4" s="1"/>
  <c r="F501" i="4" a="1"/>
  <c r="F501" i="4" s="1"/>
  <c r="F502" i="4" a="1"/>
  <c r="F502" i="4" s="1"/>
  <c r="F503" i="4" a="1"/>
  <c r="F503" i="4" s="1"/>
  <c r="F504" i="4" a="1"/>
  <c r="F504" i="4" s="1"/>
  <c r="F505" i="4" a="1"/>
  <c r="F505" i="4" s="1"/>
  <c r="F506" i="4" a="1"/>
  <c r="F506" i="4" s="1"/>
  <c r="F507" i="4" a="1"/>
  <c r="F507" i="4" s="1"/>
  <c r="F508" i="4" a="1"/>
  <c r="F508" i="4" s="1"/>
  <c r="F509" i="4" a="1"/>
  <c r="F509" i="4" s="1"/>
  <c r="F510" i="4" a="1"/>
  <c r="F510" i="4" s="1"/>
  <c r="F511" i="4" a="1"/>
  <c r="F511" i="4" s="1"/>
  <c r="F512" i="4" a="1"/>
  <c r="F512" i="4" s="1"/>
  <c r="F513" i="4" a="1"/>
  <c r="F513" i="4" s="1"/>
  <c r="F514" i="4" a="1"/>
  <c r="F514" i="4" s="1"/>
  <c r="F515" i="4" a="1"/>
  <c r="F515" i="4" s="1"/>
  <c r="F516" i="4" a="1"/>
  <c r="F516" i="4" s="1"/>
  <c r="F517" i="4" a="1"/>
  <c r="F517" i="4" s="1"/>
  <c r="F518" i="4" a="1"/>
  <c r="F518" i="4" s="1"/>
  <c r="F519" i="4" a="1"/>
  <c r="F519" i="4" s="1"/>
  <c r="F520" i="4" a="1"/>
  <c r="F520" i="4" s="1"/>
  <c r="F521" i="4" a="1"/>
  <c r="F521" i="4" s="1"/>
  <c r="F522" i="4" a="1"/>
  <c r="F522" i="4" s="1"/>
  <c r="F523" i="4" a="1"/>
  <c r="F523" i="4" s="1"/>
  <c r="F524" i="4" a="1"/>
  <c r="F524" i="4" s="1"/>
  <c r="F525" i="4" a="1"/>
  <c r="F525" i="4" s="1"/>
  <c r="F526" i="4" a="1"/>
  <c r="F526" i="4" s="1"/>
  <c r="F527" i="4" a="1"/>
  <c r="F527" i="4" s="1"/>
  <c r="F528" i="4" a="1"/>
  <c r="F528" i="4" s="1"/>
  <c r="F529" i="4" a="1"/>
  <c r="F529" i="4" s="1"/>
  <c r="F530" i="4" a="1"/>
  <c r="F530" i="4" s="1"/>
  <c r="F531" i="4" a="1"/>
  <c r="F531" i="4" s="1"/>
  <c r="F532" i="4" a="1"/>
  <c r="F532" i="4" s="1"/>
  <c r="F533" i="4" a="1"/>
  <c r="F533" i="4" s="1"/>
  <c r="F534" i="4" a="1"/>
  <c r="F534" i="4" s="1"/>
  <c r="F535" i="4" a="1"/>
  <c r="F535" i="4" s="1"/>
  <c r="F536" i="4" a="1"/>
  <c r="F536" i="4" s="1"/>
  <c r="F537" i="4" a="1"/>
  <c r="F537" i="4" s="1"/>
  <c r="F538" i="4" a="1"/>
  <c r="F538" i="4" s="1"/>
  <c r="F539" i="4" a="1"/>
  <c r="F539" i="4" s="1"/>
  <c r="F540" i="4" a="1"/>
  <c r="F540" i="4" s="1"/>
  <c r="F541" i="4" a="1"/>
  <c r="F541" i="4" s="1"/>
  <c r="F542" i="4" a="1"/>
  <c r="F542" i="4" s="1"/>
  <c r="F543" i="4" a="1"/>
  <c r="F543" i="4" s="1"/>
  <c r="F544" i="4" a="1"/>
  <c r="F544" i="4" s="1"/>
  <c r="F545" i="4" a="1"/>
  <c r="F545" i="4" s="1"/>
  <c r="F546" i="4" a="1"/>
  <c r="F546" i="4" s="1"/>
  <c r="F547" i="4" a="1"/>
  <c r="F547" i="4" s="1"/>
  <c r="F548" i="4" a="1"/>
  <c r="F548" i="4" s="1"/>
  <c r="F549" i="4" a="1"/>
  <c r="F549" i="4" s="1"/>
  <c r="F550" i="4" a="1"/>
  <c r="F550" i="4" s="1"/>
  <c r="F551" i="4" a="1"/>
  <c r="F551" i="4" s="1"/>
  <c r="F552" i="4" a="1"/>
  <c r="F552" i="4" s="1"/>
  <c r="F553" i="4" a="1"/>
  <c r="F553" i="4" s="1"/>
  <c r="F554" i="4" a="1"/>
  <c r="F554" i="4" s="1"/>
  <c r="F555" i="4" a="1"/>
  <c r="F555" i="4" s="1"/>
  <c r="F556" i="4" a="1"/>
  <c r="F556" i="4" s="1"/>
  <c r="F557" i="4" a="1"/>
  <c r="F557" i="4" s="1"/>
  <c r="F558" i="4" a="1"/>
  <c r="F558" i="4" s="1"/>
  <c r="F559" i="4" a="1"/>
  <c r="F559" i="4" s="1"/>
  <c r="F560" i="4" a="1"/>
  <c r="F560" i="4" s="1"/>
  <c r="F561" i="4" a="1"/>
  <c r="F561" i="4" s="1"/>
  <c r="F562" i="4" a="1"/>
  <c r="F562" i="4" s="1"/>
  <c r="F563" i="4" a="1"/>
  <c r="F563" i="4" s="1"/>
  <c r="F564" i="4" a="1"/>
  <c r="F564" i="4" s="1"/>
  <c r="F565" i="4" a="1"/>
  <c r="F565" i="4" s="1"/>
  <c r="F566" i="4" a="1"/>
  <c r="F566" i="4" s="1"/>
  <c r="F567" i="4" a="1"/>
  <c r="F567" i="4" s="1"/>
  <c r="F568" i="4" a="1"/>
  <c r="F568" i="4" s="1"/>
  <c r="F569" i="4" a="1"/>
  <c r="F569" i="4" s="1"/>
  <c r="F570" i="4" a="1"/>
  <c r="F570" i="4" s="1"/>
  <c r="F571" i="4" a="1"/>
  <c r="F571" i="4" s="1"/>
  <c r="F572" i="4" a="1"/>
  <c r="F572" i="4" s="1"/>
  <c r="F573" i="4" a="1"/>
  <c r="F573" i="4" s="1"/>
  <c r="F574" i="4" a="1"/>
  <c r="F574" i="4" s="1"/>
  <c r="F575" i="4" a="1"/>
  <c r="F575" i="4" s="1"/>
  <c r="F576" i="4" a="1"/>
  <c r="F576" i="4" s="1"/>
  <c r="F577" i="4" a="1"/>
  <c r="F577" i="4" s="1"/>
  <c r="F578" i="4" a="1"/>
  <c r="F578" i="4" s="1"/>
  <c r="F579" i="4" a="1"/>
  <c r="F579" i="4" s="1"/>
  <c r="F580" i="4" a="1"/>
  <c r="F580" i="4" s="1"/>
  <c r="F581" i="4" a="1"/>
  <c r="F581" i="4" s="1"/>
  <c r="F582" i="4" a="1"/>
  <c r="F582" i="4" s="1"/>
  <c r="F583" i="4" a="1"/>
  <c r="F583" i="4" s="1"/>
  <c r="F584" i="4" a="1"/>
  <c r="F584" i="4" s="1"/>
  <c r="F585" i="4" a="1"/>
  <c r="F585" i="4" s="1"/>
  <c r="F586" i="4" a="1"/>
  <c r="F586" i="4" s="1"/>
  <c r="F587" i="4" a="1"/>
  <c r="F587" i="4" s="1"/>
  <c r="F588" i="4" a="1"/>
  <c r="F588" i="4" s="1"/>
  <c r="F589" i="4" a="1"/>
  <c r="F589" i="4" s="1"/>
  <c r="F590" i="4" a="1"/>
  <c r="F590" i="4" s="1"/>
  <c r="F591" i="4" a="1"/>
  <c r="F591" i="4" s="1"/>
  <c r="F592" i="4" a="1"/>
  <c r="F592" i="4" s="1"/>
  <c r="F593" i="4" a="1"/>
  <c r="F593" i="4" s="1"/>
  <c r="F594" i="4" a="1"/>
  <c r="F594" i="4" s="1"/>
  <c r="F595" i="4" a="1"/>
  <c r="F595" i="4" s="1"/>
  <c r="F596" i="4" a="1"/>
  <c r="F596" i="4" s="1"/>
  <c r="F597" i="4" a="1"/>
  <c r="F597" i="4" s="1"/>
  <c r="F598" i="4" a="1"/>
  <c r="F598" i="4" s="1"/>
  <c r="F599" i="4" a="1"/>
  <c r="F599" i="4" s="1"/>
  <c r="F600" i="4" a="1"/>
  <c r="F600" i="4" s="1"/>
  <c r="F601" i="4" a="1"/>
  <c r="F601" i="4" s="1"/>
  <c r="F602" i="4" a="1"/>
  <c r="F602" i="4" s="1"/>
  <c r="F603" i="4" a="1"/>
  <c r="F603" i="4" s="1"/>
  <c r="F604" i="4" a="1"/>
  <c r="F604" i="4" s="1"/>
  <c r="F605" i="4" a="1"/>
  <c r="F605" i="4" s="1"/>
  <c r="F606" i="4" a="1"/>
  <c r="F606" i="4" s="1"/>
  <c r="F607" i="4" a="1"/>
  <c r="F607" i="4" s="1"/>
  <c r="F608" i="4" a="1"/>
  <c r="F608" i="4" s="1"/>
  <c r="F609" i="4" a="1"/>
  <c r="F609" i="4" s="1"/>
  <c r="F610" i="4" a="1"/>
  <c r="F610" i="4" s="1"/>
  <c r="F611" i="4" a="1"/>
  <c r="F611" i="4" s="1"/>
  <c r="F612" i="4" a="1"/>
  <c r="F612" i="4" s="1"/>
  <c r="F613" i="4" a="1"/>
  <c r="F613" i="4" s="1"/>
  <c r="F614" i="4" a="1"/>
  <c r="F614" i="4" s="1"/>
  <c r="F615" i="4" a="1"/>
  <c r="F615" i="4" s="1"/>
  <c r="F616" i="4" a="1"/>
  <c r="F616" i="4" s="1"/>
  <c r="F617" i="4" a="1"/>
  <c r="F617" i="4" s="1"/>
  <c r="F618" i="4" a="1"/>
  <c r="F618" i="4" s="1"/>
  <c r="F619" i="4" a="1"/>
  <c r="F619" i="4" s="1"/>
  <c r="F620" i="4" a="1"/>
  <c r="F620" i="4" s="1"/>
  <c r="F621" i="4" a="1"/>
  <c r="F621" i="4" s="1"/>
  <c r="F622" i="4" a="1"/>
  <c r="F622" i="4" s="1"/>
  <c r="F623" i="4" a="1"/>
  <c r="F623" i="4" s="1"/>
  <c r="F624" i="4" a="1"/>
  <c r="F624" i="4" s="1"/>
  <c r="F625" i="4" a="1"/>
  <c r="F625" i="4" s="1"/>
  <c r="F626" i="4" a="1"/>
  <c r="F626" i="4" s="1"/>
  <c r="F627" i="4" a="1"/>
  <c r="F627" i="4" s="1"/>
  <c r="F628" i="4" a="1"/>
  <c r="F628" i="4" s="1"/>
  <c r="F629" i="4" a="1"/>
  <c r="F629" i="4" s="1"/>
  <c r="F630" i="4" a="1"/>
  <c r="F630" i="4" s="1"/>
  <c r="F631" i="4" a="1"/>
  <c r="F631" i="4" s="1"/>
  <c r="F632" i="4" a="1"/>
  <c r="F632" i="4" s="1"/>
  <c r="F633" i="4" a="1"/>
  <c r="F633" i="4" s="1"/>
  <c r="F634" i="4" a="1"/>
  <c r="F634" i="4" s="1"/>
  <c r="F635" i="4" a="1"/>
  <c r="F635" i="4" s="1"/>
  <c r="F636" i="4" a="1"/>
  <c r="F636" i="4" s="1"/>
  <c r="F637" i="4" a="1"/>
  <c r="F637" i="4" s="1"/>
  <c r="F638" i="4" a="1"/>
  <c r="F638" i="4" s="1"/>
  <c r="F639" i="4" a="1"/>
  <c r="F639" i="4" s="1"/>
  <c r="F640" i="4" a="1"/>
  <c r="F640" i="4" s="1"/>
  <c r="F641" i="4" a="1"/>
  <c r="F641" i="4" s="1"/>
  <c r="F642" i="4" a="1"/>
  <c r="F642" i="4" s="1"/>
  <c r="F643" i="4" a="1"/>
  <c r="F643" i="4" s="1"/>
  <c r="F644" i="4" a="1"/>
  <c r="F644" i="4" s="1"/>
  <c r="F645" i="4" a="1"/>
  <c r="F645" i="4" s="1"/>
  <c r="F646" i="4" a="1"/>
  <c r="F646" i="4" s="1"/>
  <c r="F647" i="4" a="1"/>
  <c r="F647" i="4" s="1"/>
  <c r="F648" i="4" a="1"/>
  <c r="F648" i="4" s="1"/>
  <c r="F649" i="4" a="1"/>
  <c r="F649" i="4" s="1"/>
  <c r="F650" i="4" a="1"/>
  <c r="F650" i="4" s="1"/>
  <c r="F651" i="4" a="1"/>
  <c r="F651" i="4" s="1"/>
  <c r="F652" i="4" a="1"/>
  <c r="F652" i="4" s="1"/>
  <c r="F653" i="4" a="1"/>
  <c r="F653" i="4" s="1"/>
  <c r="F654" i="4" a="1"/>
  <c r="F654" i="4" s="1"/>
  <c r="F655" i="4" a="1"/>
  <c r="F655" i="4" s="1"/>
  <c r="F656" i="4" a="1"/>
  <c r="F656" i="4" s="1"/>
  <c r="F657" i="4" a="1"/>
  <c r="F657" i="4" s="1"/>
  <c r="F658" i="4" a="1"/>
  <c r="F658" i="4" s="1"/>
  <c r="F659" i="4" a="1"/>
  <c r="F659" i="4" s="1"/>
  <c r="F660" i="4" a="1"/>
  <c r="F660" i="4" s="1"/>
  <c r="F661" i="4" a="1"/>
  <c r="F661" i="4" s="1"/>
  <c r="F662" i="4" a="1"/>
  <c r="F662" i="4" s="1"/>
  <c r="F663" i="4" a="1"/>
  <c r="F663" i="4" s="1"/>
  <c r="F664" i="4" a="1"/>
  <c r="F664" i="4" s="1"/>
  <c r="F665" i="4" a="1"/>
  <c r="F665" i="4" s="1"/>
  <c r="F666" i="4" a="1"/>
  <c r="F666" i="4" s="1"/>
  <c r="F667" i="4" a="1"/>
  <c r="F667" i="4" s="1"/>
  <c r="F668" i="4" a="1"/>
  <c r="F668" i="4" s="1"/>
  <c r="F669" i="4" a="1"/>
  <c r="F669" i="4" s="1"/>
  <c r="F670" i="4" a="1"/>
  <c r="F670" i="4" s="1"/>
  <c r="F671" i="4" a="1"/>
  <c r="F671" i="4" s="1"/>
  <c r="F672" i="4" a="1"/>
  <c r="F672" i="4" s="1"/>
  <c r="F673" i="4" a="1"/>
  <c r="F673" i="4" s="1"/>
  <c r="F674" i="4" a="1"/>
  <c r="F674" i="4" s="1"/>
  <c r="F675" i="4" a="1"/>
  <c r="F675" i="4" s="1"/>
  <c r="F676" i="4" a="1"/>
  <c r="F676" i="4" s="1"/>
  <c r="F677" i="4" a="1"/>
  <c r="F677" i="4" s="1"/>
  <c r="F678" i="4" a="1"/>
  <c r="F678" i="4" s="1"/>
  <c r="F679" i="4" a="1"/>
  <c r="F679" i="4" s="1"/>
  <c r="F680" i="4" a="1"/>
  <c r="F680" i="4" s="1"/>
  <c r="F681" i="4" a="1"/>
  <c r="F681" i="4" s="1"/>
  <c r="F682" i="4" a="1"/>
  <c r="F682" i="4" s="1"/>
  <c r="F683" i="4" a="1"/>
  <c r="F683" i="4" s="1"/>
  <c r="F684" i="4" a="1"/>
  <c r="F684" i="4" s="1"/>
  <c r="F685" i="4" a="1"/>
  <c r="F685" i="4" s="1"/>
  <c r="F686" i="4" a="1"/>
  <c r="F686" i="4" s="1"/>
  <c r="F687" i="4" a="1"/>
  <c r="F687" i="4" s="1"/>
  <c r="F688" i="4" a="1"/>
  <c r="F688" i="4" s="1"/>
  <c r="F689" i="4" a="1"/>
  <c r="F689" i="4" s="1"/>
  <c r="F690" i="4" a="1"/>
  <c r="F690" i="4" s="1"/>
  <c r="F691" i="4" a="1"/>
  <c r="F691" i="4" s="1"/>
  <c r="F692" i="4" a="1"/>
  <c r="F692" i="4" s="1"/>
  <c r="F693" i="4" a="1"/>
  <c r="F693" i="4" s="1"/>
  <c r="F694" i="4" a="1"/>
  <c r="F694" i="4" s="1"/>
  <c r="F695" i="4" a="1"/>
  <c r="F695" i="4" s="1"/>
  <c r="F696" i="4" a="1"/>
  <c r="F696" i="4" s="1"/>
  <c r="F697" i="4" a="1"/>
  <c r="F697" i="4" s="1"/>
  <c r="F698" i="4" a="1"/>
  <c r="F698" i="4" s="1"/>
  <c r="F699" i="4" a="1"/>
  <c r="F699" i="4" s="1"/>
  <c r="F700" i="4" a="1"/>
  <c r="F700" i="4" s="1"/>
  <c r="F701" i="4" a="1"/>
  <c r="F701" i="4" s="1"/>
  <c r="F702" i="4" a="1"/>
  <c r="F702" i="4" s="1"/>
  <c r="F703" i="4" a="1"/>
  <c r="F703" i="4" s="1"/>
  <c r="F704" i="4" a="1"/>
  <c r="F704" i="4" s="1"/>
  <c r="F705" i="4" a="1"/>
  <c r="F705" i="4" s="1"/>
  <c r="F706" i="4" a="1"/>
  <c r="F706" i="4" s="1"/>
  <c r="F707" i="4" a="1"/>
  <c r="F707" i="4" s="1"/>
  <c r="F708" i="4" a="1"/>
  <c r="F708" i="4" s="1"/>
  <c r="F709" i="4" a="1"/>
  <c r="F709" i="4" s="1"/>
  <c r="F710" i="4" a="1"/>
  <c r="F710" i="4" s="1"/>
  <c r="F711" i="4" a="1"/>
  <c r="F711" i="4" s="1"/>
  <c r="F712" i="4" a="1"/>
  <c r="F712" i="4" s="1"/>
  <c r="F713" i="4" a="1"/>
  <c r="F713" i="4" s="1"/>
  <c r="F714" i="4" a="1"/>
  <c r="F714" i="4" s="1"/>
  <c r="F715" i="4" a="1"/>
  <c r="F715" i="4" s="1"/>
  <c r="F716" i="4" a="1"/>
  <c r="F716" i="4" s="1"/>
  <c r="F717" i="4" a="1"/>
  <c r="F717" i="4" s="1"/>
  <c r="F718" i="4" a="1"/>
  <c r="F718" i="4" s="1"/>
  <c r="F719" i="4" a="1"/>
  <c r="F719" i="4" s="1"/>
  <c r="F720" i="4" a="1"/>
  <c r="F720" i="4" s="1"/>
  <c r="F721" i="4" a="1"/>
  <c r="F721" i="4" s="1"/>
  <c r="F722" i="4" a="1"/>
  <c r="F722" i="4" s="1"/>
  <c r="F723" i="4" a="1"/>
  <c r="F723" i="4" s="1"/>
  <c r="F724" i="4" a="1"/>
  <c r="F724" i="4" s="1"/>
  <c r="F725" i="4" a="1"/>
  <c r="F725" i="4" s="1"/>
  <c r="F726" i="4" a="1"/>
  <c r="F726" i="4" s="1"/>
  <c r="F727" i="4" a="1"/>
  <c r="F727" i="4" s="1"/>
  <c r="F728" i="4" a="1"/>
  <c r="F728" i="4" s="1"/>
  <c r="F729" i="4" a="1"/>
  <c r="F729" i="4" s="1"/>
  <c r="F730" i="4" a="1"/>
  <c r="F730" i="4" s="1"/>
  <c r="F731" i="4" a="1"/>
  <c r="F731" i="4" s="1"/>
  <c r="F732" i="4" a="1"/>
  <c r="F732" i="4" s="1"/>
  <c r="F733" i="4" a="1"/>
  <c r="F733" i="4" s="1"/>
  <c r="F734" i="4" a="1"/>
  <c r="F734" i="4" s="1"/>
  <c r="F735" i="4" a="1"/>
  <c r="F735" i="4" s="1"/>
  <c r="F736" i="4" a="1"/>
  <c r="F736" i="4" s="1"/>
  <c r="F737" i="4" a="1"/>
  <c r="F737" i="4" s="1"/>
  <c r="F738" i="4" a="1"/>
  <c r="F738" i="4" s="1"/>
  <c r="F739" i="4" a="1"/>
  <c r="F739" i="4" s="1"/>
  <c r="F740" i="4" a="1"/>
  <c r="F740" i="4" s="1"/>
  <c r="F741" i="4" a="1"/>
  <c r="F741" i="4" s="1"/>
  <c r="F742" i="4" a="1"/>
  <c r="F742" i="4" s="1"/>
  <c r="F743" i="4" a="1"/>
  <c r="F743" i="4" s="1"/>
  <c r="F744" i="4" a="1"/>
  <c r="F744" i="4" s="1"/>
  <c r="F745" i="4" a="1"/>
  <c r="F745" i="4" s="1"/>
  <c r="F746" i="4" a="1"/>
  <c r="F746" i="4" s="1"/>
  <c r="F747" i="4" a="1"/>
  <c r="F747" i="4" s="1"/>
  <c r="F748" i="4" a="1"/>
  <c r="F748" i="4" s="1"/>
  <c r="F749" i="4" a="1"/>
  <c r="F749" i="4" s="1"/>
  <c r="F750" i="4" a="1"/>
  <c r="F750" i="4" s="1"/>
  <c r="F751" i="4" a="1"/>
  <c r="F751" i="4" s="1"/>
  <c r="F752" i="4" a="1"/>
  <c r="F752" i="4" s="1"/>
  <c r="F753" i="4" a="1"/>
  <c r="F753" i="4" s="1"/>
  <c r="F754" i="4" a="1"/>
  <c r="F754" i="4" s="1"/>
  <c r="F755" i="4" a="1"/>
  <c r="F755" i="4" s="1"/>
  <c r="F756" i="4" a="1"/>
  <c r="F756" i="4" s="1"/>
  <c r="F757" i="4" a="1"/>
  <c r="F757" i="4" s="1"/>
  <c r="F758" i="4" a="1"/>
  <c r="F758" i="4" s="1"/>
  <c r="F759" i="4" a="1"/>
  <c r="F759" i="4" s="1"/>
  <c r="F760" i="4" a="1"/>
  <c r="F760" i="4" s="1"/>
  <c r="F761" i="4" a="1"/>
  <c r="F761" i="4" s="1"/>
  <c r="F762" i="4" a="1"/>
  <c r="F762" i="4" s="1"/>
  <c r="F763" i="4" a="1"/>
  <c r="F763" i="4" s="1"/>
  <c r="F764" i="4" a="1"/>
  <c r="F764" i="4" s="1"/>
  <c r="F765" i="4" a="1"/>
  <c r="F765" i="4" s="1"/>
  <c r="F766" i="4" a="1"/>
  <c r="F766" i="4" s="1"/>
  <c r="F767" i="4" a="1"/>
  <c r="F767" i="4" s="1"/>
  <c r="F768" i="4" a="1"/>
  <c r="F768" i="4" s="1"/>
  <c r="F769" i="4" a="1"/>
  <c r="F769" i="4" s="1"/>
  <c r="F770" i="4" a="1"/>
  <c r="F770" i="4" s="1"/>
  <c r="F771" i="4" a="1"/>
  <c r="F771" i="4" s="1"/>
  <c r="F772" i="4" a="1"/>
  <c r="F772" i="4" s="1"/>
  <c r="F773" i="4" a="1"/>
  <c r="F773" i="4" s="1"/>
  <c r="F774" i="4" a="1"/>
  <c r="F774" i="4" s="1"/>
  <c r="F775" i="4" a="1"/>
  <c r="F775" i="4" s="1"/>
  <c r="F776" i="4" a="1"/>
  <c r="F776" i="4" s="1"/>
  <c r="F777" i="4" a="1"/>
  <c r="F777" i="4" s="1"/>
  <c r="F778" i="4" a="1"/>
  <c r="F778" i="4" s="1"/>
  <c r="F779" i="4" a="1"/>
  <c r="F779" i="4" s="1"/>
  <c r="F780" i="4" a="1"/>
  <c r="F780" i="4" s="1"/>
  <c r="F781" i="4" a="1"/>
  <c r="F781" i="4" s="1"/>
  <c r="F782" i="4" a="1"/>
  <c r="F782" i="4" s="1"/>
  <c r="F783" i="4" a="1"/>
  <c r="F783" i="4" s="1"/>
  <c r="F784" i="4" a="1"/>
  <c r="F784" i="4" s="1"/>
  <c r="F785" i="4" a="1"/>
  <c r="F785" i="4" s="1"/>
  <c r="F786" i="4" a="1"/>
  <c r="F786" i="4" s="1"/>
  <c r="F787" i="4" a="1"/>
  <c r="F787" i="4" s="1"/>
  <c r="F788" i="4" a="1"/>
  <c r="F788" i="4" s="1"/>
  <c r="F789" i="4" a="1"/>
  <c r="F789" i="4" s="1"/>
  <c r="F790" i="4" a="1"/>
  <c r="F790" i="4" s="1"/>
  <c r="F791" i="4" a="1"/>
  <c r="F791" i="4" s="1"/>
  <c r="F792" i="4" a="1"/>
  <c r="F792" i="4" s="1"/>
  <c r="F793" i="4" a="1"/>
  <c r="F793" i="4" s="1"/>
  <c r="F794" i="4" a="1"/>
  <c r="F794" i="4" s="1"/>
  <c r="F795" i="4" a="1"/>
  <c r="F795" i="4" s="1"/>
  <c r="F796" i="4" a="1"/>
  <c r="F796" i="4" s="1"/>
  <c r="F797" i="4" a="1"/>
  <c r="F797" i="4" s="1"/>
  <c r="F798" i="4" a="1"/>
  <c r="F798" i="4" s="1"/>
  <c r="F799" i="4" a="1"/>
  <c r="F799" i="4" s="1"/>
  <c r="F800" i="4" a="1"/>
  <c r="F800" i="4" s="1"/>
  <c r="F801" i="4" a="1"/>
  <c r="F801" i="4" s="1"/>
  <c r="F802" i="4" a="1"/>
  <c r="F802" i="4" s="1"/>
  <c r="F803" i="4" a="1"/>
  <c r="F803" i="4" s="1"/>
  <c r="F804" i="4" a="1"/>
  <c r="F804" i="4" s="1"/>
  <c r="F805" i="4" a="1"/>
  <c r="F805" i="4" s="1"/>
  <c r="F806" i="4" a="1"/>
  <c r="F806" i="4" s="1"/>
  <c r="F807" i="4" a="1"/>
  <c r="F807" i="4" s="1"/>
  <c r="F808" i="4" a="1"/>
  <c r="F808" i="4" s="1"/>
  <c r="F809" i="4" a="1"/>
  <c r="F809" i="4" s="1"/>
  <c r="F810" i="4" a="1"/>
  <c r="F810" i="4" s="1"/>
  <c r="F811" i="4" a="1"/>
  <c r="F811" i="4" s="1"/>
  <c r="F812" i="4" a="1"/>
  <c r="F812" i="4" s="1"/>
  <c r="F813" i="4" a="1"/>
  <c r="F813" i="4" s="1"/>
  <c r="F814" i="4" a="1"/>
  <c r="F814" i="4" s="1"/>
  <c r="F815" i="4" a="1"/>
  <c r="F815" i="4" s="1"/>
  <c r="F816" i="4" a="1"/>
  <c r="F816" i="4" s="1"/>
  <c r="F817" i="4" a="1"/>
  <c r="F817" i="4" s="1"/>
  <c r="F818" i="4" a="1"/>
  <c r="F818" i="4" s="1"/>
  <c r="F819" i="4" a="1"/>
  <c r="F819" i="4" s="1"/>
  <c r="F820" i="4" a="1"/>
  <c r="F820" i="4" s="1"/>
  <c r="F821" i="4" a="1"/>
  <c r="F821" i="4" s="1"/>
  <c r="F822" i="4" a="1"/>
  <c r="F822" i="4" s="1"/>
  <c r="F823" i="4" a="1"/>
  <c r="F823" i="4" s="1"/>
  <c r="F824" i="4" a="1"/>
  <c r="F824" i="4" s="1"/>
  <c r="F825" i="4" a="1"/>
  <c r="F825" i="4" s="1"/>
  <c r="F826" i="4" a="1"/>
  <c r="F826" i="4" s="1"/>
  <c r="F827" i="4" a="1"/>
  <c r="F827" i="4" s="1"/>
  <c r="F828" i="4" a="1"/>
  <c r="F828" i="4" s="1"/>
  <c r="F829" i="4" a="1"/>
  <c r="F829" i="4" s="1"/>
  <c r="F830" i="4" a="1"/>
  <c r="F830" i="4" s="1"/>
  <c r="F831" i="4" a="1"/>
  <c r="F831" i="4" s="1"/>
  <c r="F832" i="4" a="1"/>
  <c r="F832" i="4" s="1"/>
  <c r="F833" i="4" a="1"/>
  <c r="F833" i="4" s="1"/>
  <c r="F834" i="4" a="1"/>
  <c r="F834" i="4" s="1"/>
  <c r="F835" i="4" a="1"/>
  <c r="F835" i="4" s="1"/>
  <c r="F836" i="4" a="1"/>
  <c r="F836" i="4" s="1"/>
  <c r="F837" i="4" a="1"/>
  <c r="F837" i="4" s="1"/>
  <c r="F838" i="4" a="1"/>
  <c r="F838" i="4" s="1"/>
  <c r="F839" i="4" a="1"/>
  <c r="F839" i="4" s="1"/>
  <c r="F840" i="4" a="1"/>
  <c r="F840" i="4" s="1"/>
  <c r="F841" i="4" a="1"/>
  <c r="F841" i="4" s="1"/>
  <c r="F842" i="4" a="1"/>
  <c r="F842" i="4" s="1"/>
  <c r="F843" i="4" a="1"/>
  <c r="F843" i="4" s="1"/>
  <c r="F844" i="4" a="1"/>
  <c r="F844" i="4" s="1"/>
  <c r="F845" i="4" a="1"/>
  <c r="F845" i="4" s="1"/>
  <c r="F846" i="4" a="1"/>
  <c r="F846" i="4" s="1"/>
  <c r="F847" i="4" a="1"/>
  <c r="F847" i="4" s="1"/>
  <c r="F848" i="4" a="1"/>
  <c r="F848" i="4" s="1"/>
  <c r="F849" i="4" a="1"/>
  <c r="F849" i="4" s="1"/>
  <c r="F850" i="4" a="1"/>
  <c r="F850" i="4" s="1"/>
  <c r="F851" i="4" a="1"/>
  <c r="F851" i="4" s="1"/>
  <c r="F852" i="4" a="1"/>
  <c r="F852" i="4" s="1"/>
  <c r="F853" i="4" a="1"/>
  <c r="F853" i="4" s="1"/>
  <c r="F854" i="4" a="1"/>
  <c r="F854" i="4" s="1"/>
  <c r="F855" i="4" a="1"/>
  <c r="F855" i="4" s="1"/>
  <c r="F856" i="4" a="1"/>
  <c r="F856" i="4" s="1"/>
  <c r="F857" i="4" a="1"/>
  <c r="F857" i="4" s="1"/>
  <c r="F858" i="4" a="1"/>
  <c r="F858" i="4" s="1"/>
  <c r="F859" i="4" a="1"/>
  <c r="F859" i="4" s="1"/>
  <c r="F860" i="4" a="1"/>
  <c r="F860" i="4" s="1"/>
  <c r="F861" i="4" a="1"/>
  <c r="F861" i="4" s="1"/>
  <c r="F862" i="4" a="1"/>
  <c r="F862" i="4" s="1"/>
  <c r="F863" i="4" a="1"/>
  <c r="F863" i="4" s="1"/>
  <c r="F864" i="4" a="1"/>
  <c r="F864" i="4" s="1"/>
  <c r="F865" i="4" a="1"/>
  <c r="F865" i="4" s="1"/>
  <c r="F866" i="4" a="1"/>
  <c r="F866" i="4" s="1"/>
  <c r="F867" i="4" a="1"/>
  <c r="F867" i="4" s="1"/>
  <c r="F868" i="4" a="1"/>
  <c r="F868" i="4" s="1"/>
  <c r="F869" i="4" a="1"/>
  <c r="F869" i="4" s="1"/>
  <c r="F870" i="4" a="1"/>
  <c r="F870" i="4" s="1"/>
  <c r="F871" i="4" a="1"/>
  <c r="F871" i="4" s="1"/>
  <c r="F872" i="4" a="1"/>
  <c r="F872" i="4" s="1"/>
  <c r="F873" i="4" a="1"/>
  <c r="F873" i="4" s="1"/>
  <c r="F874" i="4" a="1"/>
  <c r="F874" i="4" s="1"/>
  <c r="F875" i="4" a="1"/>
  <c r="F875" i="4" s="1"/>
  <c r="F876" i="4" a="1"/>
  <c r="F876" i="4" s="1"/>
  <c r="F877" i="4" a="1"/>
  <c r="F877" i="4" s="1"/>
  <c r="F878" i="4" a="1"/>
  <c r="F878" i="4" s="1"/>
  <c r="F879" i="4" a="1"/>
  <c r="F879" i="4" s="1"/>
  <c r="F880" i="4" a="1"/>
  <c r="F880" i="4" s="1"/>
  <c r="F881" i="4" a="1"/>
  <c r="F881" i="4" s="1"/>
  <c r="F882" i="4" a="1"/>
  <c r="F882" i="4" s="1"/>
  <c r="F883" i="4" a="1"/>
  <c r="F883" i="4" s="1"/>
  <c r="F884" i="4" a="1"/>
  <c r="F884" i="4" s="1"/>
  <c r="F885" i="4" a="1"/>
  <c r="F885" i="4" s="1"/>
  <c r="F886" i="4" a="1"/>
  <c r="F886" i="4" s="1"/>
  <c r="F887" i="4" a="1"/>
  <c r="F887" i="4" s="1"/>
  <c r="F888" i="4" a="1"/>
  <c r="F888" i="4" s="1"/>
  <c r="F889" i="4" a="1"/>
  <c r="F889" i="4" s="1"/>
  <c r="F890" i="4" a="1"/>
  <c r="F890" i="4" s="1"/>
  <c r="F891" i="4" a="1"/>
  <c r="F891" i="4" s="1"/>
  <c r="F892" i="4" a="1"/>
  <c r="F892" i="4" s="1"/>
  <c r="F893" i="4" a="1"/>
  <c r="F893" i="4" s="1"/>
  <c r="F894" i="4" a="1"/>
  <c r="F894" i="4" s="1"/>
  <c r="F895" i="4" a="1"/>
  <c r="F895" i="4" s="1"/>
  <c r="F896" i="4" a="1"/>
  <c r="F896" i="4" s="1"/>
  <c r="F897" i="4" a="1"/>
  <c r="F897" i="4" s="1"/>
  <c r="F898" i="4" a="1"/>
  <c r="F898" i="4" s="1"/>
  <c r="F899" i="4" a="1"/>
  <c r="F899" i="4" s="1"/>
  <c r="F900" i="4" a="1"/>
  <c r="F900" i="4" s="1"/>
  <c r="F901" i="4" a="1"/>
  <c r="F901" i="4" s="1"/>
  <c r="F902" i="4" a="1"/>
  <c r="F902" i="4" s="1"/>
  <c r="F903" i="4" a="1"/>
  <c r="F903" i="4" s="1"/>
  <c r="F904" i="4" a="1"/>
  <c r="F904" i="4" s="1"/>
  <c r="F905" i="4" a="1"/>
  <c r="F905" i="4" s="1"/>
  <c r="F906" i="4" a="1"/>
  <c r="F906" i="4" s="1"/>
  <c r="F907" i="4" a="1"/>
  <c r="F907" i="4" s="1"/>
  <c r="F908" i="4" a="1"/>
  <c r="F908" i="4" s="1"/>
  <c r="F909" i="4" a="1"/>
  <c r="F909" i="4" s="1"/>
  <c r="F910" i="4" a="1"/>
  <c r="F910" i="4" s="1"/>
  <c r="F911" i="4" a="1"/>
  <c r="F911" i="4" s="1"/>
  <c r="F912" i="4" a="1"/>
  <c r="F912" i="4" s="1"/>
  <c r="F913" i="4" a="1"/>
  <c r="F913" i="4" s="1"/>
  <c r="F914" i="4" a="1"/>
  <c r="F914" i="4" s="1"/>
  <c r="F915" i="4" a="1"/>
  <c r="F915" i="4" s="1"/>
  <c r="F916" i="4" a="1"/>
  <c r="F916" i="4" s="1"/>
  <c r="F917" i="4" a="1"/>
  <c r="F917" i="4" s="1"/>
  <c r="F918" i="4" a="1"/>
  <c r="F918" i="4" s="1"/>
  <c r="F919" i="4" a="1"/>
  <c r="F919" i="4" s="1"/>
  <c r="F920" i="4" a="1"/>
  <c r="F920" i="4" s="1"/>
  <c r="F921" i="4" a="1"/>
  <c r="F921" i="4" s="1"/>
  <c r="F922" i="4" a="1"/>
  <c r="F922" i="4" s="1"/>
  <c r="F923" i="4" a="1"/>
  <c r="F923" i="4" s="1"/>
  <c r="F924" i="4" a="1"/>
  <c r="F924" i="4" s="1"/>
  <c r="F925" i="4" a="1"/>
  <c r="F925" i="4" s="1"/>
  <c r="F926" i="4" a="1"/>
  <c r="F926" i="4" s="1"/>
  <c r="F927" i="4" a="1"/>
  <c r="F927" i="4" s="1"/>
  <c r="F928" i="4" a="1"/>
  <c r="F928" i="4" s="1"/>
  <c r="F929" i="4" a="1"/>
  <c r="F929" i="4" s="1"/>
  <c r="F930" i="4" a="1"/>
  <c r="F930" i="4" s="1"/>
  <c r="F931" i="4" a="1"/>
  <c r="F931" i="4" s="1"/>
  <c r="F932" i="4" a="1"/>
  <c r="F932" i="4" s="1"/>
  <c r="F933" i="4" a="1"/>
  <c r="F933" i="4" s="1"/>
  <c r="F934" i="4" a="1"/>
  <c r="F934" i="4" s="1"/>
  <c r="F935" i="4" a="1"/>
  <c r="F935" i="4" s="1"/>
  <c r="F936" i="4" a="1"/>
  <c r="F936" i="4" s="1"/>
  <c r="F937" i="4" a="1"/>
  <c r="F937" i="4" s="1"/>
  <c r="F938" i="4" a="1"/>
  <c r="F938" i="4" s="1"/>
  <c r="F939" i="4" a="1"/>
  <c r="F939" i="4" s="1"/>
  <c r="F940" i="4" a="1"/>
  <c r="F940" i="4" s="1"/>
  <c r="F941" i="4" a="1"/>
  <c r="F941" i="4" s="1"/>
  <c r="F942" i="4" a="1"/>
  <c r="F942" i="4" s="1"/>
  <c r="F943" i="4" a="1"/>
  <c r="F943" i="4" s="1"/>
  <c r="F944" i="4" a="1"/>
  <c r="F944" i="4" s="1"/>
  <c r="F945" i="4" a="1"/>
  <c r="F945" i="4" s="1"/>
  <c r="F946" i="4" a="1"/>
  <c r="F946" i="4" s="1"/>
  <c r="F947" i="4" a="1"/>
  <c r="F947" i="4" s="1"/>
  <c r="F948" i="4" a="1"/>
  <c r="F948" i="4" s="1"/>
  <c r="F949" i="4" a="1"/>
  <c r="F949" i="4" s="1"/>
  <c r="F950" i="4" a="1"/>
  <c r="F950" i="4" s="1"/>
  <c r="F951" i="4" a="1"/>
  <c r="F951" i="4" s="1"/>
  <c r="F952" i="4" a="1"/>
  <c r="F952" i="4" s="1"/>
  <c r="F953" i="4" a="1"/>
  <c r="F953" i="4" s="1"/>
  <c r="F954" i="4" a="1"/>
  <c r="F954" i="4" s="1"/>
  <c r="F955" i="4" a="1"/>
  <c r="F955" i="4" s="1"/>
  <c r="F956" i="4" a="1"/>
  <c r="F956" i="4" s="1"/>
  <c r="F957" i="4" a="1"/>
  <c r="F957" i="4" s="1"/>
  <c r="F958" i="4" a="1"/>
  <c r="F958" i="4" s="1"/>
  <c r="F959" i="4" a="1"/>
  <c r="F959" i="4" s="1"/>
  <c r="F960" i="4" a="1"/>
  <c r="F960" i="4" s="1"/>
  <c r="F961" i="4" a="1"/>
  <c r="F961" i="4" s="1"/>
  <c r="F962" i="4" a="1"/>
  <c r="F962" i="4" s="1"/>
  <c r="F963" i="4" a="1"/>
  <c r="F963" i="4" s="1"/>
  <c r="F964" i="4" a="1"/>
  <c r="F964" i="4" s="1"/>
  <c r="F965" i="4" a="1"/>
  <c r="F965" i="4" s="1"/>
  <c r="F966" i="4" a="1"/>
  <c r="F966" i="4" s="1"/>
  <c r="F967" i="4" a="1"/>
  <c r="F967" i="4" s="1"/>
  <c r="F968" i="4" a="1"/>
  <c r="F968" i="4" s="1"/>
  <c r="F969" i="4" a="1"/>
  <c r="F969" i="4" s="1"/>
  <c r="F970" i="4" a="1"/>
  <c r="F970" i="4" s="1"/>
  <c r="F971" i="4" a="1"/>
  <c r="F971" i="4" s="1"/>
  <c r="F972" i="4" a="1"/>
  <c r="F972" i="4" s="1"/>
  <c r="F973" i="4" a="1"/>
  <c r="F973" i="4" s="1"/>
  <c r="F974" i="4" a="1"/>
  <c r="F974" i="4" s="1"/>
  <c r="F975" i="4" a="1"/>
  <c r="F975" i="4" s="1"/>
  <c r="F976" i="4" a="1"/>
  <c r="F976" i="4" s="1"/>
  <c r="F977" i="4" a="1"/>
  <c r="F977" i="4" s="1"/>
  <c r="F978" i="4" a="1"/>
  <c r="F978" i="4" s="1"/>
  <c r="F979" i="4" a="1"/>
  <c r="F979" i="4" s="1"/>
  <c r="F980" i="4" a="1"/>
  <c r="F980" i="4" s="1"/>
  <c r="F981" i="4" a="1"/>
  <c r="F981" i="4" s="1"/>
  <c r="F982" i="4" a="1"/>
  <c r="F982" i="4" s="1"/>
  <c r="F983" i="4" a="1"/>
  <c r="F983" i="4" s="1"/>
  <c r="F984" i="4" a="1"/>
  <c r="F984" i="4" s="1"/>
  <c r="F985" i="4" a="1"/>
  <c r="F985" i="4" s="1"/>
  <c r="F986" i="4" a="1"/>
  <c r="F986" i="4" s="1"/>
  <c r="F987" i="4" a="1"/>
  <c r="F987" i="4" s="1"/>
  <c r="F988" i="4" a="1"/>
  <c r="F988" i="4" s="1"/>
  <c r="F989" i="4" a="1"/>
  <c r="F989" i="4" s="1"/>
  <c r="F990" i="4" a="1"/>
  <c r="F990" i="4" s="1"/>
  <c r="F991" i="4" a="1"/>
  <c r="F991" i="4" s="1"/>
  <c r="F992" i="4" a="1"/>
  <c r="F992" i="4" s="1"/>
  <c r="F993" i="4" a="1"/>
  <c r="F993" i="4" s="1"/>
  <c r="F994" i="4" a="1"/>
  <c r="F994" i="4" s="1"/>
  <c r="F995" i="4" a="1"/>
  <c r="F995" i="4" s="1"/>
  <c r="F996" i="4" a="1"/>
  <c r="F996" i="4" s="1"/>
  <c r="F997" i="4" a="1"/>
  <c r="F997" i="4" s="1"/>
  <c r="F998" i="4" a="1"/>
  <c r="F998" i="4" s="1"/>
  <c r="F999" i="4" a="1"/>
  <c r="F999" i="4" s="1"/>
  <c r="F1000" i="4" a="1"/>
  <c r="F1000" i="4" s="1"/>
  <c r="F1001" i="4" a="1"/>
  <c r="F1001" i="4" s="1"/>
  <c r="F1002" i="4" a="1"/>
  <c r="F1002" i="4" s="1"/>
  <c r="F1003" i="4" a="1"/>
  <c r="F1003" i="4" s="1"/>
  <c r="F1004" i="4" a="1"/>
  <c r="F1004" i="4" s="1"/>
  <c r="F1005" i="4" a="1"/>
  <c r="F1005" i="4" s="1"/>
  <c r="F1006" i="4" a="1"/>
  <c r="F1006" i="4" s="1"/>
  <c r="F1007" i="4" a="1"/>
  <c r="F1007" i="4" s="1"/>
  <c r="F1008" i="4" a="1"/>
  <c r="F1008" i="4" s="1"/>
  <c r="F1009" i="4" a="1"/>
  <c r="F1009" i="4" s="1"/>
  <c r="F1010" i="4" a="1"/>
  <c r="F1010" i="4" s="1"/>
  <c r="F1011" i="4" a="1"/>
  <c r="F1011" i="4" s="1"/>
  <c r="F1012" i="4" a="1"/>
  <c r="F1012" i="4" s="1"/>
  <c r="F1013" i="4" a="1"/>
  <c r="F1013" i="4" s="1"/>
  <c r="F1014" i="4" a="1"/>
  <c r="F1014" i="4" s="1"/>
  <c r="F1015" i="4" a="1"/>
  <c r="F1015" i="4" s="1"/>
  <c r="F1016" i="4" a="1"/>
  <c r="F1016" i="4" s="1"/>
  <c r="F1017" i="4" a="1"/>
  <c r="F1017" i="4" s="1"/>
  <c r="F1018" i="4" a="1"/>
  <c r="F1018" i="4" s="1"/>
  <c r="F1019" i="4" a="1"/>
  <c r="F1019" i="4" s="1"/>
  <c r="F1020" i="4" a="1"/>
  <c r="F1020" i="4" s="1"/>
  <c r="F1021" i="4" a="1"/>
  <c r="F1021" i="4" s="1"/>
  <c r="F1022" i="4" a="1"/>
  <c r="F1022" i="4" s="1"/>
  <c r="F1023" i="4" a="1"/>
  <c r="F1023" i="4" s="1"/>
  <c r="F1024" i="4" a="1"/>
  <c r="F1024" i="4" s="1"/>
  <c r="F1025" i="4" a="1"/>
  <c r="F1025" i="4" s="1"/>
  <c r="F1026" i="4" a="1"/>
  <c r="F1026" i="4" s="1"/>
  <c r="F1027" i="4" a="1"/>
  <c r="F1027" i="4" s="1"/>
  <c r="F1028" i="4" a="1"/>
  <c r="F1028" i="4" s="1"/>
  <c r="F1029" i="4" a="1"/>
  <c r="F1029" i="4" s="1"/>
  <c r="F1030" i="4" a="1"/>
  <c r="F1030" i="4" s="1"/>
  <c r="F1031" i="4" a="1"/>
  <c r="F1031" i="4" s="1"/>
  <c r="F1032" i="4" a="1"/>
  <c r="F1032" i="4" s="1"/>
  <c r="F1033" i="4" a="1"/>
  <c r="F1033" i="4" s="1"/>
  <c r="F1034" i="4" a="1"/>
  <c r="F1034" i="4" s="1"/>
  <c r="F1035" i="4" a="1"/>
  <c r="F1035" i="4" s="1"/>
  <c r="F1036" i="4" a="1"/>
  <c r="F1036" i="4" s="1"/>
  <c r="F1037" i="4" a="1"/>
  <c r="F1037" i="4" s="1"/>
  <c r="F1038" i="4" a="1"/>
  <c r="F1038" i="4" s="1"/>
  <c r="F1039" i="4" a="1"/>
  <c r="F1039" i="4" s="1"/>
  <c r="F1040" i="4" a="1"/>
  <c r="F1040" i="4" s="1"/>
  <c r="F1041" i="4" a="1"/>
  <c r="F1041" i="4" s="1"/>
  <c r="F1042" i="4" a="1"/>
  <c r="F1042" i="4" s="1"/>
  <c r="F1043" i="4" a="1"/>
  <c r="F1043" i="4" s="1"/>
  <c r="F1044" i="4" a="1"/>
  <c r="F1044" i="4" s="1"/>
  <c r="F1045" i="4" a="1"/>
  <c r="F1045" i="4" s="1"/>
  <c r="F1046" i="4" a="1"/>
  <c r="F1046" i="4" s="1"/>
  <c r="F1047" i="4" a="1"/>
  <c r="F1047" i="4" s="1"/>
  <c r="F1048" i="4" a="1"/>
  <c r="F1048" i="4" s="1"/>
  <c r="F1049" i="4" a="1"/>
  <c r="F1049" i="4" s="1"/>
  <c r="F1050" i="4" a="1"/>
  <c r="F1050" i="4" s="1"/>
  <c r="F1051" i="4" a="1"/>
  <c r="F1051" i="4" s="1"/>
  <c r="F1052" i="4" a="1"/>
  <c r="F1052" i="4" s="1"/>
  <c r="F1053" i="4" a="1"/>
  <c r="F1053" i="4" s="1"/>
  <c r="F1054" i="4" a="1"/>
  <c r="F1054" i="4" s="1"/>
  <c r="F1055" i="4" a="1"/>
  <c r="F1055" i="4" s="1"/>
  <c r="F1056" i="4" a="1"/>
  <c r="F1056" i="4" s="1"/>
  <c r="F1057" i="4" a="1"/>
  <c r="F1057" i="4" s="1"/>
  <c r="F1058" i="4" a="1"/>
  <c r="F1058" i="4" s="1"/>
  <c r="F1059" i="4" a="1"/>
  <c r="F1059" i="4" s="1"/>
  <c r="F1060" i="4" a="1"/>
  <c r="F1060" i="4" s="1"/>
  <c r="F1061" i="4" a="1"/>
  <c r="F1061" i="4" s="1"/>
  <c r="F1062" i="4" a="1"/>
  <c r="F1062" i="4" s="1"/>
  <c r="F1063" i="4" a="1"/>
  <c r="F1063" i="4" s="1"/>
  <c r="F1064" i="4" a="1"/>
  <c r="F1064" i="4" s="1"/>
  <c r="F1065" i="4" a="1"/>
  <c r="F1065" i="4" s="1"/>
  <c r="F1066" i="4" a="1"/>
  <c r="F1066" i="4" s="1"/>
  <c r="F1067" i="4" a="1"/>
  <c r="F1067" i="4" s="1"/>
  <c r="F1068" i="4" a="1"/>
  <c r="F1068" i="4" s="1"/>
  <c r="F1069" i="4" a="1"/>
  <c r="F1069" i="4" s="1"/>
  <c r="F1070" i="4" a="1"/>
  <c r="F1070" i="4" s="1"/>
  <c r="F1071" i="4" a="1"/>
  <c r="F1071" i="4" s="1"/>
  <c r="F1072" i="4" a="1"/>
  <c r="F1072" i="4" s="1"/>
  <c r="F1073" i="4" a="1"/>
  <c r="F1073" i="4" s="1"/>
  <c r="F1074" i="4" a="1"/>
  <c r="F1074" i="4" s="1"/>
  <c r="F1075" i="4" a="1"/>
  <c r="F1075" i="4" s="1"/>
  <c r="F1076" i="4" a="1"/>
  <c r="F1076" i="4" s="1"/>
  <c r="F1077" i="4" a="1"/>
  <c r="F1077" i="4" s="1"/>
  <c r="F1078" i="4" a="1"/>
  <c r="F1078" i="4" s="1"/>
  <c r="F1079" i="4" a="1"/>
  <c r="F1079" i="4" s="1"/>
  <c r="F1080" i="4" a="1"/>
  <c r="F1080" i="4" s="1"/>
  <c r="F1081" i="4" a="1"/>
  <c r="F1081" i="4" s="1"/>
  <c r="F1082" i="4" a="1"/>
  <c r="F1082" i="4" s="1"/>
  <c r="F1083" i="4" a="1"/>
  <c r="F1083" i="4" s="1"/>
  <c r="F1084" i="4" a="1"/>
  <c r="F1084" i="4" s="1"/>
  <c r="F1085" i="4" a="1"/>
  <c r="F1085" i="4" s="1"/>
  <c r="F1086" i="4" a="1"/>
  <c r="F1086" i="4" s="1"/>
  <c r="F1087" i="4" a="1"/>
  <c r="F1087" i="4" s="1"/>
  <c r="F1088" i="4" a="1"/>
  <c r="F1088" i="4" s="1"/>
  <c r="F1089" i="4" a="1"/>
  <c r="F1089" i="4" s="1"/>
  <c r="F1090" i="4" a="1"/>
  <c r="F1090" i="4" s="1"/>
  <c r="F1091" i="4" a="1"/>
  <c r="F1091" i="4" s="1"/>
  <c r="F1092" i="4" a="1"/>
  <c r="F1092" i="4" s="1"/>
  <c r="F1093" i="4" a="1"/>
  <c r="F1093" i="4" s="1"/>
  <c r="F1094" i="4" a="1"/>
  <c r="F1094" i="4" s="1"/>
  <c r="F1095" i="4" a="1"/>
  <c r="F1095" i="4" s="1"/>
  <c r="F1096" i="4" a="1"/>
  <c r="F1096" i="4" s="1"/>
  <c r="F1097" i="4" a="1"/>
  <c r="F1097" i="4" s="1"/>
  <c r="F1098" i="4" a="1"/>
  <c r="F1098" i="4" s="1"/>
  <c r="F1099" i="4" a="1"/>
  <c r="F1099" i="4" s="1"/>
  <c r="F1100" i="4" a="1"/>
  <c r="F1100" i="4" s="1"/>
  <c r="F1101" i="4" a="1"/>
  <c r="F1101" i="4" s="1"/>
  <c r="F1102" i="4" a="1"/>
  <c r="F1102" i="4" s="1"/>
  <c r="F1103" i="4" a="1"/>
  <c r="F1103" i="4" s="1"/>
  <c r="F1104" i="4" a="1"/>
  <c r="F1104" i="4" s="1"/>
  <c r="F1105" i="4" a="1"/>
  <c r="F1105" i="4" s="1"/>
  <c r="F1106" i="4" a="1"/>
  <c r="F1106" i="4" s="1"/>
  <c r="F1107" i="4" a="1"/>
  <c r="F1107" i="4" s="1"/>
  <c r="F1108" i="4" a="1"/>
  <c r="F1108" i="4" s="1"/>
  <c r="F1109" i="4" a="1"/>
  <c r="F1109" i="4" s="1"/>
  <c r="F1110" i="4" a="1"/>
  <c r="F1110" i="4" s="1"/>
  <c r="D10" i="4" a="1"/>
  <c r="D10" i="4" s="1"/>
  <c r="D11" i="4" a="1"/>
  <c r="D11" i="4" s="1"/>
  <c r="D12" i="4" a="1"/>
  <c r="D12" i="4" s="1"/>
  <c r="D13" i="4" a="1"/>
  <c r="D13" i="4" s="1"/>
  <c r="D14" i="4" a="1"/>
  <c r="D14" i="4" s="1"/>
  <c r="D15" i="4" a="1"/>
  <c r="D15" i="4" s="1"/>
  <c r="D16" i="4" a="1"/>
  <c r="D16" i="4" s="1"/>
  <c r="D17" i="4" a="1"/>
  <c r="D17" i="4" s="1"/>
  <c r="D18" i="4" a="1"/>
  <c r="D18" i="4" s="1"/>
  <c r="D19" i="4" a="1"/>
  <c r="D19" i="4" s="1"/>
  <c r="D20" i="4" a="1"/>
  <c r="D20" i="4" s="1"/>
  <c r="D21" i="4" a="1"/>
  <c r="D21" i="4" s="1"/>
  <c r="D22" i="4" a="1"/>
  <c r="D22" i="4" s="1"/>
  <c r="D23" i="4" a="1"/>
  <c r="D23" i="4" s="1"/>
  <c r="D24" i="4" a="1"/>
  <c r="D24" i="4" s="1"/>
  <c r="D25" i="4" a="1"/>
  <c r="D25" i="4" s="1"/>
  <c r="D26" i="4" a="1"/>
  <c r="D26" i="4" s="1"/>
  <c r="D27" i="4" a="1"/>
  <c r="D27" i="4" s="1"/>
  <c r="D28" i="4" a="1"/>
  <c r="D28" i="4" s="1"/>
  <c r="D29" i="4" a="1"/>
  <c r="D29" i="4" s="1"/>
  <c r="D30" i="4" a="1"/>
  <c r="D30" i="4" s="1"/>
  <c r="D31" i="4" a="1"/>
  <c r="D31" i="4" s="1"/>
  <c r="D32" i="4" a="1"/>
  <c r="D32" i="4" s="1"/>
  <c r="D33" i="4" a="1"/>
  <c r="D33" i="4" s="1"/>
  <c r="D34" i="4" a="1"/>
  <c r="D34" i="4" s="1"/>
  <c r="D35" i="4" a="1"/>
  <c r="D35" i="4" s="1"/>
  <c r="D36" i="4" a="1"/>
  <c r="D36" i="4" s="1"/>
  <c r="D37" i="4" a="1"/>
  <c r="D37" i="4" s="1"/>
  <c r="D38" i="4" a="1"/>
  <c r="D38" i="4" s="1"/>
  <c r="D39" i="4" a="1"/>
  <c r="D39" i="4" s="1"/>
  <c r="D40" i="4" a="1"/>
  <c r="D40" i="4" s="1"/>
  <c r="D41" i="4" a="1"/>
  <c r="D41" i="4" s="1"/>
  <c r="D42" i="4" a="1"/>
  <c r="D42" i="4" s="1"/>
  <c r="D43" i="4" a="1"/>
  <c r="D43" i="4" s="1"/>
  <c r="D44" i="4" a="1"/>
  <c r="D44" i="4" s="1"/>
  <c r="D45" i="4" a="1"/>
  <c r="D45" i="4" s="1"/>
  <c r="D46" i="4" a="1"/>
  <c r="D46" i="4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D81" i="4" a="1"/>
  <c r="D81" i="4" s="1"/>
  <c r="D82" i="4" a="1"/>
  <c r="D82" i="4" s="1"/>
  <c r="D83" i="4" a="1"/>
  <c r="D83" i="4" s="1"/>
  <c r="D84" i="4" a="1"/>
  <c r="D84" i="4" s="1"/>
  <c r="D85" i="4" a="1"/>
  <c r="D85" i="4" s="1"/>
  <c r="D86" i="4" a="1"/>
  <c r="D86" i="4" s="1"/>
  <c r="D87" i="4" a="1"/>
  <c r="D87" i="4" s="1"/>
  <c r="D88" i="4" a="1"/>
  <c r="D88" i="4" s="1"/>
  <c r="D89" i="4" a="1"/>
  <c r="D89" i="4" s="1"/>
  <c r="D90" i="4" a="1"/>
  <c r="D90" i="4" s="1"/>
  <c r="D91" i="4" a="1"/>
  <c r="D91" i="4" s="1"/>
  <c r="D92" i="4" a="1"/>
  <c r="D92" i="4" s="1"/>
  <c r="D93" i="4" a="1"/>
  <c r="D93" i="4" s="1"/>
  <c r="D94" i="4" a="1"/>
  <c r="D94" i="4" s="1"/>
  <c r="D95" i="4" a="1"/>
  <c r="D95" i="4" s="1"/>
  <c r="D96" i="4" a="1"/>
  <c r="D96" i="4" s="1"/>
  <c r="D97" i="4" a="1"/>
  <c r="D97" i="4" s="1"/>
  <c r="D98" i="4" a="1"/>
  <c r="D98" i="4" s="1"/>
  <c r="D99" i="4" a="1"/>
  <c r="D99" i="4" s="1"/>
  <c r="D100" i="4" a="1"/>
  <c r="D100" i="4" s="1"/>
  <c r="D101" i="4" a="1"/>
  <c r="D101" i="4" s="1"/>
  <c r="D102" i="4" a="1"/>
  <c r="D102" i="4" s="1"/>
  <c r="D103" i="4" a="1"/>
  <c r="D103" i="4" s="1"/>
  <c r="D104" i="4" a="1"/>
  <c r="D104" i="4" s="1"/>
  <c r="D105" i="4" a="1"/>
  <c r="D105" i="4" s="1"/>
  <c r="D106" i="4" a="1"/>
  <c r="D106" i="4" s="1"/>
  <c r="D107" i="4" a="1"/>
  <c r="D107" i="4" s="1"/>
  <c r="D108" i="4" a="1"/>
  <c r="D108" i="4" s="1"/>
  <c r="D109" i="4" a="1"/>
  <c r="D109" i="4" s="1"/>
  <c r="D110" i="4" a="1"/>
  <c r="D110" i="4" s="1"/>
  <c r="D111" i="4" a="1"/>
  <c r="D111" i="4" s="1"/>
  <c r="D112" i="4" a="1"/>
  <c r="D112" i="4" s="1"/>
  <c r="D113" i="4" a="1"/>
  <c r="D113" i="4" s="1"/>
  <c r="D114" i="4" a="1"/>
  <c r="D114" i="4" s="1"/>
  <c r="D115" i="4" a="1"/>
  <c r="D115" i="4" s="1"/>
  <c r="D116" i="4" a="1"/>
  <c r="D116" i="4" s="1"/>
  <c r="D117" i="4" a="1"/>
  <c r="D117" i="4" s="1"/>
  <c r="D118" i="4" a="1"/>
  <c r="D118" i="4" s="1"/>
  <c r="D119" i="4" a="1"/>
  <c r="D119" i="4" s="1"/>
  <c r="D120" i="4" a="1"/>
  <c r="D120" i="4" s="1"/>
  <c r="D121" i="4" a="1"/>
  <c r="D121" i="4" s="1"/>
  <c r="D122" i="4" a="1"/>
  <c r="D122" i="4" s="1"/>
  <c r="D123" i="4" a="1"/>
  <c r="D123" i="4" s="1"/>
  <c r="D124" i="4" a="1"/>
  <c r="D124" i="4" s="1"/>
  <c r="D125" i="4" a="1"/>
  <c r="D125" i="4" s="1"/>
  <c r="D126" i="4" a="1"/>
  <c r="D126" i="4" s="1"/>
  <c r="D127" i="4" a="1"/>
  <c r="D127" i="4" s="1"/>
  <c r="D128" i="4" a="1"/>
  <c r="D128" i="4" s="1"/>
  <c r="D129" i="4" a="1"/>
  <c r="D129" i="4" s="1"/>
  <c r="D130" i="4" a="1"/>
  <c r="D130" i="4" s="1"/>
  <c r="D131" i="4" a="1"/>
  <c r="D131" i="4" s="1"/>
  <c r="D132" i="4" a="1"/>
  <c r="D132" i="4" s="1"/>
  <c r="D133" i="4" a="1"/>
  <c r="D133" i="4" s="1"/>
  <c r="D134" i="4" a="1"/>
  <c r="D134" i="4" s="1"/>
  <c r="D135" i="4" a="1"/>
  <c r="D135" i="4" s="1"/>
  <c r="D136" i="4" a="1"/>
  <c r="D136" i="4" s="1"/>
  <c r="D137" i="4" a="1"/>
  <c r="D137" i="4" s="1"/>
  <c r="D138" i="4" a="1"/>
  <c r="D138" i="4" s="1"/>
  <c r="D139" i="4" a="1"/>
  <c r="D139" i="4" s="1"/>
  <c r="D140" i="4" a="1"/>
  <c r="D140" i="4" s="1"/>
  <c r="D141" i="4" a="1"/>
  <c r="D141" i="4" s="1"/>
  <c r="D142" i="4" a="1"/>
  <c r="D142" i="4" s="1"/>
  <c r="D143" i="4" a="1"/>
  <c r="D143" i="4" s="1"/>
  <c r="D144" i="4" a="1"/>
  <c r="D144" i="4" s="1"/>
  <c r="D145" i="4" a="1"/>
  <c r="D145" i="4" s="1"/>
  <c r="D146" i="4" a="1"/>
  <c r="D146" i="4" s="1"/>
  <c r="D147" i="4" a="1"/>
  <c r="D147" i="4" s="1"/>
  <c r="D148" i="4" a="1"/>
  <c r="D148" i="4" s="1"/>
  <c r="D149" i="4" a="1"/>
  <c r="D149" i="4" s="1"/>
  <c r="D150" i="4" a="1"/>
  <c r="D150" i="4" s="1"/>
  <c r="D151" i="4" a="1"/>
  <c r="D151" i="4" s="1"/>
  <c r="D152" i="4" a="1"/>
  <c r="D152" i="4" s="1"/>
  <c r="D153" i="4" a="1"/>
  <c r="D153" i="4" s="1"/>
  <c r="D154" i="4" a="1"/>
  <c r="D154" i="4" s="1"/>
  <c r="D155" i="4" a="1"/>
  <c r="D155" i="4" s="1"/>
  <c r="D156" i="4" a="1"/>
  <c r="D156" i="4" s="1"/>
  <c r="D157" i="4" a="1"/>
  <c r="D157" i="4" s="1"/>
  <c r="D158" i="4" a="1"/>
  <c r="D158" i="4" s="1"/>
  <c r="D159" i="4" a="1"/>
  <c r="D159" i="4" s="1"/>
  <c r="D160" i="4" a="1"/>
  <c r="D160" i="4" s="1"/>
  <c r="D161" i="4" a="1"/>
  <c r="D161" i="4" s="1"/>
  <c r="D162" i="4" a="1"/>
  <c r="D162" i="4" s="1"/>
  <c r="D163" i="4" a="1"/>
  <c r="D163" i="4" s="1"/>
  <c r="D164" i="4" a="1"/>
  <c r="D164" i="4" s="1"/>
  <c r="D165" i="4" a="1"/>
  <c r="D165" i="4" s="1"/>
  <c r="D166" i="4" a="1"/>
  <c r="D166" i="4" s="1"/>
  <c r="D167" i="4" a="1"/>
  <c r="D167" i="4" s="1"/>
  <c r="D168" i="4" a="1"/>
  <c r="D168" i="4" s="1"/>
  <c r="D169" i="4" a="1"/>
  <c r="D169" i="4" s="1"/>
  <c r="D170" i="4" a="1"/>
  <c r="D170" i="4" s="1"/>
  <c r="D171" i="4" a="1"/>
  <c r="D171" i="4" s="1"/>
  <c r="D172" i="4" a="1"/>
  <c r="D172" i="4" s="1"/>
  <c r="D173" i="4" a="1"/>
  <c r="D173" i="4" s="1"/>
  <c r="D174" i="4" a="1"/>
  <c r="D174" i="4" s="1"/>
  <c r="D175" i="4" a="1"/>
  <c r="D175" i="4" s="1"/>
  <c r="D176" i="4" a="1"/>
  <c r="D176" i="4" s="1"/>
  <c r="D177" i="4" a="1"/>
  <c r="D177" i="4" s="1"/>
  <c r="D178" i="4" a="1"/>
  <c r="D178" i="4" s="1"/>
  <c r="D179" i="4" a="1"/>
  <c r="D179" i="4" s="1"/>
  <c r="D180" i="4" a="1"/>
  <c r="D180" i="4" s="1"/>
  <c r="D181" i="4" a="1"/>
  <c r="D181" i="4" s="1"/>
  <c r="D182" i="4" a="1"/>
  <c r="D182" i="4" s="1"/>
  <c r="D183" i="4" a="1"/>
  <c r="D183" i="4" s="1"/>
  <c r="D184" i="4" a="1"/>
  <c r="D184" i="4" s="1"/>
  <c r="D185" i="4" a="1"/>
  <c r="D185" i="4" s="1"/>
  <c r="D186" i="4" a="1"/>
  <c r="D186" i="4" s="1"/>
  <c r="D187" i="4" a="1"/>
  <c r="D187" i="4" s="1"/>
  <c r="D188" i="4" a="1"/>
  <c r="D188" i="4" s="1"/>
  <c r="D189" i="4" a="1"/>
  <c r="D189" i="4" s="1"/>
  <c r="D190" i="4" a="1"/>
  <c r="D190" i="4" s="1"/>
  <c r="D191" i="4" a="1"/>
  <c r="D191" i="4" s="1"/>
  <c r="D192" i="4" a="1"/>
  <c r="D192" i="4" s="1"/>
  <c r="D193" i="4" a="1"/>
  <c r="D193" i="4" s="1"/>
  <c r="D194" i="4" a="1"/>
  <c r="D194" i="4" s="1"/>
  <c r="D195" i="4" a="1"/>
  <c r="D195" i="4" s="1"/>
  <c r="D196" i="4" a="1"/>
  <c r="D196" i="4" s="1"/>
  <c r="D197" i="4" a="1"/>
  <c r="D197" i="4" s="1"/>
  <c r="D198" i="4" a="1"/>
  <c r="D198" i="4" s="1"/>
  <c r="D199" i="4" a="1"/>
  <c r="D199" i="4" s="1"/>
  <c r="D200" i="4" a="1"/>
  <c r="D200" i="4" s="1"/>
  <c r="D201" i="4" a="1"/>
  <c r="D201" i="4" s="1"/>
  <c r="D202" i="4" a="1"/>
  <c r="D202" i="4" s="1"/>
  <c r="D203" i="4" a="1"/>
  <c r="D203" i="4" s="1"/>
  <c r="D204" i="4" a="1"/>
  <c r="D204" i="4" s="1"/>
  <c r="D205" i="4" a="1"/>
  <c r="D205" i="4" s="1"/>
  <c r="D206" i="4" a="1"/>
  <c r="D206" i="4" s="1"/>
  <c r="D207" i="4" a="1"/>
  <c r="D207" i="4" s="1"/>
  <c r="D208" i="4" a="1"/>
  <c r="D208" i="4" s="1"/>
  <c r="D209" i="4" a="1"/>
  <c r="D209" i="4" s="1"/>
  <c r="D210" i="4" a="1"/>
  <c r="D210" i="4" s="1"/>
  <c r="D211" i="4" a="1"/>
  <c r="D211" i="4" s="1"/>
  <c r="D212" i="4" a="1"/>
  <c r="D212" i="4" s="1"/>
  <c r="D213" i="4" a="1"/>
  <c r="D213" i="4" s="1"/>
  <c r="D214" i="4" a="1"/>
  <c r="D214" i="4" s="1"/>
  <c r="D215" i="4" a="1"/>
  <c r="D215" i="4" s="1"/>
  <c r="D216" i="4" a="1"/>
  <c r="D216" i="4" s="1"/>
  <c r="D217" i="4" a="1"/>
  <c r="D217" i="4" s="1"/>
  <c r="D218" i="4" a="1"/>
  <c r="D218" i="4" s="1"/>
  <c r="D219" i="4" a="1"/>
  <c r="D219" i="4" s="1"/>
  <c r="D220" i="4" a="1"/>
  <c r="D220" i="4" s="1"/>
  <c r="D221" i="4" a="1"/>
  <c r="D221" i="4" s="1"/>
  <c r="D222" i="4" a="1"/>
  <c r="D222" i="4" s="1"/>
  <c r="D223" i="4" a="1"/>
  <c r="D223" i="4" s="1"/>
  <c r="D224" i="4" a="1"/>
  <c r="D224" i="4" s="1"/>
  <c r="D225" i="4" a="1"/>
  <c r="D225" i="4" s="1"/>
  <c r="D226" i="4" a="1"/>
  <c r="D226" i="4" s="1"/>
  <c r="D227" i="4" a="1"/>
  <c r="D227" i="4" s="1"/>
  <c r="D228" i="4" a="1"/>
  <c r="D228" i="4" s="1"/>
  <c r="D229" i="4" a="1"/>
  <c r="D229" i="4" s="1"/>
  <c r="D230" i="4" a="1"/>
  <c r="D230" i="4" s="1"/>
  <c r="D231" i="4" a="1"/>
  <c r="D231" i="4" s="1"/>
  <c r="D232" i="4" a="1"/>
  <c r="D232" i="4" s="1"/>
  <c r="D233" i="4" a="1"/>
  <c r="D233" i="4" s="1"/>
  <c r="D234" i="4" a="1"/>
  <c r="D234" i="4" s="1"/>
  <c r="D235" i="4" a="1"/>
  <c r="D235" i="4" s="1"/>
  <c r="D236" i="4" a="1"/>
  <c r="D236" i="4" s="1"/>
  <c r="D237" i="4" a="1"/>
  <c r="D237" i="4" s="1"/>
  <c r="D238" i="4" a="1"/>
  <c r="D238" i="4" s="1"/>
  <c r="D239" i="4" a="1"/>
  <c r="D239" i="4" s="1"/>
  <c r="D240" i="4" a="1"/>
  <c r="D240" i="4" s="1"/>
  <c r="D241" i="4" a="1"/>
  <c r="D241" i="4" s="1"/>
  <c r="D242" i="4" a="1"/>
  <c r="D242" i="4" s="1"/>
  <c r="D243" i="4" a="1"/>
  <c r="D243" i="4" s="1"/>
  <c r="D244" i="4" a="1"/>
  <c r="D244" i="4" s="1"/>
  <c r="D245" i="4" a="1"/>
  <c r="D245" i="4" s="1"/>
  <c r="D246" i="4" a="1"/>
  <c r="D246" i="4" s="1"/>
  <c r="D247" i="4" a="1"/>
  <c r="D247" i="4" s="1"/>
  <c r="D248" i="4" a="1"/>
  <c r="D248" i="4" s="1"/>
  <c r="D249" i="4" a="1"/>
  <c r="D249" i="4" s="1"/>
  <c r="D250" i="4" a="1"/>
  <c r="D250" i="4" s="1"/>
  <c r="D251" i="4" a="1"/>
  <c r="D251" i="4" s="1"/>
  <c r="D252" i="4" a="1"/>
  <c r="D252" i="4" s="1"/>
  <c r="D253" i="4" a="1"/>
  <c r="D253" i="4" s="1"/>
  <c r="D254" i="4" a="1"/>
  <c r="D254" i="4" s="1"/>
  <c r="D255" i="4" a="1"/>
  <c r="D255" i="4" s="1"/>
  <c r="D256" i="4" a="1"/>
  <c r="D256" i="4" s="1"/>
  <c r="D257" i="4" a="1"/>
  <c r="D257" i="4" s="1"/>
  <c r="D258" i="4" a="1"/>
  <c r="D258" i="4" s="1"/>
  <c r="D259" i="4" a="1"/>
  <c r="D259" i="4" s="1"/>
  <c r="D260" i="4" a="1"/>
  <c r="D260" i="4" s="1"/>
  <c r="D261" i="4" a="1"/>
  <c r="D261" i="4" s="1"/>
  <c r="D262" i="4" a="1"/>
  <c r="D262" i="4" s="1"/>
  <c r="D263" i="4" a="1"/>
  <c r="D263" i="4" s="1"/>
  <c r="D264" i="4" a="1"/>
  <c r="D264" i="4" s="1"/>
  <c r="D265" i="4" a="1"/>
  <c r="D265" i="4" s="1"/>
  <c r="D266" i="4" a="1"/>
  <c r="D266" i="4" s="1"/>
  <c r="D267" i="4" a="1"/>
  <c r="D267" i="4" s="1"/>
  <c r="D268" i="4" a="1"/>
  <c r="D268" i="4" s="1"/>
  <c r="D269" i="4" a="1"/>
  <c r="D269" i="4" s="1"/>
  <c r="D270" i="4" a="1"/>
  <c r="D270" i="4" s="1"/>
  <c r="D271" i="4" a="1"/>
  <c r="D271" i="4" s="1"/>
  <c r="D272" i="4" a="1"/>
  <c r="D272" i="4" s="1"/>
  <c r="D273" i="4" a="1"/>
  <c r="D273" i="4" s="1"/>
  <c r="D274" i="4" a="1"/>
  <c r="D274" i="4" s="1"/>
  <c r="D275" i="4" a="1"/>
  <c r="D275" i="4" s="1"/>
  <c r="D276" i="4" a="1"/>
  <c r="D276" i="4" s="1"/>
  <c r="D277" i="4" a="1"/>
  <c r="D277" i="4" s="1"/>
  <c r="D278" i="4" a="1"/>
  <c r="D278" i="4" s="1"/>
  <c r="D279" i="4" a="1"/>
  <c r="D279" i="4" s="1"/>
  <c r="D280" i="4" a="1"/>
  <c r="D280" i="4" s="1"/>
  <c r="D281" i="4" a="1"/>
  <c r="D281" i="4" s="1"/>
  <c r="D282" i="4" a="1"/>
  <c r="D282" i="4" s="1"/>
  <c r="D283" i="4" a="1"/>
  <c r="D283" i="4" s="1"/>
  <c r="D284" i="4" a="1"/>
  <c r="D284" i="4" s="1"/>
  <c r="D285" i="4" a="1"/>
  <c r="D285" i="4" s="1"/>
  <c r="D286" i="4" a="1"/>
  <c r="D286" i="4" s="1"/>
  <c r="D287" i="4" a="1"/>
  <c r="D287" i="4" s="1"/>
  <c r="D288" i="4" a="1"/>
  <c r="D288" i="4" s="1"/>
  <c r="D289" i="4" a="1"/>
  <c r="D289" i="4" s="1"/>
  <c r="D290" i="4" a="1"/>
  <c r="D290" i="4" s="1"/>
  <c r="D291" i="4" a="1"/>
  <c r="D291" i="4" s="1"/>
  <c r="D292" i="4" a="1"/>
  <c r="D292" i="4" s="1"/>
  <c r="D293" i="4" a="1"/>
  <c r="D293" i="4" s="1"/>
  <c r="D294" i="4" a="1"/>
  <c r="D294" i="4" s="1"/>
  <c r="D295" i="4" a="1"/>
  <c r="D295" i="4" s="1"/>
  <c r="D296" i="4" a="1"/>
  <c r="D296" i="4" s="1"/>
  <c r="D297" i="4" a="1"/>
  <c r="D297" i="4" s="1"/>
  <c r="D298" i="4" a="1"/>
  <c r="D298" i="4" s="1"/>
  <c r="D299" i="4" a="1"/>
  <c r="D299" i="4" s="1"/>
  <c r="D300" i="4" a="1"/>
  <c r="D300" i="4" s="1"/>
  <c r="D301" i="4" a="1"/>
  <c r="D301" i="4" s="1"/>
  <c r="D302" i="4" a="1"/>
  <c r="D302" i="4" s="1"/>
  <c r="D303" i="4" a="1"/>
  <c r="D303" i="4" s="1"/>
  <c r="D304" i="4" a="1"/>
  <c r="D304" i="4" s="1"/>
  <c r="D305" i="4" a="1"/>
  <c r="D305" i="4" s="1"/>
  <c r="D306" i="4" a="1"/>
  <c r="D306" i="4" s="1"/>
  <c r="D307" i="4" a="1"/>
  <c r="D307" i="4" s="1"/>
  <c r="D308" i="4" a="1"/>
  <c r="D308" i="4" s="1"/>
  <c r="D309" i="4" a="1"/>
  <c r="D309" i="4" s="1"/>
  <c r="D310" i="4" a="1"/>
  <c r="D310" i="4" s="1"/>
  <c r="D311" i="4" a="1"/>
  <c r="D311" i="4" s="1"/>
  <c r="D312" i="4" a="1"/>
  <c r="D312" i="4" s="1"/>
  <c r="D313" i="4" a="1"/>
  <c r="D313" i="4" s="1"/>
  <c r="D314" i="4" a="1"/>
  <c r="D314" i="4" s="1"/>
  <c r="D315" i="4" a="1"/>
  <c r="D315" i="4" s="1"/>
  <c r="D316" i="4" a="1"/>
  <c r="D316" i="4" s="1"/>
  <c r="D317" i="4" a="1"/>
  <c r="D317" i="4" s="1"/>
  <c r="D318" i="4" a="1"/>
  <c r="D318" i="4" s="1"/>
  <c r="D319" i="4" a="1"/>
  <c r="D319" i="4" s="1"/>
  <c r="D320" i="4" a="1"/>
  <c r="D320" i="4" s="1"/>
  <c r="D321" i="4" a="1"/>
  <c r="D321" i="4" s="1"/>
  <c r="D322" i="4" a="1"/>
  <c r="D322" i="4" s="1"/>
  <c r="D323" i="4" a="1"/>
  <c r="D323" i="4" s="1"/>
  <c r="D324" i="4" a="1"/>
  <c r="D324" i="4" s="1"/>
  <c r="D325" i="4" a="1"/>
  <c r="D325" i="4" s="1"/>
  <c r="D326" i="4" a="1"/>
  <c r="D326" i="4" s="1"/>
  <c r="D327" i="4" a="1"/>
  <c r="D327" i="4" s="1"/>
  <c r="D328" i="4" a="1"/>
  <c r="D328" i="4" s="1"/>
  <c r="D329" i="4" a="1"/>
  <c r="D329" i="4" s="1"/>
  <c r="D330" i="4" a="1"/>
  <c r="D330" i="4" s="1"/>
  <c r="D331" i="4" a="1"/>
  <c r="D331" i="4" s="1"/>
  <c r="D332" i="4" a="1"/>
  <c r="D332" i="4" s="1"/>
  <c r="D333" i="4" a="1"/>
  <c r="D333" i="4" s="1"/>
  <c r="D334" i="4" a="1"/>
  <c r="D334" i="4" s="1"/>
  <c r="D335" i="4" a="1"/>
  <c r="D335" i="4" s="1"/>
  <c r="D336" i="4" a="1"/>
  <c r="D336" i="4" s="1"/>
  <c r="D337" i="4" a="1"/>
  <c r="D337" i="4" s="1"/>
  <c r="D338" i="4" a="1"/>
  <c r="D338" i="4" s="1"/>
  <c r="D339" i="4" a="1"/>
  <c r="D339" i="4" s="1"/>
  <c r="D340" i="4" a="1"/>
  <c r="D340" i="4" s="1"/>
  <c r="D341" i="4" a="1"/>
  <c r="D341" i="4" s="1"/>
  <c r="D342" i="4" a="1"/>
  <c r="D342" i="4" s="1"/>
  <c r="D343" i="4" a="1"/>
  <c r="D343" i="4" s="1"/>
  <c r="D344" i="4" a="1"/>
  <c r="D344" i="4" s="1"/>
  <c r="D345" i="4" a="1"/>
  <c r="D345" i="4" s="1"/>
  <c r="D346" i="4" a="1"/>
  <c r="D346" i="4" s="1"/>
  <c r="D347" i="4" a="1"/>
  <c r="D347" i="4" s="1"/>
  <c r="D348" i="4" a="1"/>
  <c r="D348" i="4" s="1"/>
  <c r="D349" i="4" a="1"/>
  <c r="D349" i="4" s="1"/>
  <c r="D350" i="4" a="1"/>
  <c r="D350" i="4" s="1"/>
  <c r="D351" i="4" a="1"/>
  <c r="D351" i="4" s="1"/>
  <c r="D352" i="4" a="1"/>
  <c r="D352" i="4" s="1"/>
  <c r="D353" i="4" a="1"/>
  <c r="D353" i="4" s="1"/>
  <c r="D354" i="4" a="1"/>
  <c r="D354" i="4" s="1"/>
  <c r="D355" i="4" a="1"/>
  <c r="D355" i="4" s="1"/>
  <c r="D356" i="4" a="1"/>
  <c r="D356" i="4" s="1"/>
  <c r="D357" i="4" a="1"/>
  <c r="D357" i="4" s="1"/>
  <c r="D358" i="4" a="1"/>
  <c r="D358" i="4" s="1"/>
  <c r="D359" i="4" a="1"/>
  <c r="D359" i="4" s="1"/>
  <c r="D360" i="4" a="1"/>
  <c r="D360" i="4" s="1"/>
  <c r="D361" i="4" a="1"/>
  <c r="D361" i="4" s="1"/>
  <c r="D362" i="4" a="1"/>
  <c r="D362" i="4" s="1"/>
  <c r="D363" i="4" a="1"/>
  <c r="D363" i="4" s="1"/>
  <c r="D364" i="4" a="1"/>
  <c r="D364" i="4" s="1"/>
  <c r="D365" i="4" a="1"/>
  <c r="D365" i="4" s="1"/>
  <c r="D366" i="4" a="1"/>
  <c r="D366" i="4" s="1"/>
  <c r="D367" i="4" a="1"/>
  <c r="D367" i="4" s="1"/>
  <c r="D368" i="4" a="1"/>
  <c r="D368" i="4" s="1"/>
  <c r="D369" i="4" a="1"/>
  <c r="D369" i="4" s="1"/>
  <c r="D370" i="4" a="1"/>
  <c r="D370" i="4" s="1"/>
  <c r="D371" i="4" a="1"/>
  <c r="D371" i="4" s="1"/>
  <c r="D372" i="4" a="1"/>
  <c r="D372" i="4" s="1"/>
  <c r="D373" i="4" a="1"/>
  <c r="D373" i="4" s="1"/>
  <c r="D374" i="4" a="1"/>
  <c r="D374" i="4" s="1"/>
  <c r="D375" i="4" a="1"/>
  <c r="D375" i="4" s="1"/>
  <c r="D376" i="4" a="1"/>
  <c r="D376" i="4" s="1"/>
  <c r="D377" i="4" a="1"/>
  <c r="D377" i="4" s="1"/>
  <c r="D378" i="4" a="1"/>
  <c r="D378" i="4" s="1"/>
  <c r="D379" i="4" a="1"/>
  <c r="D379" i="4" s="1"/>
  <c r="D380" i="4" a="1"/>
  <c r="D380" i="4" s="1"/>
  <c r="D381" i="4" a="1"/>
  <c r="D381" i="4" s="1"/>
  <c r="D382" i="4" a="1"/>
  <c r="D382" i="4" s="1"/>
  <c r="D383" i="4" a="1"/>
  <c r="D383" i="4" s="1"/>
  <c r="D384" i="4" a="1"/>
  <c r="D384" i="4" s="1"/>
  <c r="D385" i="4" a="1"/>
  <c r="D385" i="4" s="1"/>
  <c r="D386" i="4" a="1"/>
  <c r="D386" i="4" s="1"/>
  <c r="D387" i="4" a="1"/>
  <c r="D387" i="4" s="1"/>
  <c r="D388" i="4" a="1"/>
  <c r="D388" i="4" s="1"/>
  <c r="D389" i="4" a="1"/>
  <c r="D389" i="4" s="1"/>
  <c r="D390" i="4" a="1"/>
  <c r="D390" i="4" s="1"/>
  <c r="D391" i="4" a="1"/>
  <c r="D391" i="4" s="1"/>
  <c r="D392" i="4" a="1"/>
  <c r="D392" i="4" s="1"/>
  <c r="D393" i="4" a="1"/>
  <c r="D393" i="4" s="1"/>
  <c r="D394" i="4" a="1"/>
  <c r="D394" i="4" s="1"/>
  <c r="D395" i="4" a="1"/>
  <c r="D395" i="4" s="1"/>
  <c r="D396" i="4" a="1"/>
  <c r="D396" i="4" s="1"/>
  <c r="D397" i="4" a="1"/>
  <c r="D397" i="4" s="1"/>
  <c r="D398" i="4" a="1"/>
  <c r="D398" i="4" s="1"/>
  <c r="D399" i="4" a="1"/>
  <c r="D399" i="4" s="1"/>
  <c r="D400" i="4" a="1"/>
  <c r="D400" i="4" s="1"/>
  <c r="D401" i="4" a="1"/>
  <c r="D401" i="4" s="1"/>
  <c r="D402" i="4" a="1"/>
  <c r="D402" i="4" s="1"/>
  <c r="D403" i="4" a="1"/>
  <c r="D403" i="4" s="1"/>
  <c r="D404" i="4" a="1"/>
  <c r="D404" i="4" s="1"/>
  <c r="D405" i="4" a="1"/>
  <c r="D405" i="4" s="1"/>
  <c r="D406" i="4" a="1"/>
  <c r="D406" i="4" s="1"/>
  <c r="D407" i="4" a="1"/>
  <c r="D407" i="4" s="1"/>
  <c r="D408" i="4" a="1"/>
  <c r="D408" i="4" s="1"/>
  <c r="D409" i="4" a="1"/>
  <c r="D409" i="4" s="1"/>
  <c r="D410" i="4" a="1"/>
  <c r="D410" i="4" s="1"/>
  <c r="D411" i="4" a="1"/>
  <c r="D411" i="4" s="1"/>
  <c r="D412" i="4" a="1"/>
  <c r="D412" i="4" s="1"/>
  <c r="D413" i="4" a="1"/>
  <c r="D413" i="4" s="1"/>
  <c r="D414" i="4" a="1"/>
  <c r="D414" i="4" s="1"/>
  <c r="D415" i="4" a="1"/>
  <c r="D415" i="4" s="1"/>
  <c r="D416" i="4" a="1"/>
  <c r="D416" i="4" s="1"/>
  <c r="D417" i="4" a="1"/>
  <c r="D417" i="4" s="1"/>
  <c r="D418" i="4" a="1"/>
  <c r="D418" i="4" s="1"/>
  <c r="D419" i="4" a="1"/>
  <c r="D419" i="4" s="1"/>
  <c r="D420" i="4" a="1"/>
  <c r="D420" i="4" s="1"/>
  <c r="D421" i="4" a="1"/>
  <c r="D421" i="4" s="1"/>
  <c r="D422" i="4" a="1"/>
  <c r="D422" i="4" s="1"/>
  <c r="D423" i="4" a="1"/>
  <c r="D423" i="4" s="1"/>
  <c r="D424" i="4" a="1"/>
  <c r="D424" i="4" s="1"/>
  <c r="D425" i="4" a="1"/>
  <c r="D425" i="4" s="1"/>
  <c r="D426" i="4" a="1"/>
  <c r="D426" i="4" s="1"/>
  <c r="D427" i="4" a="1"/>
  <c r="D427" i="4" s="1"/>
  <c r="D428" i="4" a="1"/>
  <c r="D428" i="4" s="1"/>
  <c r="D429" i="4" a="1"/>
  <c r="D429" i="4" s="1"/>
  <c r="D430" i="4" a="1"/>
  <c r="D430" i="4" s="1"/>
  <c r="D431" i="4" a="1"/>
  <c r="D431" i="4" s="1"/>
  <c r="D432" i="4" a="1"/>
  <c r="D432" i="4" s="1"/>
  <c r="D433" i="4" a="1"/>
  <c r="D433" i="4" s="1"/>
  <c r="D434" i="4" a="1"/>
  <c r="D434" i="4" s="1"/>
  <c r="D435" i="4" a="1"/>
  <c r="D435" i="4" s="1"/>
  <c r="D436" i="4" a="1"/>
  <c r="D436" i="4" s="1"/>
  <c r="D437" i="4" a="1"/>
  <c r="D437" i="4" s="1"/>
  <c r="D438" i="4" a="1"/>
  <c r="D438" i="4" s="1"/>
  <c r="D439" i="4" a="1"/>
  <c r="D439" i="4" s="1"/>
  <c r="D440" i="4" a="1"/>
  <c r="D440" i="4" s="1"/>
  <c r="D441" i="4" a="1"/>
  <c r="D441" i="4" s="1"/>
  <c r="D442" i="4" a="1"/>
  <c r="D442" i="4" s="1"/>
  <c r="D443" i="4" a="1"/>
  <c r="D443" i="4" s="1"/>
  <c r="D444" i="4" a="1"/>
  <c r="D444" i="4" s="1"/>
  <c r="D445" i="4" a="1"/>
  <c r="D445" i="4" s="1"/>
  <c r="D446" i="4" a="1"/>
  <c r="D446" i="4" s="1"/>
  <c r="D447" i="4" a="1"/>
  <c r="D447" i="4" s="1"/>
  <c r="D448" i="4" a="1"/>
  <c r="D448" i="4" s="1"/>
  <c r="D449" i="4" a="1"/>
  <c r="D449" i="4" s="1"/>
  <c r="D450" i="4" a="1"/>
  <c r="D450" i="4" s="1"/>
  <c r="D451" i="4" a="1"/>
  <c r="D451" i="4" s="1"/>
  <c r="D452" i="4" a="1"/>
  <c r="D452" i="4" s="1"/>
  <c r="D453" i="4" a="1"/>
  <c r="D453" i="4" s="1"/>
  <c r="D454" i="4" a="1"/>
  <c r="D454" i="4" s="1"/>
  <c r="D455" i="4" a="1"/>
  <c r="D455" i="4" s="1"/>
  <c r="D456" i="4" a="1"/>
  <c r="D456" i="4" s="1"/>
  <c r="D457" i="4" a="1"/>
  <c r="D457" i="4" s="1"/>
  <c r="D458" i="4" a="1"/>
  <c r="D458" i="4" s="1"/>
  <c r="D459" i="4" a="1"/>
  <c r="D459" i="4" s="1"/>
  <c r="D460" i="4" a="1"/>
  <c r="D460" i="4" s="1"/>
  <c r="D461" i="4" a="1"/>
  <c r="D461" i="4" s="1"/>
  <c r="D462" i="4" a="1"/>
  <c r="D462" i="4" s="1"/>
  <c r="D463" i="4" a="1"/>
  <c r="D463" i="4" s="1"/>
  <c r="D464" i="4" a="1"/>
  <c r="D464" i="4" s="1"/>
  <c r="D465" i="4" a="1"/>
  <c r="D465" i="4" s="1"/>
  <c r="D466" i="4" a="1"/>
  <c r="D466" i="4" s="1"/>
  <c r="D467" i="4" a="1"/>
  <c r="D467" i="4" s="1"/>
  <c r="D468" i="4" a="1"/>
  <c r="D468" i="4" s="1"/>
  <c r="D469" i="4" a="1"/>
  <c r="D469" i="4" s="1"/>
  <c r="D470" i="4" a="1"/>
  <c r="D470" i="4" s="1"/>
  <c r="D471" i="4" a="1"/>
  <c r="D471" i="4" s="1"/>
  <c r="D472" i="4" a="1"/>
  <c r="D472" i="4" s="1"/>
  <c r="D473" i="4" a="1"/>
  <c r="D473" i="4" s="1"/>
  <c r="D474" i="4" a="1"/>
  <c r="D474" i="4" s="1"/>
  <c r="D475" i="4" a="1"/>
  <c r="D475" i="4" s="1"/>
  <c r="D476" i="4" a="1"/>
  <c r="D476" i="4" s="1"/>
  <c r="D477" i="4" a="1"/>
  <c r="D477" i="4" s="1"/>
  <c r="D478" i="4" a="1"/>
  <c r="D478" i="4" s="1"/>
  <c r="D479" i="4" a="1"/>
  <c r="D479" i="4" s="1"/>
  <c r="D480" i="4" a="1"/>
  <c r="D480" i="4" s="1"/>
  <c r="D481" i="4" a="1"/>
  <c r="D481" i="4" s="1"/>
  <c r="D482" i="4" a="1"/>
  <c r="D482" i="4" s="1"/>
  <c r="D483" i="4" a="1"/>
  <c r="D483" i="4" s="1"/>
  <c r="D484" i="4" a="1"/>
  <c r="D484" i="4" s="1"/>
  <c r="D485" i="4" a="1"/>
  <c r="D485" i="4" s="1"/>
  <c r="D486" i="4" a="1"/>
  <c r="D486" i="4" s="1"/>
  <c r="D487" i="4" a="1"/>
  <c r="D487" i="4" s="1"/>
  <c r="D488" i="4" a="1"/>
  <c r="D488" i="4" s="1"/>
  <c r="D489" i="4" a="1"/>
  <c r="D489" i="4" s="1"/>
  <c r="D490" i="4" a="1"/>
  <c r="D490" i="4" s="1"/>
  <c r="D491" i="4" a="1"/>
  <c r="D491" i="4" s="1"/>
  <c r="D492" i="4" a="1"/>
  <c r="D492" i="4" s="1"/>
  <c r="D493" i="4" a="1"/>
  <c r="D493" i="4" s="1"/>
  <c r="D494" i="4" a="1"/>
  <c r="D494" i="4" s="1"/>
  <c r="D495" i="4" a="1"/>
  <c r="D495" i="4" s="1"/>
  <c r="D496" i="4" a="1"/>
  <c r="D496" i="4" s="1"/>
  <c r="D497" i="4" a="1"/>
  <c r="D497" i="4" s="1"/>
  <c r="D498" i="4" a="1"/>
  <c r="D498" i="4" s="1"/>
  <c r="D499" i="4" a="1"/>
  <c r="D499" i="4" s="1"/>
  <c r="D500" i="4" a="1"/>
  <c r="D500" i="4" s="1"/>
  <c r="D501" i="4" a="1"/>
  <c r="D501" i="4" s="1"/>
  <c r="D502" i="4" a="1"/>
  <c r="D502" i="4" s="1"/>
  <c r="D503" i="4" a="1"/>
  <c r="D503" i="4" s="1"/>
  <c r="D504" i="4" a="1"/>
  <c r="D504" i="4" s="1"/>
  <c r="D505" i="4" a="1"/>
  <c r="D505" i="4" s="1"/>
  <c r="D506" i="4" a="1"/>
  <c r="D506" i="4" s="1"/>
  <c r="D507" i="4" a="1"/>
  <c r="D507" i="4" s="1"/>
  <c r="D508" i="4" a="1"/>
  <c r="D508" i="4" s="1"/>
  <c r="D509" i="4" a="1"/>
  <c r="D509" i="4" s="1"/>
  <c r="D510" i="4" a="1"/>
  <c r="D510" i="4" s="1"/>
  <c r="D511" i="4" a="1"/>
  <c r="D511" i="4" s="1"/>
  <c r="D512" i="4" a="1"/>
  <c r="D512" i="4" s="1"/>
  <c r="D513" i="4" a="1"/>
  <c r="D513" i="4" s="1"/>
  <c r="D514" i="4" a="1"/>
  <c r="D514" i="4" s="1"/>
  <c r="D515" i="4" a="1"/>
  <c r="D515" i="4" s="1"/>
  <c r="D516" i="4" a="1"/>
  <c r="D516" i="4" s="1"/>
  <c r="D517" i="4" a="1"/>
  <c r="D517" i="4" s="1"/>
  <c r="D518" i="4" a="1"/>
  <c r="D518" i="4" s="1"/>
  <c r="D519" i="4" a="1"/>
  <c r="D519" i="4" s="1"/>
  <c r="D520" i="4" a="1"/>
  <c r="D520" i="4" s="1"/>
  <c r="D521" i="4" a="1"/>
  <c r="D521" i="4" s="1"/>
  <c r="D522" i="4" a="1"/>
  <c r="D522" i="4" s="1"/>
  <c r="D523" i="4" a="1"/>
  <c r="D523" i="4" s="1"/>
  <c r="D524" i="4" a="1"/>
  <c r="D524" i="4" s="1"/>
  <c r="D525" i="4" a="1"/>
  <c r="D525" i="4" s="1"/>
  <c r="D526" i="4" a="1"/>
  <c r="D526" i="4" s="1"/>
  <c r="D527" i="4" a="1"/>
  <c r="D527" i="4" s="1"/>
  <c r="D528" i="4" a="1"/>
  <c r="D528" i="4" s="1"/>
  <c r="D529" i="4" a="1"/>
  <c r="D529" i="4" s="1"/>
  <c r="D530" i="4" a="1"/>
  <c r="D530" i="4" s="1"/>
  <c r="D531" i="4" a="1"/>
  <c r="D531" i="4" s="1"/>
  <c r="D532" i="4" a="1"/>
  <c r="D532" i="4" s="1"/>
  <c r="D533" i="4" a="1"/>
  <c r="D533" i="4" s="1"/>
  <c r="D534" i="4" a="1"/>
  <c r="D534" i="4" s="1"/>
  <c r="D535" i="4" a="1"/>
  <c r="D535" i="4" s="1"/>
  <c r="D536" i="4" a="1"/>
  <c r="D536" i="4" s="1"/>
  <c r="D537" i="4" a="1"/>
  <c r="D537" i="4" s="1"/>
  <c r="D538" i="4" a="1"/>
  <c r="D538" i="4" s="1"/>
  <c r="D539" i="4" a="1"/>
  <c r="D539" i="4" s="1"/>
  <c r="D540" i="4" a="1"/>
  <c r="D540" i="4" s="1"/>
  <c r="D541" i="4" a="1"/>
  <c r="D541" i="4" s="1"/>
  <c r="D542" i="4" a="1"/>
  <c r="D542" i="4" s="1"/>
  <c r="D543" i="4" a="1"/>
  <c r="D543" i="4" s="1"/>
  <c r="D544" i="4" a="1"/>
  <c r="D544" i="4" s="1"/>
  <c r="D545" i="4" a="1"/>
  <c r="D545" i="4" s="1"/>
  <c r="D546" i="4" a="1"/>
  <c r="D546" i="4" s="1"/>
  <c r="D547" i="4" a="1"/>
  <c r="D547" i="4" s="1"/>
  <c r="D548" i="4" a="1"/>
  <c r="D548" i="4" s="1"/>
  <c r="D549" i="4" a="1"/>
  <c r="D549" i="4" s="1"/>
  <c r="D550" i="4" a="1"/>
  <c r="D550" i="4" s="1"/>
  <c r="D551" i="4" a="1"/>
  <c r="D551" i="4" s="1"/>
  <c r="D552" i="4" a="1"/>
  <c r="D552" i="4" s="1"/>
  <c r="D553" i="4" a="1"/>
  <c r="D553" i="4" s="1"/>
  <c r="D554" i="4" a="1"/>
  <c r="D554" i="4" s="1"/>
  <c r="D555" i="4" a="1"/>
  <c r="D555" i="4" s="1"/>
  <c r="D556" i="4" a="1"/>
  <c r="D556" i="4" s="1"/>
  <c r="D557" i="4" a="1"/>
  <c r="D557" i="4" s="1"/>
  <c r="D558" i="4" a="1"/>
  <c r="D558" i="4" s="1"/>
  <c r="D559" i="4" a="1"/>
  <c r="D559" i="4" s="1"/>
  <c r="D560" i="4" a="1"/>
  <c r="D560" i="4" s="1"/>
  <c r="D561" i="4" a="1"/>
  <c r="D561" i="4" s="1"/>
  <c r="D562" i="4" a="1"/>
  <c r="D562" i="4" s="1"/>
  <c r="D563" i="4" a="1"/>
  <c r="D563" i="4" s="1"/>
  <c r="D564" i="4" a="1"/>
  <c r="D564" i="4" s="1"/>
  <c r="D565" i="4" a="1"/>
  <c r="D565" i="4" s="1"/>
  <c r="D566" i="4" a="1"/>
  <c r="D566" i="4" s="1"/>
  <c r="D567" i="4" a="1"/>
  <c r="D567" i="4" s="1"/>
  <c r="D568" i="4" a="1"/>
  <c r="D568" i="4" s="1"/>
  <c r="D569" i="4" a="1"/>
  <c r="D569" i="4" s="1"/>
  <c r="D570" i="4" a="1"/>
  <c r="D570" i="4" s="1"/>
  <c r="D571" i="4" a="1"/>
  <c r="D571" i="4" s="1"/>
  <c r="D572" i="4" a="1"/>
  <c r="D572" i="4" s="1"/>
  <c r="D573" i="4" a="1"/>
  <c r="D573" i="4" s="1"/>
  <c r="D574" i="4" a="1"/>
  <c r="D574" i="4" s="1"/>
  <c r="D575" i="4" a="1"/>
  <c r="D575" i="4" s="1"/>
  <c r="D576" i="4" a="1"/>
  <c r="D576" i="4" s="1"/>
  <c r="D577" i="4" a="1"/>
  <c r="D577" i="4" s="1"/>
  <c r="D578" i="4" a="1"/>
  <c r="D578" i="4" s="1"/>
  <c r="D579" i="4" a="1"/>
  <c r="D579" i="4" s="1"/>
  <c r="D580" i="4" a="1"/>
  <c r="D580" i="4" s="1"/>
  <c r="D581" i="4" a="1"/>
  <c r="D581" i="4" s="1"/>
  <c r="D582" i="4" a="1"/>
  <c r="D582" i="4" s="1"/>
  <c r="D583" i="4" a="1"/>
  <c r="D583" i="4" s="1"/>
  <c r="D584" i="4" a="1"/>
  <c r="D584" i="4" s="1"/>
  <c r="D585" i="4" a="1"/>
  <c r="D585" i="4" s="1"/>
  <c r="D586" i="4" a="1"/>
  <c r="D586" i="4" s="1"/>
  <c r="D587" i="4" a="1"/>
  <c r="D587" i="4" s="1"/>
  <c r="D588" i="4" a="1"/>
  <c r="D588" i="4" s="1"/>
  <c r="D589" i="4" a="1"/>
  <c r="D589" i="4" s="1"/>
  <c r="D590" i="4" a="1"/>
  <c r="D590" i="4" s="1"/>
  <c r="D591" i="4" a="1"/>
  <c r="D591" i="4" s="1"/>
  <c r="D592" i="4" a="1"/>
  <c r="D592" i="4" s="1"/>
  <c r="D593" i="4" a="1"/>
  <c r="D593" i="4" s="1"/>
  <c r="D594" i="4" a="1"/>
  <c r="D594" i="4" s="1"/>
  <c r="D595" i="4" a="1"/>
  <c r="D595" i="4" s="1"/>
  <c r="D596" i="4" a="1"/>
  <c r="D596" i="4" s="1"/>
  <c r="D597" i="4" a="1"/>
  <c r="D597" i="4" s="1"/>
  <c r="D598" i="4" a="1"/>
  <c r="D598" i="4" s="1"/>
  <c r="D599" i="4" a="1"/>
  <c r="D599" i="4" s="1"/>
  <c r="D600" i="4" a="1"/>
  <c r="D600" i="4" s="1"/>
  <c r="D601" i="4" a="1"/>
  <c r="D601" i="4" s="1"/>
  <c r="D602" i="4" a="1"/>
  <c r="D602" i="4" s="1"/>
  <c r="D603" i="4" a="1"/>
  <c r="D603" i="4" s="1"/>
  <c r="D604" i="4" a="1"/>
  <c r="D604" i="4" s="1"/>
  <c r="D605" i="4" a="1"/>
  <c r="D605" i="4" s="1"/>
  <c r="D606" i="4" a="1"/>
  <c r="D606" i="4" s="1"/>
  <c r="D607" i="4" a="1"/>
  <c r="D607" i="4" s="1"/>
  <c r="D608" i="4" a="1"/>
  <c r="D608" i="4" s="1"/>
  <c r="D609" i="4" a="1"/>
  <c r="D609" i="4" s="1"/>
  <c r="D610" i="4" a="1"/>
  <c r="D610" i="4" s="1"/>
  <c r="D611" i="4" a="1"/>
  <c r="D611" i="4" s="1"/>
  <c r="D612" i="4" a="1"/>
  <c r="D612" i="4" s="1"/>
  <c r="D613" i="4" a="1"/>
  <c r="D613" i="4" s="1"/>
  <c r="D614" i="4" a="1"/>
  <c r="D614" i="4" s="1"/>
  <c r="D615" i="4" a="1"/>
  <c r="D615" i="4" s="1"/>
  <c r="D616" i="4" a="1"/>
  <c r="D616" i="4" s="1"/>
  <c r="D617" i="4" a="1"/>
  <c r="D617" i="4" s="1"/>
  <c r="D618" i="4" a="1"/>
  <c r="D618" i="4" s="1"/>
  <c r="D619" i="4" a="1"/>
  <c r="D619" i="4" s="1"/>
  <c r="D620" i="4" a="1"/>
  <c r="D620" i="4" s="1"/>
  <c r="D621" i="4" a="1"/>
  <c r="D621" i="4" s="1"/>
  <c r="D622" i="4" a="1"/>
  <c r="D622" i="4" s="1"/>
  <c r="D623" i="4" a="1"/>
  <c r="D623" i="4" s="1"/>
  <c r="D624" i="4" a="1"/>
  <c r="D624" i="4" s="1"/>
  <c r="D625" i="4" a="1"/>
  <c r="D625" i="4" s="1"/>
  <c r="D626" i="4" a="1"/>
  <c r="D626" i="4" s="1"/>
  <c r="D627" i="4" a="1"/>
  <c r="D627" i="4" s="1"/>
  <c r="D628" i="4" a="1"/>
  <c r="D628" i="4" s="1"/>
  <c r="D629" i="4" a="1"/>
  <c r="D629" i="4" s="1"/>
  <c r="D630" i="4" a="1"/>
  <c r="D630" i="4" s="1"/>
  <c r="D631" i="4" a="1"/>
  <c r="D631" i="4" s="1"/>
  <c r="D632" i="4" a="1"/>
  <c r="D632" i="4" s="1"/>
  <c r="D633" i="4" a="1"/>
  <c r="D633" i="4" s="1"/>
  <c r="D634" i="4" a="1"/>
  <c r="D634" i="4" s="1"/>
  <c r="D635" i="4" a="1"/>
  <c r="D635" i="4" s="1"/>
  <c r="D636" i="4" a="1"/>
  <c r="D636" i="4" s="1"/>
  <c r="D637" i="4" a="1"/>
  <c r="D637" i="4" s="1"/>
  <c r="D638" i="4" a="1"/>
  <c r="D638" i="4" s="1"/>
  <c r="D639" i="4" a="1"/>
  <c r="D639" i="4" s="1"/>
  <c r="D640" i="4" a="1"/>
  <c r="D640" i="4" s="1"/>
  <c r="D641" i="4" a="1"/>
  <c r="D641" i="4" s="1"/>
  <c r="D642" i="4" a="1"/>
  <c r="D642" i="4" s="1"/>
  <c r="D643" i="4" a="1"/>
  <c r="D643" i="4" s="1"/>
  <c r="D644" i="4" a="1"/>
  <c r="D644" i="4" s="1"/>
  <c r="D645" i="4" a="1"/>
  <c r="D645" i="4" s="1"/>
  <c r="D646" i="4" a="1"/>
  <c r="D646" i="4" s="1"/>
  <c r="D647" i="4" a="1"/>
  <c r="D647" i="4" s="1"/>
  <c r="D648" i="4" a="1"/>
  <c r="D648" i="4" s="1"/>
  <c r="D649" i="4" a="1"/>
  <c r="D649" i="4" s="1"/>
  <c r="D650" i="4" a="1"/>
  <c r="D650" i="4" s="1"/>
  <c r="D651" i="4" a="1"/>
  <c r="D651" i="4" s="1"/>
  <c r="D652" i="4" a="1"/>
  <c r="D652" i="4" s="1"/>
  <c r="D653" i="4" a="1"/>
  <c r="D653" i="4" s="1"/>
  <c r="D654" i="4" a="1"/>
  <c r="D654" i="4" s="1"/>
  <c r="D655" i="4" a="1"/>
  <c r="D655" i="4" s="1"/>
  <c r="D656" i="4" a="1"/>
  <c r="D656" i="4" s="1"/>
  <c r="D657" i="4" a="1"/>
  <c r="D657" i="4" s="1"/>
  <c r="D658" i="4" a="1"/>
  <c r="D658" i="4" s="1"/>
  <c r="D659" i="4" a="1"/>
  <c r="D659" i="4" s="1"/>
  <c r="D660" i="4" a="1"/>
  <c r="D660" i="4" s="1"/>
  <c r="D661" i="4" a="1"/>
  <c r="D661" i="4" s="1"/>
  <c r="D662" i="4" a="1"/>
  <c r="D662" i="4" s="1"/>
  <c r="D663" i="4" a="1"/>
  <c r="D663" i="4" s="1"/>
  <c r="D664" i="4" a="1"/>
  <c r="D664" i="4" s="1"/>
  <c r="D665" i="4" a="1"/>
  <c r="D665" i="4" s="1"/>
  <c r="D666" i="4" a="1"/>
  <c r="D666" i="4" s="1"/>
  <c r="D667" i="4" a="1"/>
  <c r="D667" i="4" s="1"/>
  <c r="D668" i="4" a="1"/>
  <c r="D668" i="4" s="1"/>
  <c r="D669" i="4" a="1"/>
  <c r="D669" i="4" s="1"/>
  <c r="D670" i="4" a="1"/>
  <c r="D670" i="4" s="1"/>
  <c r="D671" i="4" a="1"/>
  <c r="D671" i="4" s="1"/>
  <c r="D672" i="4" a="1"/>
  <c r="D672" i="4" s="1"/>
  <c r="D673" i="4" a="1"/>
  <c r="D673" i="4" s="1"/>
  <c r="D674" i="4" a="1"/>
  <c r="D674" i="4" s="1"/>
  <c r="D675" i="4" a="1"/>
  <c r="D675" i="4" s="1"/>
  <c r="D676" i="4" a="1"/>
  <c r="D676" i="4" s="1"/>
  <c r="D677" i="4" a="1"/>
  <c r="D677" i="4" s="1"/>
  <c r="D678" i="4" a="1"/>
  <c r="D678" i="4" s="1"/>
  <c r="D679" i="4" a="1"/>
  <c r="D679" i="4" s="1"/>
  <c r="D680" i="4" a="1"/>
  <c r="D680" i="4" s="1"/>
  <c r="D681" i="4" a="1"/>
  <c r="D681" i="4" s="1"/>
  <c r="D682" i="4" a="1"/>
  <c r="D682" i="4" s="1"/>
  <c r="D683" i="4" a="1"/>
  <c r="D683" i="4" s="1"/>
  <c r="D684" i="4" a="1"/>
  <c r="D684" i="4" s="1"/>
  <c r="D685" i="4" a="1"/>
  <c r="D685" i="4" s="1"/>
  <c r="D686" i="4" a="1"/>
  <c r="D686" i="4" s="1"/>
  <c r="D687" i="4" a="1"/>
  <c r="D687" i="4" s="1"/>
  <c r="D688" i="4" a="1"/>
  <c r="D688" i="4" s="1"/>
  <c r="D689" i="4" a="1"/>
  <c r="D689" i="4" s="1"/>
  <c r="D690" i="4" a="1"/>
  <c r="D690" i="4" s="1"/>
  <c r="D691" i="4" a="1"/>
  <c r="D691" i="4" s="1"/>
  <c r="D692" i="4" a="1"/>
  <c r="D692" i="4" s="1"/>
  <c r="D693" i="4" a="1"/>
  <c r="D693" i="4" s="1"/>
  <c r="D694" i="4" a="1"/>
  <c r="D694" i="4" s="1"/>
  <c r="D695" i="4" a="1"/>
  <c r="D695" i="4" s="1"/>
  <c r="D696" i="4" a="1"/>
  <c r="D696" i="4" s="1"/>
  <c r="D697" i="4" a="1"/>
  <c r="D697" i="4" s="1"/>
  <c r="D698" i="4" a="1"/>
  <c r="D698" i="4" s="1"/>
  <c r="D699" i="4" a="1"/>
  <c r="D699" i="4" s="1"/>
  <c r="D700" i="4" a="1"/>
  <c r="D700" i="4" s="1"/>
  <c r="D701" i="4" a="1"/>
  <c r="D701" i="4" s="1"/>
  <c r="D702" i="4" a="1"/>
  <c r="D702" i="4" s="1"/>
  <c r="D703" i="4" a="1"/>
  <c r="D703" i="4" s="1"/>
  <c r="D704" i="4" a="1"/>
  <c r="D704" i="4" s="1"/>
  <c r="D705" i="4" a="1"/>
  <c r="D705" i="4" s="1"/>
  <c r="D706" i="4" a="1"/>
  <c r="D706" i="4" s="1"/>
  <c r="D707" i="4" a="1"/>
  <c r="D707" i="4" s="1"/>
  <c r="D708" i="4" a="1"/>
  <c r="D708" i="4" s="1"/>
  <c r="D709" i="4" a="1"/>
  <c r="D709" i="4" s="1"/>
  <c r="D710" i="4" a="1"/>
  <c r="D710" i="4" s="1"/>
  <c r="D711" i="4" a="1"/>
  <c r="D711" i="4" s="1"/>
  <c r="D712" i="4" a="1"/>
  <c r="D712" i="4" s="1"/>
  <c r="D713" i="4" a="1"/>
  <c r="D713" i="4" s="1"/>
  <c r="D714" i="4" a="1"/>
  <c r="D714" i="4" s="1"/>
  <c r="D715" i="4" a="1"/>
  <c r="D715" i="4" s="1"/>
  <c r="D716" i="4" a="1"/>
  <c r="D716" i="4" s="1"/>
  <c r="D717" i="4" a="1"/>
  <c r="D717" i="4" s="1"/>
  <c r="D718" i="4" a="1"/>
  <c r="D718" i="4" s="1"/>
  <c r="D719" i="4" a="1"/>
  <c r="D719" i="4" s="1"/>
  <c r="D720" i="4" a="1"/>
  <c r="D720" i="4" s="1"/>
  <c r="D721" i="4" a="1"/>
  <c r="D721" i="4" s="1"/>
  <c r="D722" i="4" a="1"/>
  <c r="D722" i="4" s="1"/>
  <c r="D723" i="4" a="1"/>
  <c r="D723" i="4" s="1"/>
  <c r="D724" i="4" a="1"/>
  <c r="D724" i="4" s="1"/>
  <c r="D725" i="4" a="1"/>
  <c r="D725" i="4" s="1"/>
  <c r="D726" i="4" a="1"/>
  <c r="D726" i="4" s="1"/>
  <c r="D727" i="4" a="1"/>
  <c r="D727" i="4" s="1"/>
  <c r="D728" i="4" a="1"/>
  <c r="D728" i="4" s="1"/>
  <c r="D729" i="4" a="1"/>
  <c r="D729" i="4" s="1"/>
  <c r="D730" i="4" a="1"/>
  <c r="D730" i="4" s="1"/>
  <c r="D731" i="4" a="1"/>
  <c r="D731" i="4" s="1"/>
  <c r="D732" i="4" a="1"/>
  <c r="D732" i="4" s="1"/>
  <c r="D733" i="4" a="1"/>
  <c r="D733" i="4" s="1"/>
  <c r="D734" i="4" a="1"/>
  <c r="D734" i="4" s="1"/>
  <c r="D735" i="4" a="1"/>
  <c r="D735" i="4" s="1"/>
  <c r="D736" i="4" a="1"/>
  <c r="D736" i="4" s="1"/>
  <c r="D737" i="4" a="1"/>
  <c r="D737" i="4" s="1"/>
  <c r="D738" i="4" a="1"/>
  <c r="D738" i="4" s="1"/>
  <c r="D739" i="4" a="1"/>
  <c r="D739" i="4" s="1"/>
  <c r="D740" i="4" a="1"/>
  <c r="D740" i="4" s="1"/>
  <c r="D741" i="4" a="1"/>
  <c r="D741" i="4" s="1"/>
  <c r="D742" i="4" a="1"/>
  <c r="D742" i="4" s="1"/>
  <c r="D743" i="4" a="1"/>
  <c r="D743" i="4" s="1"/>
  <c r="D744" i="4" a="1"/>
  <c r="D744" i="4" s="1"/>
  <c r="D745" i="4" a="1"/>
  <c r="D745" i="4" s="1"/>
  <c r="D746" i="4" a="1"/>
  <c r="D746" i="4" s="1"/>
  <c r="D747" i="4" a="1"/>
  <c r="D747" i="4" s="1"/>
  <c r="D748" i="4" a="1"/>
  <c r="D748" i="4" s="1"/>
  <c r="D749" i="4" a="1"/>
  <c r="D749" i="4" s="1"/>
  <c r="D750" i="4" a="1"/>
  <c r="D750" i="4" s="1"/>
  <c r="D751" i="4" a="1"/>
  <c r="D751" i="4" s="1"/>
  <c r="D752" i="4" a="1"/>
  <c r="D752" i="4" s="1"/>
  <c r="D753" i="4" a="1"/>
  <c r="D753" i="4" s="1"/>
  <c r="D754" i="4" a="1"/>
  <c r="D754" i="4" s="1"/>
  <c r="D755" i="4" a="1"/>
  <c r="D755" i="4" s="1"/>
  <c r="D756" i="4" a="1"/>
  <c r="D756" i="4" s="1"/>
  <c r="D757" i="4" a="1"/>
  <c r="D757" i="4" s="1"/>
  <c r="D758" i="4" a="1"/>
  <c r="D758" i="4" s="1"/>
  <c r="D759" i="4" a="1"/>
  <c r="D759" i="4" s="1"/>
  <c r="D760" i="4" a="1"/>
  <c r="D760" i="4" s="1"/>
  <c r="D761" i="4" a="1"/>
  <c r="D761" i="4" s="1"/>
  <c r="D762" i="4" a="1"/>
  <c r="D762" i="4" s="1"/>
  <c r="D763" i="4" a="1"/>
  <c r="D763" i="4" s="1"/>
  <c r="D764" i="4" a="1"/>
  <c r="D764" i="4" s="1"/>
  <c r="D765" i="4" a="1"/>
  <c r="D765" i="4" s="1"/>
  <c r="D766" i="4" a="1"/>
  <c r="D766" i="4" s="1"/>
  <c r="D767" i="4" a="1"/>
  <c r="D767" i="4" s="1"/>
  <c r="D768" i="4" a="1"/>
  <c r="D768" i="4" s="1"/>
  <c r="D769" i="4" a="1"/>
  <c r="D769" i="4" s="1"/>
  <c r="D770" i="4" a="1"/>
  <c r="D770" i="4" s="1"/>
  <c r="D771" i="4" a="1"/>
  <c r="D771" i="4" s="1"/>
  <c r="D772" i="4" a="1"/>
  <c r="D772" i="4" s="1"/>
  <c r="D773" i="4" a="1"/>
  <c r="D773" i="4" s="1"/>
  <c r="D774" i="4" a="1"/>
  <c r="D774" i="4" s="1"/>
  <c r="D775" i="4" a="1"/>
  <c r="D775" i="4" s="1"/>
  <c r="D776" i="4" a="1"/>
  <c r="D776" i="4" s="1"/>
  <c r="D777" i="4" a="1"/>
  <c r="D777" i="4" s="1"/>
  <c r="D778" i="4" a="1"/>
  <c r="D778" i="4" s="1"/>
  <c r="D779" i="4" a="1"/>
  <c r="D779" i="4" s="1"/>
  <c r="D780" i="4" a="1"/>
  <c r="D780" i="4" s="1"/>
  <c r="D781" i="4" a="1"/>
  <c r="D781" i="4" s="1"/>
  <c r="D782" i="4" a="1"/>
  <c r="D782" i="4" s="1"/>
  <c r="D783" i="4" a="1"/>
  <c r="D783" i="4" s="1"/>
  <c r="D784" i="4" a="1"/>
  <c r="D784" i="4" s="1"/>
  <c r="D785" i="4" a="1"/>
  <c r="D785" i="4" s="1"/>
  <c r="D786" i="4" a="1"/>
  <c r="D786" i="4" s="1"/>
  <c r="D787" i="4" a="1"/>
  <c r="D787" i="4" s="1"/>
  <c r="D788" i="4" a="1"/>
  <c r="D788" i="4" s="1"/>
  <c r="D789" i="4" a="1"/>
  <c r="D789" i="4" s="1"/>
  <c r="D790" i="4" a="1"/>
  <c r="D790" i="4" s="1"/>
  <c r="D791" i="4" a="1"/>
  <c r="D791" i="4" s="1"/>
  <c r="D792" i="4" a="1"/>
  <c r="D792" i="4" s="1"/>
  <c r="D793" i="4" a="1"/>
  <c r="D793" i="4" s="1"/>
  <c r="D794" i="4" a="1"/>
  <c r="D794" i="4" s="1"/>
  <c r="D795" i="4" a="1"/>
  <c r="D795" i="4" s="1"/>
  <c r="D796" i="4" a="1"/>
  <c r="D796" i="4" s="1"/>
  <c r="D797" i="4" a="1"/>
  <c r="D797" i="4" s="1"/>
  <c r="D798" i="4" a="1"/>
  <c r="D798" i="4" s="1"/>
  <c r="D799" i="4" a="1"/>
  <c r="D799" i="4" s="1"/>
  <c r="D800" i="4" a="1"/>
  <c r="D800" i="4" s="1"/>
  <c r="D801" i="4" a="1"/>
  <c r="D801" i="4" s="1"/>
  <c r="D802" i="4" a="1"/>
  <c r="D802" i="4" s="1"/>
  <c r="D803" i="4" a="1"/>
  <c r="D803" i="4" s="1"/>
  <c r="D804" i="4" a="1"/>
  <c r="D804" i="4" s="1"/>
  <c r="D805" i="4" a="1"/>
  <c r="D805" i="4" s="1"/>
  <c r="D806" i="4" a="1"/>
  <c r="D806" i="4" s="1"/>
  <c r="D807" i="4" a="1"/>
  <c r="D807" i="4" s="1"/>
  <c r="D808" i="4" a="1"/>
  <c r="D808" i="4" s="1"/>
  <c r="D809" i="4" a="1"/>
  <c r="D809" i="4" s="1"/>
  <c r="D810" i="4" a="1"/>
  <c r="D810" i="4" s="1"/>
  <c r="D811" i="4" a="1"/>
  <c r="D811" i="4" s="1"/>
  <c r="D812" i="4" a="1"/>
  <c r="D812" i="4" s="1"/>
  <c r="D813" i="4" a="1"/>
  <c r="D813" i="4" s="1"/>
  <c r="D814" i="4" a="1"/>
  <c r="D814" i="4" s="1"/>
  <c r="D815" i="4" a="1"/>
  <c r="D815" i="4" s="1"/>
  <c r="D816" i="4" a="1"/>
  <c r="D816" i="4" s="1"/>
  <c r="D817" i="4" a="1"/>
  <c r="D817" i="4" s="1"/>
  <c r="D818" i="4" a="1"/>
  <c r="D818" i="4" s="1"/>
  <c r="D819" i="4" a="1"/>
  <c r="D819" i="4" s="1"/>
  <c r="D820" i="4" a="1"/>
  <c r="D820" i="4" s="1"/>
  <c r="D821" i="4" a="1"/>
  <c r="D821" i="4" s="1"/>
  <c r="D822" i="4" a="1"/>
  <c r="D822" i="4" s="1"/>
  <c r="D823" i="4" a="1"/>
  <c r="D823" i="4" s="1"/>
  <c r="D824" i="4" a="1"/>
  <c r="D824" i="4" s="1"/>
  <c r="D825" i="4" a="1"/>
  <c r="D825" i="4" s="1"/>
  <c r="D826" i="4" a="1"/>
  <c r="D826" i="4" s="1"/>
  <c r="D827" i="4" a="1"/>
  <c r="D827" i="4" s="1"/>
  <c r="D828" i="4" a="1"/>
  <c r="D828" i="4" s="1"/>
  <c r="D829" i="4" a="1"/>
  <c r="D829" i="4" s="1"/>
  <c r="D830" i="4" a="1"/>
  <c r="D830" i="4" s="1"/>
  <c r="D831" i="4" a="1"/>
  <c r="D831" i="4" s="1"/>
  <c r="D832" i="4" a="1"/>
  <c r="D832" i="4" s="1"/>
  <c r="D833" i="4" a="1"/>
  <c r="D833" i="4" s="1"/>
  <c r="D834" i="4" a="1"/>
  <c r="D834" i="4" s="1"/>
  <c r="D835" i="4" a="1"/>
  <c r="D835" i="4" s="1"/>
  <c r="D836" i="4" a="1"/>
  <c r="D836" i="4" s="1"/>
  <c r="D837" i="4" a="1"/>
  <c r="D837" i="4" s="1"/>
  <c r="D838" i="4" a="1"/>
  <c r="D838" i="4" s="1"/>
  <c r="D839" i="4" a="1"/>
  <c r="D839" i="4" s="1"/>
  <c r="D840" i="4" a="1"/>
  <c r="D840" i="4" s="1"/>
  <c r="D841" i="4" a="1"/>
  <c r="D841" i="4" s="1"/>
  <c r="D842" i="4" a="1"/>
  <c r="D842" i="4" s="1"/>
  <c r="D843" i="4" a="1"/>
  <c r="D843" i="4" s="1"/>
  <c r="D844" i="4" a="1"/>
  <c r="D844" i="4" s="1"/>
  <c r="D845" i="4" a="1"/>
  <c r="D845" i="4" s="1"/>
  <c r="D846" i="4" a="1"/>
  <c r="D846" i="4" s="1"/>
  <c r="D847" i="4" a="1"/>
  <c r="D847" i="4" s="1"/>
  <c r="D848" i="4" a="1"/>
  <c r="D848" i="4" s="1"/>
  <c r="D849" i="4" a="1"/>
  <c r="D849" i="4" s="1"/>
  <c r="D850" i="4" a="1"/>
  <c r="D850" i="4" s="1"/>
  <c r="D851" i="4" a="1"/>
  <c r="D851" i="4" s="1"/>
  <c r="D852" i="4" a="1"/>
  <c r="D852" i="4" s="1"/>
  <c r="D853" i="4" a="1"/>
  <c r="D853" i="4" s="1"/>
  <c r="D854" i="4" a="1"/>
  <c r="D854" i="4" s="1"/>
  <c r="D855" i="4" a="1"/>
  <c r="D855" i="4" s="1"/>
  <c r="D856" i="4" a="1"/>
  <c r="D856" i="4" s="1"/>
  <c r="D857" i="4" a="1"/>
  <c r="D857" i="4" s="1"/>
  <c r="D858" i="4" a="1"/>
  <c r="D858" i="4" s="1"/>
  <c r="D859" i="4" a="1"/>
  <c r="D859" i="4" s="1"/>
  <c r="D860" i="4" a="1"/>
  <c r="D860" i="4" s="1"/>
  <c r="D861" i="4" a="1"/>
  <c r="D861" i="4" s="1"/>
  <c r="D862" i="4" a="1"/>
  <c r="D862" i="4" s="1"/>
  <c r="D863" i="4" a="1"/>
  <c r="D863" i="4" s="1"/>
  <c r="D864" i="4" a="1"/>
  <c r="D864" i="4" s="1"/>
  <c r="D865" i="4" a="1"/>
  <c r="D865" i="4" s="1"/>
  <c r="D866" i="4" a="1"/>
  <c r="D866" i="4" s="1"/>
  <c r="D867" i="4" a="1"/>
  <c r="D867" i="4" s="1"/>
  <c r="D868" i="4" a="1"/>
  <c r="D868" i="4" s="1"/>
  <c r="D869" i="4" a="1"/>
  <c r="D869" i="4" s="1"/>
  <c r="D870" i="4" a="1"/>
  <c r="D870" i="4" s="1"/>
  <c r="D871" i="4" a="1"/>
  <c r="D871" i="4" s="1"/>
  <c r="D872" i="4" a="1"/>
  <c r="D872" i="4" s="1"/>
  <c r="D873" i="4" a="1"/>
  <c r="D873" i="4" s="1"/>
  <c r="D874" i="4" a="1"/>
  <c r="D874" i="4" s="1"/>
  <c r="D875" i="4" a="1"/>
  <c r="D875" i="4" s="1"/>
  <c r="D876" i="4" a="1"/>
  <c r="D876" i="4" s="1"/>
  <c r="D877" i="4" a="1"/>
  <c r="D877" i="4" s="1"/>
  <c r="D878" i="4" a="1"/>
  <c r="D878" i="4" s="1"/>
  <c r="D879" i="4" a="1"/>
  <c r="D879" i="4" s="1"/>
  <c r="D880" i="4" a="1"/>
  <c r="D880" i="4" s="1"/>
  <c r="D881" i="4" a="1"/>
  <c r="D881" i="4" s="1"/>
  <c r="D882" i="4" a="1"/>
  <c r="D882" i="4" s="1"/>
  <c r="D883" i="4" a="1"/>
  <c r="D883" i="4" s="1"/>
  <c r="D884" i="4" a="1"/>
  <c r="D884" i="4" s="1"/>
  <c r="D885" i="4" a="1"/>
  <c r="D885" i="4" s="1"/>
  <c r="D886" i="4" a="1"/>
  <c r="D886" i="4" s="1"/>
  <c r="D887" i="4" a="1"/>
  <c r="D887" i="4" s="1"/>
  <c r="D888" i="4" a="1"/>
  <c r="D888" i="4" s="1"/>
  <c r="D889" i="4" a="1"/>
  <c r="D889" i="4" s="1"/>
  <c r="D890" i="4" a="1"/>
  <c r="D890" i="4" s="1"/>
  <c r="D891" i="4" a="1"/>
  <c r="D891" i="4" s="1"/>
  <c r="D892" i="4" a="1"/>
  <c r="D892" i="4" s="1"/>
  <c r="D893" i="4" a="1"/>
  <c r="D893" i="4" s="1"/>
  <c r="D894" i="4" a="1"/>
  <c r="D894" i="4" s="1"/>
  <c r="D895" i="4" a="1"/>
  <c r="D895" i="4" s="1"/>
  <c r="D896" i="4" a="1"/>
  <c r="D896" i="4" s="1"/>
  <c r="D897" i="4" a="1"/>
  <c r="D897" i="4" s="1"/>
  <c r="D898" i="4" a="1"/>
  <c r="D898" i="4" s="1"/>
  <c r="D899" i="4" a="1"/>
  <c r="D899" i="4" s="1"/>
  <c r="D900" i="4" a="1"/>
  <c r="D900" i="4" s="1"/>
  <c r="D901" i="4" a="1"/>
  <c r="D901" i="4" s="1"/>
  <c r="D902" i="4" a="1"/>
  <c r="D902" i="4" s="1"/>
  <c r="D903" i="4" a="1"/>
  <c r="D903" i="4" s="1"/>
  <c r="D904" i="4" a="1"/>
  <c r="D904" i="4" s="1"/>
  <c r="D905" i="4" a="1"/>
  <c r="D905" i="4" s="1"/>
  <c r="D906" i="4" a="1"/>
  <c r="D906" i="4" s="1"/>
  <c r="D907" i="4" a="1"/>
  <c r="D907" i="4" s="1"/>
  <c r="D908" i="4" a="1"/>
  <c r="D908" i="4" s="1"/>
  <c r="D909" i="4" a="1"/>
  <c r="D909" i="4" s="1"/>
  <c r="D910" i="4" a="1"/>
  <c r="D910" i="4" s="1"/>
  <c r="D911" i="4" a="1"/>
  <c r="D911" i="4" s="1"/>
  <c r="D912" i="4" a="1"/>
  <c r="D912" i="4" s="1"/>
  <c r="D913" i="4" a="1"/>
  <c r="D913" i="4" s="1"/>
  <c r="D914" i="4" a="1"/>
  <c r="D914" i="4" s="1"/>
  <c r="D915" i="4" a="1"/>
  <c r="D915" i="4" s="1"/>
  <c r="D916" i="4" a="1"/>
  <c r="D916" i="4" s="1"/>
  <c r="D917" i="4" a="1"/>
  <c r="D917" i="4" s="1"/>
  <c r="D918" i="4" a="1"/>
  <c r="D918" i="4" s="1"/>
  <c r="D919" i="4" a="1"/>
  <c r="D919" i="4" s="1"/>
  <c r="D920" i="4" a="1"/>
  <c r="D920" i="4" s="1"/>
  <c r="D921" i="4" a="1"/>
  <c r="D921" i="4" s="1"/>
  <c r="D922" i="4" a="1"/>
  <c r="D922" i="4" s="1"/>
  <c r="D923" i="4" a="1"/>
  <c r="D923" i="4" s="1"/>
  <c r="D924" i="4" a="1"/>
  <c r="D924" i="4" s="1"/>
  <c r="D925" i="4" a="1"/>
  <c r="D925" i="4" s="1"/>
  <c r="D926" i="4" a="1"/>
  <c r="D926" i="4" s="1"/>
  <c r="D927" i="4" a="1"/>
  <c r="D927" i="4" s="1"/>
  <c r="D928" i="4" a="1"/>
  <c r="D928" i="4" s="1"/>
  <c r="D929" i="4" a="1"/>
  <c r="D929" i="4" s="1"/>
  <c r="D930" i="4" a="1"/>
  <c r="D930" i="4" s="1"/>
  <c r="D931" i="4" a="1"/>
  <c r="D931" i="4" s="1"/>
  <c r="D932" i="4" a="1"/>
  <c r="D932" i="4" s="1"/>
  <c r="D933" i="4" a="1"/>
  <c r="D933" i="4" s="1"/>
  <c r="D934" i="4" a="1"/>
  <c r="D934" i="4" s="1"/>
  <c r="D935" i="4" a="1"/>
  <c r="D935" i="4" s="1"/>
  <c r="D936" i="4" a="1"/>
  <c r="D936" i="4" s="1"/>
  <c r="D937" i="4" a="1"/>
  <c r="D937" i="4" s="1"/>
  <c r="D938" i="4" a="1"/>
  <c r="D938" i="4" s="1"/>
  <c r="D939" i="4" a="1"/>
  <c r="D939" i="4" s="1"/>
  <c r="D940" i="4" a="1"/>
  <c r="D940" i="4" s="1"/>
  <c r="D941" i="4" a="1"/>
  <c r="D941" i="4" s="1"/>
  <c r="D942" i="4" a="1"/>
  <c r="D942" i="4" s="1"/>
  <c r="D943" i="4" a="1"/>
  <c r="D943" i="4" s="1"/>
  <c r="D944" i="4" a="1"/>
  <c r="D944" i="4" s="1"/>
  <c r="D945" i="4" a="1"/>
  <c r="D945" i="4" s="1"/>
  <c r="D946" i="4" a="1"/>
  <c r="D946" i="4" s="1"/>
  <c r="D947" i="4" a="1"/>
  <c r="D947" i="4" s="1"/>
  <c r="D948" i="4" a="1"/>
  <c r="D948" i="4" s="1"/>
  <c r="D949" i="4" a="1"/>
  <c r="D949" i="4" s="1"/>
  <c r="D950" i="4" a="1"/>
  <c r="D950" i="4" s="1"/>
  <c r="D951" i="4" a="1"/>
  <c r="D951" i="4" s="1"/>
  <c r="D952" i="4" a="1"/>
  <c r="D952" i="4" s="1"/>
  <c r="D953" i="4" a="1"/>
  <c r="D953" i="4" s="1"/>
  <c r="D954" i="4" a="1"/>
  <c r="D954" i="4" s="1"/>
  <c r="D955" i="4" a="1"/>
  <c r="D955" i="4" s="1"/>
  <c r="D956" i="4" a="1"/>
  <c r="D956" i="4" s="1"/>
  <c r="D957" i="4" a="1"/>
  <c r="D957" i="4" s="1"/>
  <c r="D958" i="4" a="1"/>
  <c r="D958" i="4" s="1"/>
  <c r="D959" i="4" a="1"/>
  <c r="D959" i="4" s="1"/>
  <c r="D960" i="4" a="1"/>
  <c r="D960" i="4" s="1"/>
  <c r="D961" i="4" a="1"/>
  <c r="D961" i="4" s="1"/>
  <c r="D962" i="4" a="1"/>
  <c r="D962" i="4" s="1"/>
  <c r="D963" i="4" a="1"/>
  <c r="D963" i="4" s="1"/>
  <c r="D964" i="4" a="1"/>
  <c r="D964" i="4" s="1"/>
  <c r="D965" i="4" a="1"/>
  <c r="D965" i="4" s="1"/>
  <c r="D966" i="4" a="1"/>
  <c r="D966" i="4" s="1"/>
  <c r="D967" i="4" a="1"/>
  <c r="D967" i="4" s="1"/>
  <c r="D968" i="4" a="1"/>
  <c r="D968" i="4" s="1"/>
  <c r="D969" i="4" a="1"/>
  <c r="D969" i="4" s="1"/>
  <c r="D970" i="4" a="1"/>
  <c r="D970" i="4" s="1"/>
  <c r="D971" i="4" a="1"/>
  <c r="D971" i="4" s="1"/>
  <c r="D972" i="4" a="1"/>
  <c r="D972" i="4" s="1"/>
  <c r="D973" i="4" a="1"/>
  <c r="D973" i="4" s="1"/>
  <c r="D974" i="4" a="1"/>
  <c r="D974" i="4" s="1"/>
  <c r="D975" i="4" a="1"/>
  <c r="D975" i="4" s="1"/>
  <c r="D976" i="4" a="1"/>
  <c r="D976" i="4" s="1"/>
  <c r="D977" i="4" a="1"/>
  <c r="D977" i="4" s="1"/>
  <c r="D978" i="4" a="1"/>
  <c r="D978" i="4" s="1"/>
  <c r="D979" i="4" a="1"/>
  <c r="D979" i="4" s="1"/>
  <c r="D980" i="4" a="1"/>
  <c r="D980" i="4" s="1"/>
  <c r="D981" i="4" a="1"/>
  <c r="D981" i="4" s="1"/>
  <c r="D982" i="4" a="1"/>
  <c r="D982" i="4" s="1"/>
  <c r="D983" i="4" a="1"/>
  <c r="D983" i="4" s="1"/>
  <c r="D984" i="4" a="1"/>
  <c r="D984" i="4" s="1"/>
  <c r="D985" i="4" a="1"/>
  <c r="D985" i="4" s="1"/>
  <c r="D986" i="4" a="1"/>
  <c r="D986" i="4" s="1"/>
  <c r="D987" i="4" a="1"/>
  <c r="D987" i="4" s="1"/>
  <c r="D988" i="4" a="1"/>
  <c r="D988" i="4" s="1"/>
  <c r="D989" i="4" a="1"/>
  <c r="D989" i="4" s="1"/>
  <c r="D990" i="4" a="1"/>
  <c r="D990" i="4" s="1"/>
  <c r="D991" i="4" a="1"/>
  <c r="D991" i="4" s="1"/>
  <c r="D992" i="4" a="1"/>
  <c r="D992" i="4" s="1"/>
  <c r="D993" i="4" a="1"/>
  <c r="D993" i="4" s="1"/>
  <c r="D994" i="4" a="1"/>
  <c r="D994" i="4" s="1"/>
  <c r="D995" i="4" a="1"/>
  <c r="D995" i="4" s="1"/>
  <c r="D996" i="4" a="1"/>
  <c r="D996" i="4" s="1"/>
  <c r="D997" i="4" a="1"/>
  <c r="D997" i="4" s="1"/>
  <c r="D998" i="4" a="1"/>
  <c r="D998" i="4" s="1"/>
  <c r="D999" i="4" a="1"/>
  <c r="D999" i="4" s="1"/>
  <c r="D1000" i="4" a="1"/>
  <c r="D1000" i="4" s="1"/>
  <c r="D1001" i="4" a="1"/>
  <c r="D1001" i="4" s="1"/>
  <c r="D1002" i="4" a="1"/>
  <c r="D1002" i="4" s="1"/>
  <c r="D1003" i="4" a="1"/>
  <c r="D1003" i="4" s="1"/>
  <c r="D1004" i="4" a="1"/>
  <c r="D1004" i="4" s="1"/>
  <c r="D1005" i="4" a="1"/>
  <c r="D1005" i="4" s="1"/>
  <c r="D1006" i="4" a="1"/>
  <c r="D1006" i="4" s="1"/>
  <c r="D1007" i="4" a="1"/>
  <c r="D1007" i="4" s="1"/>
  <c r="D1008" i="4" a="1"/>
  <c r="D1008" i="4" s="1"/>
  <c r="D1009" i="4" a="1"/>
  <c r="D1009" i="4" s="1"/>
  <c r="D1010" i="4" a="1"/>
  <c r="D1010" i="4" s="1"/>
  <c r="D1011" i="4" a="1"/>
  <c r="D1011" i="4" s="1"/>
  <c r="D1012" i="4" a="1"/>
  <c r="D1012" i="4" s="1"/>
  <c r="D1013" i="4" a="1"/>
  <c r="D1013" i="4" s="1"/>
  <c r="D1014" i="4" a="1"/>
  <c r="D1014" i="4" s="1"/>
  <c r="D1015" i="4" a="1"/>
  <c r="D1015" i="4" s="1"/>
  <c r="D1016" i="4" a="1"/>
  <c r="D1016" i="4" s="1"/>
  <c r="D1017" i="4" a="1"/>
  <c r="D1017" i="4" s="1"/>
  <c r="D1018" i="4" a="1"/>
  <c r="D1018" i="4" s="1"/>
  <c r="D1019" i="4" a="1"/>
  <c r="D1019" i="4" s="1"/>
  <c r="D1020" i="4" a="1"/>
  <c r="D1020" i="4" s="1"/>
  <c r="D1021" i="4" a="1"/>
  <c r="D1021" i="4" s="1"/>
  <c r="D1022" i="4" a="1"/>
  <c r="D1022" i="4" s="1"/>
  <c r="D1023" i="4" a="1"/>
  <c r="D1023" i="4" s="1"/>
  <c r="D1024" i="4" a="1"/>
  <c r="D1024" i="4" s="1"/>
  <c r="D1025" i="4" a="1"/>
  <c r="D1025" i="4" s="1"/>
  <c r="D1026" i="4" a="1"/>
  <c r="D1026" i="4" s="1"/>
  <c r="D1027" i="4" a="1"/>
  <c r="D1027" i="4" s="1"/>
  <c r="D1028" i="4" a="1"/>
  <c r="D1028" i="4" s="1"/>
  <c r="D1029" i="4" a="1"/>
  <c r="D1029" i="4" s="1"/>
  <c r="D1030" i="4" a="1"/>
  <c r="D1030" i="4" s="1"/>
  <c r="D1031" i="4" a="1"/>
  <c r="D1031" i="4" s="1"/>
  <c r="D1032" i="4" a="1"/>
  <c r="D1032" i="4" s="1"/>
  <c r="D1033" i="4" a="1"/>
  <c r="D1033" i="4" s="1"/>
  <c r="D1034" i="4" a="1"/>
  <c r="D1034" i="4" s="1"/>
  <c r="D1035" i="4" a="1"/>
  <c r="D1035" i="4" s="1"/>
  <c r="D1036" i="4" a="1"/>
  <c r="D1036" i="4" s="1"/>
  <c r="D1037" i="4" a="1"/>
  <c r="D1037" i="4" s="1"/>
  <c r="D1038" i="4" a="1"/>
  <c r="D1038" i="4" s="1"/>
  <c r="D1039" i="4" a="1"/>
  <c r="D1039" i="4" s="1"/>
  <c r="D1040" i="4" a="1"/>
  <c r="D1040" i="4" s="1"/>
  <c r="D1041" i="4" a="1"/>
  <c r="D1041" i="4" s="1"/>
  <c r="D1042" i="4" a="1"/>
  <c r="D1042" i="4" s="1"/>
  <c r="D1043" i="4" a="1"/>
  <c r="D1043" i="4" s="1"/>
  <c r="D1044" i="4" a="1"/>
  <c r="D1044" i="4" s="1"/>
  <c r="D1045" i="4" a="1"/>
  <c r="D1045" i="4" s="1"/>
  <c r="D1046" i="4" a="1"/>
  <c r="D1046" i="4" s="1"/>
  <c r="D1047" i="4" a="1"/>
  <c r="D1047" i="4" s="1"/>
  <c r="D1048" i="4" a="1"/>
  <c r="D1048" i="4" s="1"/>
  <c r="D1049" i="4" a="1"/>
  <c r="D1049" i="4" s="1"/>
  <c r="D1050" i="4" a="1"/>
  <c r="D1050" i="4" s="1"/>
  <c r="D1051" i="4" a="1"/>
  <c r="D1051" i="4" s="1"/>
  <c r="D1052" i="4" a="1"/>
  <c r="D1052" i="4" s="1"/>
  <c r="D1053" i="4" a="1"/>
  <c r="D1053" i="4" s="1"/>
  <c r="D1054" i="4" a="1"/>
  <c r="D1054" i="4" s="1"/>
  <c r="D1055" i="4" a="1"/>
  <c r="D1055" i="4" s="1"/>
  <c r="D1056" i="4" a="1"/>
  <c r="D1056" i="4" s="1"/>
  <c r="D1057" i="4" a="1"/>
  <c r="D1057" i="4" s="1"/>
  <c r="D1058" i="4" a="1"/>
  <c r="D1058" i="4" s="1"/>
  <c r="D1059" i="4" a="1"/>
  <c r="D1059" i="4" s="1"/>
  <c r="D1060" i="4" a="1"/>
  <c r="D1060" i="4" s="1"/>
  <c r="D1061" i="4" a="1"/>
  <c r="D1061" i="4" s="1"/>
  <c r="D1062" i="4" a="1"/>
  <c r="D1062" i="4" s="1"/>
  <c r="D1063" i="4" a="1"/>
  <c r="D1063" i="4" s="1"/>
  <c r="D1064" i="4" a="1"/>
  <c r="D1064" i="4" s="1"/>
  <c r="D1065" i="4" a="1"/>
  <c r="D1065" i="4" s="1"/>
  <c r="D1066" i="4" a="1"/>
  <c r="D1066" i="4" s="1"/>
  <c r="D1067" i="4" a="1"/>
  <c r="D1067" i="4" s="1"/>
  <c r="D1068" i="4" a="1"/>
  <c r="D1068" i="4" s="1"/>
  <c r="D1069" i="4" a="1"/>
  <c r="D1069" i="4" s="1"/>
  <c r="D1070" i="4" a="1"/>
  <c r="D1070" i="4" s="1"/>
  <c r="D1071" i="4" a="1"/>
  <c r="D1071" i="4" s="1"/>
  <c r="D1072" i="4" a="1"/>
  <c r="D1072" i="4" s="1"/>
  <c r="D1073" i="4" a="1"/>
  <c r="D1073" i="4" s="1"/>
  <c r="D1074" i="4" a="1"/>
  <c r="D1074" i="4" s="1"/>
  <c r="D1075" i="4" a="1"/>
  <c r="D1075" i="4" s="1"/>
  <c r="D1076" i="4" a="1"/>
  <c r="D1076" i="4" s="1"/>
  <c r="D1077" i="4" a="1"/>
  <c r="D1077" i="4" s="1"/>
  <c r="D1078" i="4" a="1"/>
  <c r="D1078" i="4" s="1"/>
  <c r="D1079" i="4" a="1"/>
  <c r="D1079" i="4" s="1"/>
  <c r="D1080" i="4" a="1"/>
  <c r="D1080" i="4" s="1"/>
  <c r="D1081" i="4" a="1"/>
  <c r="D1081" i="4" s="1"/>
  <c r="D1082" i="4" a="1"/>
  <c r="D1082" i="4" s="1"/>
  <c r="D1083" i="4" a="1"/>
  <c r="D1083" i="4" s="1"/>
  <c r="D1084" i="4" a="1"/>
  <c r="D1084" i="4" s="1"/>
  <c r="D1085" i="4" a="1"/>
  <c r="D1085" i="4" s="1"/>
  <c r="D1086" i="4" a="1"/>
  <c r="D1086" i="4" s="1"/>
  <c r="D1087" i="4" a="1"/>
  <c r="D1087" i="4" s="1"/>
  <c r="D1088" i="4" a="1"/>
  <c r="D1088" i="4" s="1"/>
  <c r="D1089" i="4" a="1"/>
  <c r="D1089" i="4" s="1"/>
  <c r="D1090" i="4" a="1"/>
  <c r="D1090" i="4" s="1"/>
  <c r="D1091" i="4" a="1"/>
  <c r="D1091" i="4" s="1"/>
  <c r="D1092" i="4" a="1"/>
  <c r="D1092" i="4" s="1"/>
  <c r="D1093" i="4" a="1"/>
  <c r="D1093" i="4" s="1"/>
  <c r="D1094" i="4" a="1"/>
  <c r="D1094" i="4" s="1"/>
  <c r="D1095" i="4" a="1"/>
  <c r="D1095" i="4" s="1"/>
  <c r="D1096" i="4" a="1"/>
  <c r="D1096" i="4" s="1"/>
  <c r="D1097" i="4" a="1"/>
  <c r="D1097" i="4" s="1"/>
  <c r="D1098" i="4" a="1"/>
  <c r="D1098" i="4" s="1"/>
  <c r="D1099" i="4" a="1"/>
  <c r="D1099" i="4" s="1"/>
  <c r="D1100" i="4" a="1"/>
  <c r="D1100" i="4" s="1"/>
  <c r="D1101" i="4" a="1"/>
  <c r="D1101" i="4" s="1"/>
  <c r="D1102" i="4" a="1"/>
  <c r="D1102" i="4" s="1"/>
  <c r="D1103" i="4" a="1"/>
  <c r="D1103" i="4" s="1"/>
  <c r="D1104" i="4" a="1"/>
  <c r="D1104" i="4" s="1"/>
  <c r="D1105" i="4" a="1"/>
  <c r="D1105" i="4" s="1"/>
  <c r="D1106" i="4" a="1"/>
  <c r="D1106" i="4" s="1"/>
  <c r="D1107" i="4" a="1"/>
  <c r="D1107" i="4" s="1"/>
  <c r="D1108" i="4" a="1"/>
  <c r="D1108" i="4" s="1"/>
  <c r="D1109" i="4" a="1"/>
  <c r="D1109" i="4" s="1"/>
  <c r="D1110" i="4" a="1"/>
  <c r="D1110" i="4" s="1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K2" i="5" a="1"/>
  <c r="K2" i="5" s="1"/>
  <c r="J2" i="5" a="1"/>
  <c r="J2" i="5" s="1"/>
  <c r="J3" i="5" s="1" a="1"/>
  <c r="J3" i="5" s="1"/>
  <c r="I2" i="5" a="1"/>
  <c r="I2" i="5" s="1"/>
  <c r="D9" i="4" a="1"/>
  <c r="D9" i="4" s="1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9" i="4"/>
  <c r="C10" i="4" a="1"/>
  <c r="C10" i="4" s="1"/>
  <c r="C11" i="4" a="1"/>
  <c r="C11" i="4" s="1"/>
  <c r="C12" i="4" a="1"/>
  <c r="C12" i="4" s="1"/>
  <c r="C13" i="4" a="1"/>
  <c r="C13" i="4" s="1"/>
  <c r="C14" i="4" a="1"/>
  <c r="C14" i="4" s="1"/>
  <c r="C15" i="4" a="1"/>
  <c r="C15" i="4" s="1"/>
  <c r="C16" i="4" a="1"/>
  <c r="C16" i="4" s="1"/>
  <c r="C17" i="4" a="1"/>
  <c r="C17" i="4" s="1"/>
  <c r="C18" i="4" a="1"/>
  <c r="C18" i="4" s="1"/>
  <c r="C19" i="4" a="1"/>
  <c r="C19" i="4" s="1"/>
  <c r="C20" i="4" a="1"/>
  <c r="C20" i="4" s="1"/>
  <c r="C21" i="4" a="1"/>
  <c r="C21" i="4" s="1"/>
  <c r="C22" i="4" a="1"/>
  <c r="C22" i="4" s="1"/>
  <c r="C23" i="4" a="1"/>
  <c r="C23" i="4" s="1"/>
  <c r="C24" i="4" a="1"/>
  <c r="C24" i="4" s="1"/>
  <c r="C25" i="4" a="1"/>
  <c r="C25" i="4" s="1"/>
  <c r="C26" i="4" a="1"/>
  <c r="C26" i="4" s="1"/>
  <c r="C27" i="4" a="1"/>
  <c r="C27" i="4" s="1"/>
  <c r="C28" i="4" a="1"/>
  <c r="C28" i="4" s="1"/>
  <c r="C29" i="4" a="1"/>
  <c r="C29" i="4" s="1"/>
  <c r="C30" i="4" a="1"/>
  <c r="C30" i="4" s="1"/>
  <c r="C31" i="4" a="1"/>
  <c r="C31" i="4" s="1"/>
  <c r="C32" i="4" a="1"/>
  <c r="C32" i="4" s="1"/>
  <c r="C33" i="4" a="1"/>
  <c r="C33" i="4" s="1"/>
  <c r="C34" i="4" a="1"/>
  <c r="C34" i="4" s="1"/>
  <c r="C35" i="4" a="1"/>
  <c r="C35" i="4" s="1"/>
  <c r="C36" i="4" a="1"/>
  <c r="C36" i="4" s="1"/>
  <c r="C37" i="4" a="1"/>
  <c r="C37" i="4" s="1"/>
  <c r="C38" i="4" a="1"/>
  <c r="C38" i="4" s="1"/>
  <c r="C39" i="4" a="1"/>
  <c r="C39" i="4" s="1"/>
  <c r="C40" i="4" a="1"/>
  <c r="C40" i="4" s="1"/>
  <c r="C41" i="4" a="1"/>
  <c r="C41" i="4" s="1"/>
  <c r="C42" i="4" a="1"/>
  <c r="C42" i="4" s="1"/>
  <c r="C43" i="4" a="1"/>
  <c r="C43" i="4" s="1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C51" i="4" a="1"/>
  <c r="C51" i="4" s="1"/>
  <c r="C52" i="4" a="1"/>
  <c r="C52" i="4" s="1"/>
  <c r="C53" i="4" a="1"/>
  <c r="C53" i="4" s="1"/>
  <c r="C54" i="4" a="1"/>
  <c r="C54" i="4" s="1"/>
  <c r="C55" i="4" a="1"/>
  <c r="C55" i="4" s="1"/>
  <c r="C56" i="4" a="1"/>
  <c r="C56" i="4" s="1"/>
  <c r="C57" i="4" a="1"/>
  <c r="C57" i="4" s="1"/>
  <c r="C58" i="4" a="1"/>
  <c r="C58" i="4" s="1"/>
  <c r="C59" i="4" a="1"/>
  <c r="C59" i="4" s="1"/>
  <c r="C60" i="4" a="1"/>
  <c r="C60" i="4" s="1"/>
  <c r="C61" i="4" a="1"/>
  <c r="C61" i="4" s="1"/>
  <c r="C62" i="4" a="1"/>
  <c r="C62" i="4" s="1"/>
  <c r="C63" i="4" a="1"/>
  <c r="C63" i="4" s="1"/>
  <c r="C64" i="4" a="1"/>
  <c r="C64" i="4" s="1"/>
  <c r="C65" i="4" a="1"/>
  <c r="C65" i="4" s="1"/>
  <c r="C66" i="4" a="1"/>
  <c r="C66" i="4" s="1"/>
  <c r="C67" i="4" a="1"/>
  <c r="C67" i="4" s="1"/>
  <c r="C68" i="4" a="1"/>
  <c r="C68" i="4" s="1"/>
  <c r="C69" i="4" a="1"/>
  <c r="C69" i="4" s="1"/>
  <c r="C70" i="4" a="1"/>
  <c r="C70" i="4" s="1"/>
  <c r="C71" i="4" a="1"/>
  <c r="C71" i="4" s="1"/>
  <c r="C72" i="4" a="1"/>
  <c r="C72" i="4" s="1"/>
  <c r="C73" i="4" a="1"/>
  <c r="C73" i="4" s="1"/>
  <c r="C74" i="4" a="1"/>
  <c r="C74" i="4" s="1"/>
  <c r="C75" i="4" a="1"/>
  <c r="C75" i="4" s="1"/>
  <c r="C76" i="4" a="1"/>
  <c r="C76" i="4" s="1"/>
  <c r="C77" i="4" a="1"/>
  <c r="C77" i="4" s="1"/>
  <c r="C78" i="4" a="1"/>
  <c r="C78" i="4" s="1"/>
  <c r="C79" i="4" a="1"/>
  <c r="C79" i="4" s="1"/>
  <c r="C80" i="4" a="1"/>
  <c r="C80" i="4" s="1"/>
  <c r="C81" i="4" a="1"/>
  <c r="C81" i="4" s="1"/>
  <c r="C82" i="4" a="1"/>
  <c r="C82" i="4" s="1"/>
  <c r="C83" i="4" a="1"/>
  <c r="C83" i="4" s="1"/>
  <c r="C84" i="4" a="1"/>
  <c r="C84" i="4" s="1"/>
  <c r="C85" i="4" a="1"/>
  <c r="C85" i="4" s="1"/>
  <c r="C86" i="4" a="1"/>
  <c r="C86" i="4" s="1"/>
  <c r="C87" i="4" a="1"/>
  <c r="C87" i="4" s="1"/>
  <c r="C88" i="4" a="1"/>
  <c r="C88" i="4" s="1"/>
  <c r="C89" i="4" a="1"/>
  <c r="C89" i="4" s="1"/>
  <c r="C90" i="4" a="1"/>
  <c r="C90" i="4" s="1"/>
  <c r="C91" i="4" a="1"/>
  <c r="C91" i="4" s="1"/>
  <c r="C92" i="4" a="1"/>
  <c r="C92" i="4" s="1"/>
  <c r="C93" i="4" a="1"/>
  <c r="C93" i="4" s="1"/>
  <c r="C94" i="4" a="1"/>
  <c r="C94" i="4" s="1"/>
  <c r="C95" i="4" a="1"/>
  <c r="C95" i="4" s="1"/>
  <c r="C96" i="4" a="1"/>
  <c r="C96" i="4" s="1"/>
  <c r="C97" i="4" a="1"/>
  <c r="C97" i="4" s="1"/>
  <c r="C98" i="4" a="1"/>
  <c r="C98" i="4" s="1"/>
  <c r="C99" i="4" a="1"/>
  <c r="C99" i="4" s="1"/>
  <c r="C100" i="4" a="1"/>
  <c r="C100" i="4" s="1"/>
  <c r="C101" i="4" a="1"/>
  <c r="C101" i="4" s="1"/>
  <c r="C102" i="4" a="1"/>
  <c r="C102" i="4" s="1"/>
  <c r="C103" i="4" a="1"/>
  <c r="C103" i="4" s="1"/>
  <c r="C104" i="4" a="1"/>
  <c r="C104" i="4" s="1"/>
  <c r="C105" i="4" a="1"/>
  <c r="C105" i="4" s="1"/>
  <c r="C106" i="4" a="1"/>
  <c r="C106" i="4" s="1"/>
  <c r="C107" i="4" a="1"/>
  <c r="C107" i="4" s="1"/>
  <c r="C108" i="4" a="1"/>
  <c r="C108" i="4" s="1"/>
  <c r="C109" i="4" a="1"/>
  <c r="C109" i="4" s="1"/>
  <c r="C110" i="4" a="1"/>
  <c r="C110" i="4" s="1"/>
  <c r="C111" i="4" a="1"/>
  <c r="C111" i="4" s="1"/>
  <c r="C112" i="4" a="1"/>
  <c r="C112" i="4" s="1"/>
  <c r="C113" i="4" a="1"/>
  <c r="C113" i="4" s="1"/>
  <c r="C114" i="4" a="1"/>
  <c r="C114" i="4" s="1"/>
  <c r="C115" i="4" a="1"/>
  <c r="C115" i="4" s="1"/>
  <c r="C116" i="4" a="1"/>
  <c r="C116" i="4" s="1"/>
  <c r="C117" i="4" a="1"/>
  <c r="C117" i="4" s="1"/>
  <c r="C118" i="4" a="1"/>
  <c r="C118" i="4" s="1"/>
  <c r="C119" i="4" a="1"/>
  <c r="C119" i="4" s="1"/>
  <c r="C120" i="4" a="1"/>
  <c r="C120" i="4" s="1"/>
  <c r="C121" i="4" a="1"/>
  <c r="C121" i="4" s="1"/>
  <c r="C122" i="4" a="1"/>
  <c r="C122" i="4" s="1"/>
  <c r="C123" i="4" a="1"/>
  <c r="C123" i="4" s="1"/>
  <c r="C124" i="4" a="1"/>
  <c r="C124" i="4" s="1"/>
  <c r="C125" i="4" a="1"/>
  <c r="C125" i="4" s="1"/>
  <c r="C126" i="4" a="1"/>
  <c r="C126" i="4" s="1"/>
  <c r="C127" i="4" a="1"/>
  <c r="C127" i="4" s="1"/>
  <c r="C128" i="4" a="1"/>
  <c r="C128" i="4" s="1"/>
  <c r="C129" i="4" a="1"/>
  <c r="C129" i="4" s="1"/>
  <c r="C130" i="4" a="1"/>
  <c r="C130" i="4" s="1"/>
  <c r="C131" i="4" a="1"/>
  <c r="C131" i="4" s="1"/>
  <c r="C132" i="4" a="1"/>
  <c r="C132" i="4" s="1"/>
  <c r="C133" i="4" a="1"/>
  <c r="C133" i="4" s="1"/>
  <c r="C134" i="4" a="1"/>
  <c r="C134" i="4" s="1"/>
  <c r="C135" i="4" a="1"/>
  <c r="C135" i="4" s="1"/>
  <c r="C136" i="4" a="1"/>
  <c r="C136" i="4" s="1"/>
  <c r="C137" i="4" a="1"/>
  <c r="C137" i="4" s="1"/>
  <c r="C138" i="4" a="1"/>
  <c r="C138" i="4" s="1"/>
  <c r="C139" i="4" a="1"/>
  <c r="C139" i="4" s="1"/>
  <c r="C140" i="4" a="1"/>
  <c r="C140" i="4" s="1"/>
  <c r="C141" i="4" a="1"/>
  <c r="C141" i="4" s="1"/>
  <c r="C142" i="4" a="1"/>
  <c r="C142" i="4" s="1"/>
  <c r="C143" i="4" a="1"/>
  <c r="C143" i="4" s="1"/>
  <c r="C144" i="4" a="1"/>
  <c r="C144" i="4" s="1"/>
  <c r="C145" i="4" a="1"/>
  <c r="C145" i="4" s="1"/>
  <c r="C146" i="4" a="1"/>
  <c r="C146" i="4" s="1"/>
  <c r="C147" i="4" a="1"/>
  <c r="C147" i="4" s="1"/>
  <c r="C148" i="4" a="1"/>
  <c r="C148" i="4" s="1"/>
  <c r="C149" i="4" a="1"/>
  <c r="C149" i="4" s="1"/>
  <c r="C150" i="4" a="1"/>
  <c r="C150" i="4" s="1"/>
  <c r="C151" i="4" a="1"/>
  <c r="C151" i="4" s="1"/>
  <c r="C152" i="4" a="1"/>
  <c r="C152" i="4" s="1"/>
  <c r="C153" i="4" a="1"/>
  <c r="C153" i="4" s="1"/>
  <c r="C154" i="4" a="1"/>
  <c r="C154" i="4" s="1"/>
  <c r="C155" i="4" a="1"/>
  <c r="C155" i="4" s="1"/>
  <c r="C156" i="4" a="1"/>
  <c r="C156" i="4" s="1"/>
  <c r="C157" i="4" a="1"/>
  <c r="C157" i="4" s="1"/>
  <c r="C158" i="4" a="1"/>
  <c r="C158" i="4" s="1"/>
  <c r="C159" i="4" a="1"/>
  <c r="C159" i="4" s="1"/>
  <c r="C160" i="4" a="1"/>
  <c r="C160" i="4" s="1"/>
  <c r="C161" i="4" a="1"/>
  <c r="C161" i="4" s="1"/>
  <c r="C162" i="4" a="1"/>
  <c r="C162" i="4" s="1"/>
  <c r="C163" i="4" a="1"/>
  <c r="C163" i="4" s="1"/>
  <c r="C164" i="4" a="1"/>
  <c r="C164" i="4" s="1"/>
  <c r="C165" i="4" a="1"/>
  <c r="C165" i="4" s="1"/>
  <c r="C166" i="4" a="1"/>
  <c r="C166" i="4" s="1"/>
  <c r="C167" i="4" a="1"/>
  <c r="C167" i="4" s="1"/>
  <c r="C168" i="4" a="1"/>
  <c r="C168" i="4" s="1"/>
  <c r="C169" i="4" a="1"/>
  <c r="C169" i="4" s="1"/>
  <c r="C170" i="4" a="1"/>
  <c r="C170" i="4" s="1"/>
  <c r="C171" i="4" a="1"/>
  <c r="C171" i="4" s="1"/>
  <c r="C172" i="4" a="1"/>
  <c r="C172" i="4" s="1"/>
  <c r="C173" i="4" a="1"/>
  <c r="C173" i="4" s="1"/>
  <c r="C174" i="4" a="1"/>
  <c r="C174" i="4" s="1"/>
  <c r="C175" i="4" a="1"/>
  <c r="C175" i="4" s="1"/>
  <c r="C176" i="4" a="1"/>
  <c r="C176" i="4" s="1"/>
  <c r="C177" i="4" a="1"/>
  <c r="C177" i="4" s="1"/>
  <c r="C178" i="4" a="1"/>
  <c r="C178" i="4" s="1"/>
  <c r="C179" i="4" a="1"/>
  <c r="C179" i="4" s="1"/>
  <c r="C180" i="4" a="1"/>
  <c r="C180" i="4" s="1"/>
  <c r="C181" i="4" a="1"/>
  <c r="C181" i="4" s="1"/>
  <c r="C182" i="4" a="1"/>
  <c r="C182" i="4" s="1"/>
  <c r="C183" i="4" a="1"/>
  <c r="C183" i="4" s="1"/>
  <c r="C184" i="4" a="1"/>
  <c r="C184" i="4" s="1"/>
  <c r="C185" i="4" a="1"/>
  <c r="C185" i="4" s="1"/>
  <c r="C186" i="4" a="1"/>
  <c r="C186" i="4" s="1"/>
  <c r="C187" i="4" a="1"/>
  <c r="C187" i="4" s="1"/>
  <c r="C188" i="4" a="1"/>
  <c r="C188" i="4" s="1"/>
  <c r="C189" i="4" a="1"/>
  <c r="C189" i="4" s="1"/>
  <c r="C190" i="4" a="1"/>
  <c r="C190" i="4" s="1"/>
  <c r="C191" i="4" a="1"/>
  <c r="C191" i="4" s="1"/>
  <c r="C192" i="4" a="1"/>
  <c r="C192" i="4" s="1"/>
  <c r="C193" i="4" a="1"/>
  <c r="C193" i="4" s="1"/>
  <c r="C194" i="4" a="1"/>
  <c r="C194" i="4" s="1"/>
  <c r="C195" i="4" a="1"/>
  <c r="C195" i="4" s="1"/>
  <c r="C196" i="4" a="1"/>
  <c r="C196" i="4" s="1"/>
  <c r="C197" i="4" a="1"/>
  <c r="C197" i="4" s="1"/>
  <c r="C198" i="4" a="1"/>
  <c r="C198" i="4" s="1"/>
  <c r="C199" i="4" a="1"/>
  <c r="C199" i="4" s="1"/>
  <c r="C200" i="4" a="1"/>
  <c r="C200" i="4" s="1"/>
  <c r="C201" i="4" a="1"/>
  <c r="C201" i="4" s="1"/>
  <c r="C202" i="4" a="1"/>
  <c r="C202" i="4" s="1"/>
  <c r="C203" i="4" a="1"/>
  <c r="C203" i="4" s="1"/>
  <c r="C204" i="4" a="1"/>
  <c r="C204" i="4" s="1"/>
  <c r="C205" i="4" a="1"/>
  <c r="C205" i="4" s="1"/>
  <c r="C206" i="4" a="1"/>
  <c r="C206" i="4" s="1"/>
  <c r="C207" i="4" a="1"/>
  <c r="C207" i="4" s="1"/>
  <c r="C208" i="4" a="1"/>
  <c r="C208" i="4" s="1"/>
  <c r="C209" i="4" a="1"/>
  <c r="C209" i="4" s="1"/>
  <c r="C210" i="4" a="1"/>
  <c r="C210" i="4" s="1"/>
  <c r="C211" i="4" a="1"/>
  <c r="C211" i="4" s="1"/>
  <c r="C212" i="4" a="1"/>
  <c r="C212" i="4" s="1"/>
  <c r="C213" i="4" a="1"/>
  <c r="C213" i="4" s="1"/>
  <c r="C214" i="4" a="1"/>
  <c r="C214" i="4" s="1"/>
  <c r="C215" i="4" a="1"/>
  <c r="C215" i="4" s="1"/>
  <c r="C216" i="4" a="1"/>
  <c r="C216" i="4" s="1"/>
  <c r="C217" i="4" a="1"/>
  <c r="C217" i="4" s="1"/>
  <c r="C218" i="4" a="1"/>
  <c r="C218" i="4" s="1"/>
  <c r="C219" i="4" a="1"/>
  <c r="C219" i="4" s="1"/>
  <c r="C220" i="4" a="1"/>
  <c r="C220" i="4" s="1"/>
  <c r="C221" i="4" a="1"/>
  <c r="C221" i="4" s="1"/>
  <c r="C222" i="4" a="1"/>
  <c r="C222" i="4" s="1"/>
  <c r="C223" i="4" a="1"/>
  <c r="C223" i="4" s="1"/>
  <c r="C224" i="4" a="1"/>
  <c r="C224" i="4" s="1"/>
  <c r="C225" i="4" a="1"/>
  <c r="C225" i="4" s="1"/>
  <c r="C226" i="4" a="1"/>
  <c r="C226" i="4" s="1"/>
  <c r="C227" i="4" a="1"/>
  <c r="C227" i="4" s="1"/>
  <c r="C228" i="4" a="1"/>
  <c r="C228" i="4" s="1"/>
  <c r="C229" i="4" a="1"/>
  <c r="C229" i="4" s="1"/>
  <c r="C230" i="4" a="1"/>
  <c r="C230" i="4" s="1"/>
  <c r="C231" i="4" a="1"/>
  <c r="C231" i="4" s="1"/>
  <c r="C232" i="4" a="1"/>
  <c r="C232" i="4" s="1"/>
  <c r="C233" i="4" a="1"/>
  <c r="C233" i="4" s="1"/>
  <c r="C234" i="4" a="1"/>
  <c r="C234" i="4" s="1"/>
  <c r="C235" i="4" a="1"/>
  <c r="C235" i="4" s="1"/>
  <c r="C236" i="4" a="1"/>
  <c r="C236" i="4" s="1"/>
  <c r="C237" i="4" a="1"/>
  <c r="C237" i="4" s="1"/>
  <c r="C238" i="4" a="1"/>
  <c r="C238" i="4" s="1"/>
  <c r="C239" i="4" a="1"/>
  <c r="C239" i="4" s="1"/>
  <c r="C240" i="4" a="1"/>
  <c r="C240" i="4" s="1"/>
  <c r="C241" i="4" a="1"/>
  <c r="C241" i="4" s="1"/>
  <c r="C242" i="4" a="1"/>
  <c r="C242" i="4" s="1"/>
  <c r="C243" i="4" a="1"/>
  <c r="C243" i="4" s="1"/>
  <c r="C244" i="4" a="1"/>
  <c r="C244" i="4" s="1"/>
  <c r="C245" i="4" a="1"/>
  <c r="C245" i="4" s="1"/>
  <c r="C246" i="4" a="1"/>
  <c r="C246" i="4" s="1"/>
  <c r="C247" i="4" a="1"/>
  <c r="C247" i="4" s="1"/>
  <c r="C248" i="4" a="1"/>
  <c r="C248" i="4" s="1"/>
  <c r="C249" i="4" a="1"/>
  <c r="C249" i="4" s="1"/>
  <c r="C250" i="4" a="1"/>
  <c r="C250" i="4" s="1"/>
  <c r="C251" i="4" a="1"/>
  <c r="C251" i="4" s="1"/>
  <c r="C252" i="4" a="1"/>
  <c r="C252" i="4" s="1"/>
  <c r="C253" i="4" a="1"/>
  <c r="C253" i="4" s="1"/>
  <c r="C254" i="4" a="1"/>
  <c r="C254" i="4" s="1"/>
  <c r="C255" i="4" a="1"/>
  <c r="C255" i="4" s="1"/>
  <c r="C256" i="4" a="1"/>
  <c r="C256" i="4" s="1"/>
  <c r="C257" i="4" a="1"/>
  <c r="C257" i="4" s="1"/>
  <c r="C258" i="4" a="1"/>
  <c r="C258" i="4" s="1"/>
  <c r="C259" i="4" a="1"/>
  <c r="C259" i="4" s="1"/>
  <c r="C260" i="4" a="1"/>
  <c r="C260" i="4" s="1"/>
  <c r="C261" i="4" a="1"/>
  <c r="C261" i="4" s="1"/>
  <c r="C262" i="4" a="1"/>
  <c r="C262" i="4" s="1"/>
  <c r="C263" i="4" a="1"/>
  <c r="C263" i="4" s="1"/>
  <c r="C264" i="4" a="1"/>
  <c r="C264" i="4" s="1"/>
  <c r="C265" i="4" a="1"/>
  <c r="C265" i="4" s="1"/>
  <c r="C266" i="4" a="1"/>
  <c r="C266" i="4" s="1"/>
  <c r="C267" i="4" a="1"/>
  <c r="C267" i="4" s="1"/>
  <c r="C268" i="4" a="1"/>
  <c r="C268" i="4" s="1"/>
  <c r="C269" i="4" a="1"/>
  <c r="C269" i="4" s="1"/>
  <c r="C270" i="4" a="1"/>
  <c r="C270" i="4" s="1"/>
  <c r="C271" i="4" a="1"/>
  <c r="C271" i="4" s="1"/>
  <c r="C272" i="4" a="1"/>
  <c r="C272" i="4" s="1"/>
  <c r="C273" i="4" a="1"/>
  <c r="C273" i="4" s="1"/>
  <c r="C274" i="4" a="1"/>
  <c r="C274" i="4" s="1"/>
  <c r="C275" i="4" a="1"/>
  <c r="C275" i="4" s="1"/>
  <c r="C276" i="4" a="1"/>
  <c r="C276" i="4" s="1"/>
  <c r="C277" i="4" a="1"/>
  <c r="C277" i="4" s="1"/>
  <c r="C278" i="4" a="1"/>
  <c r="C278" i="4" s="1"/>
  <c r="C279" i="4" a="1"/>
  <c r="C279" i="4" s="1"/>
  <c r="C280" i="4" a="1"/>
  <c r="C280" i="4" s="1"/>
  <c r="C281" i="4" a="1"/>
  <c r="C281" i="4" s="1"/>
  <c r="C282" i="4" a="1"/>
  <c r="C282" i="4" s="1"/>
  <c r="C283" i="4" a="1"/>
  <c r="C283" i="4" s="1"/>
  <c r="C284" i="4" a="1"/>
  <c r="C284" i="4" s="1"/>
  <c r="C285" i="4" a="1"/>
  <c r="C285" i="4" s="1"/>
  <c r="C286" i="4" a="1"/>
  <c r="C286" i="4" s="1"/>
  <c r="C287" i="4" a="1"/>
  <c r="C287" i="4" s="1"/>
  <c r="C288" i="4" a="1"/>
  <c r="C288" i="4" s="1"/>
  <c r="C289" i="4" a="1"/>
  <c r="C289" i="4" s="1"/>
  <c r="C290" i="4" a="1"/>
  <c r="C290" i="4" s="1"/>
  <c r="C291" i="4" a="1"/>
  <c r="C291" i="4" s="1"/>
  <c r="C292" i="4" a="1"/>
  <c r="C292" i="4" s="1"/>
  <c r="C293" i="4" a="1"/>
  <c r="C293" i="4" s="1"/>
  <c r="C294" i="4" a="1"/>
  <c r="C294" i="4" s="1"/>
  <c r="C295" i="4" a="1"/>
  <c r="C295" i="4" s="1"/>
  <c r="C296" i="4" a="1"/>
  <c r="C296" i="4" s="1"/>
  <c r="C297" i="4" a="1"/>
  <c r="C297" i="4" s="1"/>
  <c r="C298" i="4" a="1"/>
  <c r="C298" i="4" s="1"/>
  <c r="C299" i="4" a="1"/>
  <c r="C299" i="4" s="1"/>
  <c r="C300" i="4" a="1"/>
  <c r="C300" i="4" s="1"/>
  <c r="C301" i="4" a="1"/>
  <c r="C301" i="4" s="1"/>
  <c r="C302" i="4" a="1"/>
  <c r="C302" i="4" s="1"/>
  <c r="C303" i="4" a="1"/>
  <c r="C303" i="4" s="1"/>
  <c r="C304" i="4" a="1"/>
  <c r="C304" i="4" s="1"/>
  <c r="C305" i="4" a="1"/>
  <c r="C305" i="4" s="1"/>
  <c r="C306" i="4" a="1"/>
  <c r="C306" i="4" s="1"/>
  <c r="C307" i="4" a="1"/>
  <c r="C307" i="4" s="1"/>
  <c r="C308" i="4" a="1"/>
  <c r="C308" i="4" s="1"/>
  <c r="C309" i="4" a="1"/>
  <c r="C309" i="4" s="1"/>
  <c r="C310" i="4" a="1"/>
  <c r="C310" i="4" s="1"/>
  <c r="C311" i="4" a="1"/>
  <c r="C311" i="4" s="1"/>
  <c r="C312" i="4" a="1"/>
  <c r="C312" i="4" s="1"/>
  <c r="C313" i="4" a="1"/>
  <c r="C313" i="4" s="1"/>
  <c r="C314" i="4" a="1"/>
  <c r="C314" i="4" s="1"/>
  <c r="C315" i="4" a="1"/>
  <c r="C315" i="4" s="1"/>
  <c r="C316" i="4" a="1"/>
  <c r="C316" i="4" s="1"/>
  <c r="C317" i="4" a="1"/>
  <c r="C317" i="4" s="1"/>
  <c r="C318" i="4" a="1"/>
  <c r="C318" i="4" s="1"/>
  <c r="C319" i="4" a="1"/>
  <c r="C319" i="4" s="1"/>
  <c r="C320" i="4" a="1"/>
  <c r="C320" i="4" s="1"/>
  <c r="C321" i="4" a="1"/>
  <c r="C321" i="4" s="1"/>
  <c r="C322" i="4" a="1"/>
  <c r="C322" i="4" s="1"/>
  <c r="C323" i="4" a="1"/>
  <c r="C323" i="4" s="1"/>
  <c r="C324" i="4" a="1"/>
  <c r="C324" i="4" s="1"/>
  <c r="C325" i="4" a="1"/>
  <c r="C325" i="4" s="1"/>
  <c r="C326" i="4" a="1"/>
  <c r="C326" i="4" s="1"/>
  <c r="C327" i="4" a="1"/>
  <c r="C327" i="4" s="1"/>
  <c r="C328" i="4" a="1"/>
  <c r="C328" i="4" s="1"/>
  <c r="C329" i="4" a="1"/>
  <c r="C329" i="4" s="1"/>
  <c r="C330" i="4" a="1"/>
  <c r="C330" i="4" s="1"/>
  <c r="C331" i="4" a="1"/>
  <c r="C331" i="4" s="1"/>
  <c r="C332" i="4" a="1"/>
  <c r="C332" i="4" s="1"/>
  <c r="C333" i="4" a="1"/>
  <c r="C333" i="4" s="1"/>
  <c r="C334" i="4" a="1"/>
  <c r="C334" i="4" s="1"/>
  <c r="C335" i="4" a="1"/>
  <c r="C335" i="4" s="1"/>
  <c r="C336" i="4" a="1"/>
  <c r="C336" i="4" s="1"/>
  <c r="C337" i="4" a="1"/>
  <c r="C337" i="4" s="1"/>
  <c r="C338" i="4" a="1"/>
  <c r="C338" i="4" s="1"/>
  <c r="C339" i="4" a="1"/>
  <c r="C339" i="4" s="1"/>
  <c r="C340" i="4" a="1"/>
  <c r="C340" i="4" s="1"/>
  <c r="C341" i="4" a="1"/>
  <c r="C341" i="4" s="1"/>
  <c r="C342" i="4" a="1"/>
  <c r="C342" i="4" s="1"/>
  <c r="C343" i="4" a="1"/>
  <c r="C343" i="4" s="1"/>
  <c r="C344" i="4" a="1"/>
  <c r="C344" i="4" s="1"/>
  <c r="C345" i="4" a="1"/>
  <c r="C345" i="4" s="1"/>
  <c r="C346" i="4" a="1"/>
  <c r="C346" i="4" s="1"/>
  <c r="C347" i="4" a="1"/>
  <c r="C347" i="4" s="1"/>
  <c r="C348" i="4" a="1"/>
  <c r="C348" i="4" s="1"/>
  <c r="C349" i="4" a="1"/>
  <c r="C349" i="4" s="1"/>
  <c r="C350" i="4" a="1"/>
  <c r="C350" i="4" s="1"/>
  <c r="C351" i="4" a="1"/>
  <c r="C351" i="4" s="1"/>
  <c r="C352" i="4" a="1"/>
  <c r="C352" i="4" s="1"/>
  <c r="C353" i="4" a="1"/>
  <c r="C353" i="4" s="1"/>
  <c r="C354" i="4" a="1"/>
  <c r="C354" i="4" s="1"/>
  <c r="C355" i="4" a="1"/>
  <c r="C355" i="4" s="1"/>
  <c r="C356" i="4" a="1"/>
  <c r="C356" i="4" s="1"/>
  <c r="C357" i="4" a="1"/>
  <c r="C357" i="4" s="1"/>
  <c r="C358" i="4" a="1"/>
  <c r="C358" i="4" s="1"/>
  <c r="C359" i="4" a="1"/>
  <c r="C359" i="4" s="1"/>
  <c r="C360" i="4" a="1"/>
  <c r="C360" i="4" s="1"/>
  <c r="C361" i="4" a="1"/>
  <c r="C361" i="4" s="1"/>
  <c r="C362" i="4" a="1"/>
  <c r="C362" i="4" s="1"/>
  <c r="C363" i="4" a="1"/>
  <c r="C363" i="4" s="1"/>
  <c r="C364" i="4" a="1"/>
  <c r="C364" i="4" s="1"/>
  <c r="C365" i="4" a="1"/>
  <c r="C365" i="4" s="1"/>
  <c r="C366" i="4" a="1"/>
  <c r="C366" i="4" s="1"/>
  <c r="C367" i="4" a="1"/>
  <c r="C367" i="4" s="1"/>
  <c r="C368" i="4" a="1"/>
  <c r="C368" i="4" s="1"/>
  <c r="C369" i="4" a="1"/>
  <c r="C369" i="4" s="1"/>
  <c r="C370" i="4" a="1"/>
  <c r="C370" i="4" s="1"/>
  <c r="C371" i="4" a="1"/>
  <c r="C371" i="4" s="1"/>
  <c r="C372" i="4" a="1"/>
  <c r="C372" i="4" s="1"/>
  <c r="C373" i="4" a="1"/>
  <c r="C373" i="4" s="1"/>
  <c r="C374" i="4" a="1"/>
  <c r="C374" i="4" s="1"/>
  <c r="C375" i="4" a="1"/>
  <c r="C375" i="4" s="1"/>
  <c r="C376" i="4" a="1"/>
  <c r="C376" i="4" s="1"/>
  <c r="C377" i="4" a="1"/>
  <c r="C377" i="4" s="1"/>
  <c r="C378" i="4" a="1"/>
  <c r="C378" i="4" s="1"/>
  <c r="C379" i="4" a="1"/>
  <c r="C379" i="4" s="1"/>
  <c r="C380" i="4" a="1"/>
  <c r="C380" i="4" s="1"/>
  <c r="C381" i="4" a="1"/>
  <c r="C381" i="4" s="1"/>
  <c r="C382" i="4" a="1"/>
  <c r="C382" i="4" s="1"/>
  <c r="C383" i="4" a="1"/>
  <c r="C383" i="4" s="1"/>
  <c r="C384" i="4" a="1"/>
  <c r="C384" i="4" s="1"/>
  <c r="C385" i="4" a="1"/>
  <c r="C385" i="4" s="1"/>
  <c r="C386" i="4" a="1"/>
  <c r="C386" i="4" s="1"/>
  <c r="C387" i="4" a="1"/>
  <c r="C387" i="4" s="1"/>
  <c r="C388" i="4" a="1"/>
  <c r="C388" i="4" s="1"/>
  <c r="C389" i="4" a="1"/>
  <c r="C389" i="4" s="1"/>
  <c r="C390" i="4" a="1"/>
  <c r="C390" i="4" s="1"/>
  <c r="C391" i="4" a="1"/>
  <c r="C391" i="4" s="1"/>
  <c r="C392" i="4" a="1"/>
  <c r="C392" i="4" s="1"/>
  <c r="C393" i="4" a="1"/>
  <c r="C393" i="4" s="1"/>
  <c r="C394" i="4" a="1"/>
  <c r="C394" i="4" s="1"/>
  <c r="C395" i="4" a="1"/>
  <c r="C395" i="4" s="1"/>
  <c r="C396" i="4" a="1"/>
  <c r="C396" i="4" s="1"/>
  <c r="C397" i="4" a="1"/>
  <c r="C397" i="4" s="1"/>
  <c r="C398" i="4" a="1"/>
  <c r="C398" i="4" s="1"/>
  <c r="C399" i="4" a="1"/>
  <c r="C399" i="4" s="1"/>
  <c r="C400" i="4" a="1"/>
  <c r="C400" i="4" s="1"/>
  <c r="C401" i="4" a="1"/>
  <c r="C401" i="4" s="1"/>
  <c r="C402" i="4" a="1"/>
  <c r="C402" i="4" s="1"/>
  <c r="C403" i="4" a="1"/>
  <c r="C403" i="4" s="1"/>
  <c r="C404" i="4" a="1"/>
  <c r="C404" i="4" s="1"/>
  <c r="C405" i="4" a="1"/>
  <c r="C405" i="4" s="1"/>
  <c r="C406" i="4" a="1"/>
  <c r="C406" i="4" s="1"/>
  <c r="C407" i="4" a="1"/>
  <c r="C407" i="4" s="1"/>
  <c r="C408" i="4" a="1"/>
  <c r="C408" i="4" s="1"/>
  <c r="C409" i="4" a="1"/>
  <c r="C409" i="4" s="1"/>
  <c r="C410" i="4" a="1"/>
  <c r="C410" i="4" s="1"/>
  <c r="C411" i="4" a="1"/>
  <c r="C411" i="4" s="1"/>
  <c r="C412" i="4" a="1"/>
  <c r="C412" i="4" s="1"/>
  <c r="C413" i="4" a="1"/>
  <c r="C413" i="4" s="1"/>
  <c r="C414" i="4" a="1"/>
  <c r="C414" i="4" s="1"/>
  <c r="C415" i="4" a="1"/>
  <c r="C415" i="4" s="1"/>
  <c r="C416" i="4" a="1"/>
  <c r="C416" i="4" s="1"/>
  <c r="C417" i="4" a="1"/>
  <c r="C417" i="4" s="1"/>
  <c r="C418" i="4" a="1"/>
  <c r="C418" i="4" s="1"/>
  <c r="C419" i="4" a="1"/>
  <c r="C419" i="4" s="1"/>
  <c r="C420" i="4" a="1"/>
  <c r="C420" i="4" s="1"/>
  <c r="C421" i="4" a="1"/>
  <c r="C421" i="4" s="1"/>
  <c r="C422" i="4" a="1"/>
  <c r="C422" i="4" s="1"/>
  <c r="C423" i="4" a="1"/>
  <c r="C423" i="4" s="1"/>
  <c r="C424" i="4" a="1"/>
  <c r="C424" i="4" s="1"/>
  <c r="C425" i="4" a="1"/>
  <c r="C425" i="4" s="1"/>
  <c r="C426" i="4" a="1"/>
  <c r="C426" i="4" s="1"/>
  <c r="C427" i="4" a="1"/>
  <c r="C427" i="4" s="1"/>
  <c r="C428" i="4" a="1"/>
  <c r="C428" i="4" s="1"/>
  <c r="C429" i="4" a="1"/>
  <c r="C429" i="4" s="1"/>
  <c r="C430" i="4" a="1"/>
  <c r="C430" i="4" s="1"/>
  <c r="C431" i="4" a="1"/>
  <c r="C431" i="4" s="1"/>
  <c r="C432" i="4" a="1"/>
  <c r="C432" i="4" s="1"/>
  <c r="C433" i="4" a="1"/>
  <c r="C433" i="4" s="1"/>
  <c r="C434" i="4" a="1"/>
  <c r="C434" i="4" s="1"/>
  <c r="C435" i="4" a="1"/>
  <c r="C435" i="4" s="1"/>
  <c r="C436" i="4" a="1"/>
  <c r="C436" i="4" s="1"/>
  <c r="C437" i="4" a="1"/>
  <c r="C437" i="4" s="1"/>
  <c r="C438" i="4" a="1"/>
  <c r="C438" i="4" s="1"/>
  <c r="C439" i="4" a="1"/>
  <c r="C439" i="4" s="1"/>
  <c r="C440" i="4" a="1"/>
  <c r="C440" i="4" s="1"/>
  <c r="C441" i="4" a="1"/>
  <c r="C441" i="4" s="1"/>
  <c r="C442" i="4" a="1"/>
  <c r="C442" i="4" s="1"/>
  <c r="C443" i="4" a="1"/>
  <c r="C443" i="4" s="1"/>
  <c r="C444" i="4" a="1"/>
  <c r="C444" i="4" s="1"/>
  <c r="C445" i="4" a="1"/>
  <c r="C445" i="4" s="1"/>
  <c r="C446" i="4" a="1"/>
  <c r="C446" i="4" s="1"/>
  <c r="C447" i="4" a="1"/>
  <c r="C447" i="4" s="1"/>
  <c r="C448" i="4" a="1"/>
  <c r="C448" i="4" s="1"/>
  <c r="C449" i="4" a="1"/>
  <c r="C449" i="4" s="1"/>
  <c r="C450" i="4" a="1"/>
  <c r="C450" i="4" s="1"/>
  <c r="C451" i="4" a="1"/>
  <c r="C451" i="4" s="1"/>
  <c r="C452" i="4" a="1"/>
  <c r="C452" i="4" s="1"/>
  <c r="C453" i="4" a="1"/>
  <c r="C453" i="4" s="1"/>
  <c r="C454" i="4" a="1"/>
  <c r="C454" i="4" s="1"/>
  <c r="C455" i="4" a="1"/>
  <c r="C455" i="4" s="1"/>
  <c r="C456" i="4" a="1"/>
  <c r="C456" i="4" s="1"/>
  <c r="C457" i="4" a="1"/>
  <c r="C457" i="4" s="1"/>
  <c r="C458" i="4" a="1"/>
  <c r="C458" i="4" s="1"/>
  <c r="C459" i="4" a="1"/>
  <c r="C459" i="4" s="1"/>
  <c r="C460" i="4" a="1"/>
  <c r="C460" i="4" s="1"/>
  <c r="C461" i="4" a="1"/>
  <c r="C461" i="4" s="1"/>
  <c r="C462" i="4" a="1"/>
  <c r="C462" i="4" s="1"/>
  <c r="C463" i="4" a="1"/>
  <c r="C463" i="4" s="1"/>
  <c r="C464" i="4" a="1"/>
  <c r="C464" i="4" s="1"/>
  <c r="C465" i="4" a="1"/>
  <c r="C465" i="4" s="1"/>
  <c r="C466" i="4" a="1"/>
  <c r="C466" i="4" s="1"/>
  <c r="C467" i="4" a="1"/>
  <c r="C467" i="4" s="1"/>
  <c r="C468" i="4" a="1"/>
  <c r="C468" i="4" s="1"/>
  <c r="C469" i="4" a="1"/>
  <c r="C469" i="4" s="1"/>
  <c r="C470" i="4" a="1"/>
  <c r="C470" i="4" s="1"/>
  <c r="C471" i="4" a="1"/>
  <c r="C471" i="4" s="1"/>
  <c r="C472" i="4" a="1"/>
  <c r="C472" i="4" s="1"/>
  <c r="C473" i="4" a="1"/>
  <c r="C473" i="4" s="1"/>
  <c r="C474" i="4" a="1"/>
  <c r="C474" i="4" s="1"/>
  <c r="C475" i="4" a="1"/>
  <c r="C475" i="4" s="1"/>
  <c r="C476" i="4" a="1"/>
  <c r="C476" i="4" s="1"/>
  <c r="C477" i="4" a="1"/>
  <c r="C477" i="4" s="1"/>
  <c r="C478" i="4" a="1"/>
  <c r="C478" i="4" s="1"/>
  <c r="C479" i="4" a="1"/>
  <c r="C479" i="4" s="1"/>
  <c r="C480" i="4" a="1"/>
  <c r="C480" i="4" s="1"/>
  <c r="C481" i="4" a="1"/>
  <c r="C481" i="4" s="1"/>
  <c r="C482" i="4" a="1"/>
  <c r="C482" i="4" s="1"/>
  <c r="C483" i="4" a="1"/>
  <c r="C483" i="4" s="1"/>
  <c r="C484" i="4" a="1"/>
  <c r="C484" i="4" s="1"/>
  <c r="C485" i="4" a="1"/>
  <c r="C485" i="4" s="1"/>
  <c r="C486" i="4" a="1"/>
  <c r="C486" i="4" s="1"/>
  <c r="C487" i="4" a="1"/>
  <c r="C487" i="4" s="1"/>
  <c r="C488" i="4" a="1"/>
  <c r="C488" i="4" s="1"/>
  <c r="C489" i="4" a="1"/>
  <c r="C489" i="4" s="1"/>
  <c r="C490" i="4" a="1"/>
  <c r="C490" i="4" s="1"/>
  <c r="C491" i="4" a="1"/>
  <c r="C491" i="4" s="1"/>
  <c r="C492" i="4" a="1"/>
  <c r="C492" i="4" s="1"/>
  <c r="C493" i="4" a="1"/>
  <c r="C493" i="4" s="1"/>
  <c r="C494" i="4" a="1"/>
  <c r="C494" i="4" s="1"/>
  <c r="C495" i="4" a="1"/>
  <c r="C495" i="4" s="1"/>
  <c r="C496" i="4" a="1"/>
  <c r="C496" i="4" s="1"/>
  <c r="C497" i="4" a="1"/>
  <c r="C497" i="4" s="1"/>
  <c r="C498" i="4" a="1"/>
  <c r="C498" i="4" s="1"/>
  <c r="C499" i="4" a="1"/>
  <c r="C499" i="4" s="1"/>
  <c r="C500" i="4" a="1"/>
  <c r="C500" i="4" s="1"/>
  <c r="C501" i="4" a="1"/>
  <c r="C501" i="4" s="1"/>
  <c r="C502" i="4" a="1"/>
  <c r="C502" i="4" s="1"/>
  <c r="C503" i="4" a="1"/>
  <c r="C503" i="4" s="1"/>
  <c r="C504" i="4" a="1"/>
  <c r="C504" i="4" s="1"/>
  <c r="C505" i="4" a="1"/>
  <c r="C505" i="4" s="1"/>
  <c r="C506" i="4" a="1"/>
  <c r="C506" i="4" s="1"/>
  <c r="C507" i="4" a="1"/>
  <c r="C507" i="4" s="1"/>
  <c r="C508" i="4" a="1"/>
  <c r="C508" i="4" s="1"/>
  <c r="C509" i="4" a="1"/>
  <c r="C509" i="4" s="1"/>
  <c r="C510" i="4" a="1"/>
  <c r="C510" i="4" s="1"/>
  <c r="C511" i="4" a="1"/>
  <c r="C511" i="4" s="1"/>
  <c r="C512" i="4" a="1"/>
  <c r="C512" i="4" s="1"/>
  <c r="C513" i="4" a="1"/>
  <c r="C513" i="4" s="1"/>
  <c r="C514" i="4" a="1"/>
  <c r="C514" i="4" s="1"/>
  <c r="C515" i="4" a="1"/>
  <c r="C515" i="4" s="1"/>
  <c r="C516" i="4" a="1"/>
  <c r="C516" i="4" s="1"/>
  <c r="C517" i="4" a="1"/>
  <c r="C517" i="4" s="1"/>
  <c r="C518" i="4" a="1"/>
  <c r="C518" i="4" s="1"/>
  <c r="C519" i="4" a="1"/>
  <c r="C519" i="4" s="1"/>
  <c r="C520" i="4" a="1"/>
  <c r="C520" i="4" s="1"/>
  <c r="C521" i="4" a="1"/>
  <c r="C521" i="4" s="1"/>
  <c r="C522" i="4" a="1"/>
  <c r="C522" i="4" s="1"/>
  <c r="C523" i="4" a="1"/>
  <c r="C523" i="4" s="1"/>
  <c r="C524" i="4" a="1"/>
  <c r="C524" i="4" s="1"/>
  <c r="C525" i="4" a="1"/>
  <c r="C525" i="4" s="1"/>
  <c r="C526" i="4" a="1"/>
  <c r="C526" i="4" s="1"/>
  <c r="C527" i="4" a="1"/>
  <c r="C527" i="4" s="1"/>
  <c r="C528" i="4" a="1"/>
  <c r="C528" i="4" s="1"/>
  <c r="C529" i="4" a="1"/>
  <c r="C529" i="4" s="1"/>
  <c r="C530" i="4" a="1"/>
  <c r="C530" i="4" s="1"/>
  <c r="C531" i="4" a="1"/>
  <c r="C531" i="4" s="1"/>
  <c r="C532" i="4" a="1"/>
  <c r="C532" i="4" s="1"/>
  <c r="C533" i="4" a="1"/>
  <c r="C533" i="4" s="1"/>
  <c r="C534" i="4" a="1"/>
  <c r="C534" i="4" s="1"/>
  <c r="C535" i="4" a="1"/>
  <c r="C535" i="4" s="1"/>
  <c r="C536" i="4" a="1"/>
  <c r="C536" i="4" s="1"/>
  <c r="C537" i="4" a="1"/>
  <c r="C537" i="4" s="1"/>
  <c r="C538" i="4" a="1"/>
  <c r="C538" i="4" s="1"/>
  <c r="C539" i="4" a="1"/>
  <c r="C539" i="4" s="1"/>
  <c r="C540" i="4" a="1"/>
  <c r="C540" i="4" s="1"/>
  <c r="C541" i="4" a="1"/>
  <c r="C541" i="4" s="1"/>
  <c r="C542" i="4" a="1"/>
  <c r="C542" i="4" s="1"/>
  <c r="C543" i="4" a="1"/>
  <c r="C543" i="4" s="1"/>
  <c r="C544" i="4" a="1"/>
  <c r="C544" i="4" s="1"/>
  <c r="C545" i="4" a="1"/>
  <c r="C545" i="4" s="1"/>
  <c r="C546" i="4" a="1"/>
  <c r="C546" i="4" s="1"/>
  <c r="C547" i="4" a="1"/>
  <c r="C547" i="4" s="1"/>
  <c r="C548" i="4" a="1"/>
  <c r="C548" i="4" s="1"/>
  <c r="C549" i="4" a="1"/>
  <c r="C549" i="4" s="1"/>
  <c r="C550" i="4" a="1"/>
  <c r="C550" i="4" s="1"/>
  <c r="C551" i="4" a="1"/>
  <c r="C551" i="4" s="1"/>
  <c r="C552" i="4" a="1"/>
  <c r="C552" i="4" s="1"/>
  <c r="C553" i="4" a="1"/>
  <c r="C553" i="4" s="1"/>
  <c r="C554" i="4" a="1"/>
  <c r="C554" i="4" s="1"/>
  <c r="C555" i="4" a="1"/>
  <c r="C555" i="4" s="1"/>
  <c r="C556" i="4" a="1"/>
  <c r="C556" i="4" s="1"/>
  <c r="C557" i="4" a="1"/>
  <c r="C557" i="4" s="1"/>
  <c r="C558" i="4" a="1"/>
  <c r="C558" i="4" s="1"/>
  <c r="C559" i="4" a="1"/>
  <c r="C559" i="4" s="1"/>
  <c r="C560" i="4" a="1"/>
  <c r="C560" i="4" s="1"/>
  <c r="C561" i="4" a="1"/>
  <c r="C561" i="4" s="1"/>
  <c r="C562" i="4" a="1"/>
  <c r="C562" i="4" s="1"/>
  <c r="C563" i="4" a="1"/>
  <c r="C563" i="4" s="1"/>
  <c r="C564" i="4" a="1"/>
  <c r="C564" i="4" s="1"/>
  <c r="C565" i="4" a="1"/>
  <c r="C565" i="4" s="1"/>
  <c r="C566" i="4" a="1"/>
  <c r="C566" i="4" s="1"/>
  <c r="C567" i="4" a="1"/>
  <c r="C567" i="4" s="1"/>
  <c r="C568" i="4" a="1"/>
  <c r="C568" i="4" s="1"/>
  <c r="C569" i="4" a="1"/>
  <c r="C569" i="4" s="1"/>
  <c r="C570" i="4" a="1"/>
  <c r="C570" i="4" s="1"/>
  <c r="C571" i="4" a="1"/>
  <c r="C571" i="4" s="1"/>
  <c r="C572" i="4" a="1"/>
  <c r="C572" i="4" s="1"/>
  <c r="C573" i="4" a="1"/>
  <c r="C573" i="4" s="1"/>
  <c r="C574" i="4" a="1"/>
  <c r="C574" i="4" s="1"/>
  <c r="C575" i="4" a="1"/>
  <c r="C575" i="4" s="1"/>
  <c r="C576" i="4" a="1"/>
  <c r="C576" i="4" s="1"/>
  <c r="C577" i="4" a="1"/>
  <c r="C577" i="4" s="1"/>
  <c r="C578" i="4" a="1"/>
  <c r="C578" i="4" s="1"/>
  <c r="C579" i="4" a="1"/>
  <c r="C579" i="4" s="1"/>
  <c r="C580" i="4" a="1"/>
  <c r="C580" i="4" s="1"/>
  <c r="C581" i="4" a="1"/>
  <c r="C581" i="4" s="1"/>
  <c r="C582" i="4" a="1"/>
  <c r="C582" i="4" s="1"/>
  <c r="C583" i="4" a="1"/>
  <c r="C583" i="4" s="1"/>
  <c r="C584" i="4" a="1"/>
  <c r="C584" i="4" s="1"/>
  <c r="C585" i="4" a="1"/>
  <c r="C585" i="4" s="1"/>
  <c r="C586" i="4" a="1"/>
  <c r="C586" i="4" s="1"/>
  <c r="C587" i="4" a="1"/>
  <c r="C587" i="4" s="1"/>
  <c r="C588" i="4" a="1"/>
  <c r="C588" i="4" s="1"/>
  <c r="C589" i="4" a="1"/>
  <c r="C589" i="4" s="1"/>
  <c r="C590" i="4" a="1"/>
  <c r="C590" i="4" s="1"/>
  <c r="C591" i="4" a="1"/>
  <c r="C591" i="4" s="1"/>
  <c r="C592" i="4" a="1"/>
  <c r="C592" i="4" s="1"/>
  <c r="C593" i="4" a="1"/>
  <c r="C593" i="4" s="1"/>
  <c r="C594" i="4" a="1"/>
  <c r="C594" i="4" s="1"/>
  <c r="C595" i="4" a="1"/>
  <c r="C595" i="4" s="1"/>
  <c r="C596" i="4" a="1"/>
  <c r="C596" i="4" s="1"/>
  <c r="C597" i="4" a="1"/>
  <c r="C597" i="4" s="1"/>
  <c r="C598" i="4" a="1"/>
  <c r="C598" i="4" s="1"/>
  <c r="C599" i="4" a="1"/>
  <c r="C599" i="4" s="1"/>
  <c r="C600" i="4" a="1"/>
  <c r="C600" i="4" s="1"/>
  <c r="C601" i="4" a="1"/>
  <c r="C601" i="4" s="1"/>
  <c r="C602" i="4" a="1"/>
  <c r="C602" i="4" s="1"/>
  <c r="C603" i="4" a="1"/>
  <c r="C603" i="4" s="1"/>
  <c r="C604" i="4" a="1"/>
  <c r="C604" i="4" s="1"/>
  <c r="C605" i="4" a="1"/>
  <c r="C605" i="4" s="1"/>
  <c r="C606" i="4" a="1"/>
  <c r="C606" i="4" s="1"/>
  <c r="C607" i="4" a="1"/>
  <c r="C607" i="4" s="1"/>
  <c r="C608" i="4" a="1"/>
  <c r="C608" i="4" s="1"/>
  <c r="C609" i="4" a="1"/>
  <c r="C609" i="4" s="1"/>
  <c r="C610" i="4" a="1"/>
  <c r="C610" i="4" s="1"/>
  <c r="C611" i="4" a="1"/>
  <c r="C611" i="4" s="1"/>
  <c r="C612" i="4" a="1"/>
  <c r="C612" i="4" s="1"/>
  <c r="C613" i="4" a="1"/>
  <c r="C613" i="4" s="1"/>
  <c r="C614" i="4" a="1"/>
  <c r="C614" i="4" s="1"/>
  <c r="C615" i="4" a="1"/>
  <c r="C615" i="4" s="1"/>
  <c r="C616" i="4" a="1"/>
  <c r="C616" i="4" s="1"/>
  <c r="C617" i="4" a="1"/>
  <c r="C617" i="4" s="1"/>
  <c r="C618" i="4" a="1"/>
  <c r="C618" i="4" s="1"/>
  <c r="C619" i="4" a="1"/>
  <c r="C619" i="4" s="1"/>
  <c r="C620" i="4" a="1"/>
  <c r="C620" i="4" s="1"/>
  <c r="C621" i="4" a="1"/>
  <c r="C621" i="4" s="1"/>
  <c r="C622" i="4" a="1"/>
  <c r="C622" i="4" s="1"/>
  <c r="C623" i="4" a="1"/>
  <c r="C623" i="4" s="1"/>
  <c r="C624" i="4" a="1"/>
  <c r="C624" i="4" s="1"/>
  <c r="C625" i="4" a="1"/>
  <c r="C625" i="4" s="1"/>
  <c r="C626" i="4" a="1"/>
  <c r="C626" i="4" s="1"/>
  <c r="C627" i="4" a="1"/>
  <c r="C627" i="4" s="1"/>
  <c r="C628" i="4" a="1"/>
  <c r="C628" i="4" s="1"/>
  <c r="C629" i="4" a="1"/>
  <c r="C629" i="4" s="1"/>
  <c r="C630" i="4" a="1"/>
  <c r="C630" i="4" s="1"/>
  <c r="C631" i="4" a="1"/>
  <c r="C631" i="4" s="1"/>
  <c r="C632" i="4" a="1"/>
  <c r="C632" i="4" s="1"/>
  <c r="C633" i="4" a="1"/>
  <c r="C633" i="4" s="1"/>
  <c r="C634" i="4" a="1"/>
  <c r="C634" i="4" s="1"/>
  <c r="C635" i="4" a="1"/>
  <c r="C635" i="4" s="1"/>
  <c r="C636" i="4" a="1"/>
  <c r="C636" i="4" s="1"/>
  <c r="C637" i="4" a="1"/>
  <c r="C637" i="4" s="1"/>
  <c r="C638" i="4" a="1"/>
  <c r="C638" i="4" s="1"/>
  <c r="C639" i="4" a="1"/>
  <c r="C639" i="4" s="1"/>
  <c r="C640" i="4" a="1"/>
  <c r="C640" i="4" s="1"/>
  <c r="C641" i="4" a="1"/>
  <c r="C641" i="4" s="1"/>
  <c r="C642" i="4" a="1"/>
  <c r="C642" i="4" s="1"/>
  <c r="C643" i="4" a="1"/>
  <c r="C643" i="4" s="1"/>
  <c r="C644" i="4" a="1"/>
  <c r="C644" i="4" s="1"/>
  <c r="C645" i="4" a="1"/>
  <c r="C645" i="4" s="1"/>
  <c r="C646" i="4" a="1"/>
  <c r="C646" i="4" s="1"/>
  <c r="C647" i="4" a="1"/>
  <c r="C647" i="4" s="1"/>
  <c r="C648" i="4" a="1"/>
  <c r="C648" i="4" s="1"/>
  <c r="C649" i="4" a="1"/>
  <c r="C649" i="4" s="1"/>
  <c r="C650" i="4" a="1"/>
  <c r="C650" i="4" s="1"/>
  <c r="C651" i="4" a="1"/>
  <c r="C651" i="4" s="1"/>
  <c r="C652" i="4" a="1"/>
  <c r="C652" i="4" s="1"/>
  <c r="C653" i="4" a="1"/>
  <c r="C653" i="4" s="1"/>
  <c r="C654" i="4" a="1"/>
  <c r="C654" i="4" s="1"/>
  <c r="C655" i="4" a="1"/>
  <c r="C655" i="4" s="1"/>
  <c r="C656" i="4" a="1"/>
  <c r="C656" i="4" s="1"/>
  <c r="C657" i="4" a="1"/>
  <c r="C657" i="4" s="1"/>
  <c r="C658" i="4" a="1"/>
  <c r="C658" i="4" s="1"/>
  <c r="C659" i="4" a="1"/>
  <c r="C659" i="4" s="1"/>
  <c r="C660" i="4" a="1"/>
  <c r="C660" i="4" s="1"/>
  <c r="C661" i="4" a="1"/>
  <c r="C661" i="4" s="1"/>
  <c r="C662" i="4" a="1"/>
  <c r="C662" i="4" s="1"/>
  <c r="C663" i="4" a="1"/>
  <c r="C663" i="4" s="1"/>
  <c r="C664" i="4" a="1"/>
  <c r="C664" i="4" s="1"/>
  <c r="C665" i="4" a="1"/>
  <c r="C665" i="4" s="1"/>
  <c r="C666" i="4" a="1"/>
  <c r="C666" i="4" s="1"/>
  <c r="C667" i="4" a="1"/>
  <c r="C667" i="4" s="1"/>
  <c r="C668" i="4" a="1"/>
  <c r="C668" i="4" s="1"/>
  <c r="C669" i="4" a="1"/>
  <c r="C669" i="4" s="1"/>
  <c r="C670" i="4" a="1"/>
  <c r="C670" i="4" s="1"/>
  <c r="C671" i="4" a="1"/>
  <c r="C671" i="4" s="1"/>
  <c r="C672" i="4" a="1"/>
  <c r="C672" i="4" s="1"/>
  <c r="C673" i="4" a="1"/>
  <c r="C673" i="4" s="1"/>
  <c r="C674" i="4" a="1"/>
  <c r="C674" i="4" s="1"/>
  <c r="C675" i="4" a="1"/>
  <c r="C675" i="4" s="1"/>
  <c r="C676" i="4" a="1"/>
  <c r="C676" i="4" s="1"/>
  <c r="C677" i="4" a="1"/>
  <c r="C677" i="4" s="1"/>
  <c r="C678" i="4" a="1"/>
  <c r="C678" i="4" s="1"/>
  <c r="C679" i="4" a="1"/>
  <c r="C679" i="4" s="1"/>
  <c r="C680" i="4" a="1"/>
  <c r="C680" i="4" s="1"/>
  <c r="C681" i="4" a="1"/>
  <c r="C681" i="4" s="1"/>
  <c r="C682" i="4" a="1"/>
  <c r="C682" i="4" s="1"/>
  <c r="C683" i="4" a="1"/>
  <c r="C683" i="4" s="1"/>
  <c r="C684" i="4" a="1"/>
  <c r="C684" i="4" s="1"/>
  <c r="C685" i="4" a="1"/>
  <c r="C685" i="4" s="1"/>
  <c r="C686" i="4" a="1"/>
  <c r="C686" i="4" s="1"/>
  <c r="C687" i="4" a="1"/>
  <c r="C687" i="4" s="1"/>
  <c r="C688" i="4" a="1"/>
  <c r="C688" i="4" s="1"/>
  <c r="C689" i="4" a="1"/>
  <c r="C689" i="4" s="1"/>
  <c r="C690" i="4" a="1"/>
  <c r="C690" i="4" s="1"/>
  <c r="C691" i="4" a="1"/>
  <c r="C691" i="4" s="1"/>
  <c r="C692" i="4" a="1"/>
  <c r="C692" i="4" s="1"/>
  <c r="C693" i="4" a="1"/>
  <c r="C693" i="4" s="1"/>
  <c r="C694" i="4" a="1"/>
  <c r="C694" i="4" s="1"/>
  <c r="C695" i="4" a="1"/>
  <c r="C695" i="4" s="1"/>
  <c r="C696" i="4" a="1"/>
  <c r="C696" i="4" s="1"/>
  <c r="C697" i="4" a="1"/>
  <c r="C697" i="4" s="1"/>
  <c r="C698" i="4" a="1"/>
  <c r="C698" i="4" s="1"/>
  <c r="C699" i="4" a="1"/>
  <c r="C699" i="4" s="1"/>
  <c r="C700" i="4" a="1"/>
  <c r="C700" i="4" s="1"/>
  <c r="C701" i="4" a="1"/>
  <c r="C701" i="4" s="1"/>
  <c r="C702" i="4" a="1"/>
  <c r="C702" i="4" s="1"/>
  <c r="C703" i="4" a="1"/>
  <c r="C703" i="4" s="1"/>
  <c r="C704" i="4" a="1"/>
  <c r="C704" i="4" s="1"/>
  <c r="C705" i="4" a="1"/>
  <c r="C705" i="4" s="1"/>
  <c r="C706" i="4" a="1"/>
  <c r="C706" i="4" s="1"/>
  <c r="C707" i="4" a="1"/>
  <c r="C707" i="4" s="1"/>
  <c r="C708" i="4" a="1"/>
  <c r="C708" i="4" s="1"/>
  <c r="C709" i="4" a="1"/>
  <c r="C709" i="4" s="1"/>
  <c r="C710" i="4" a="1"/>
  <c r="C710" i="4" s="1"/>
  <c r="C711" i="4" a="1"/>
  <c r="C711" i="4" s="1"/>
  <c r="C712" i="4" a="1"/>
  <c r="C712" i="4" s="1"/>
  <c r="C713" i="4" a="1"/>
  <c r="C713" i="4" s="1"/>
  <c r="C714" i="4" a="1"/>
  <c r="C714" i="4" s="1"/>
  <c r="C715" i="4" a="1"/>
  <c r="C715" i="4" s="1"/>
  <c r="C716" i="4" a="1"/>
  <c r="C716" i="4" s="1"/>
  <c r="C717" i="4" a="1"/>
  <c r="C717" i="4" s="1"/>
  <c r="C718" i="4" a="1"/>
  <c r="C718" i="4" s="1"/>
  <c r="C719" i="4" a="1"/>
  <c r="C719" i="4" s="1"/>
  <c r="C720" i="4" a="1"/>
  <c r="C720" i="4" s="1"/>
  <c r="C721" i="4" a="1"/>
  <c r="C721" i="4" s="1"/>
  <c r="C722" i="4" a="1"/>
  <c r="C722" i="4" s="1"/>
  <c r="C723" i="4" a="1"/>
  <c r="C723" i="4" s="1"/>
  <c r="C724" i="4" a="1"/>
  <c r="C724" i="4" s="1"/>
  <c r="C725" i="4" a="1"/>
  <c r="C725" i="4" s="1"/>
  <c r="C726" i="4" a="1"/>
  <c r="C726" i="4" s="1"/>
  <c r="C727" i="4" a="1"/>
  <c r="C727" i="4" s="1"/>
  <c r="C728" i="4" a="1"/>
  <c r="C728" i="4" s="1"/>
  <c r="C729" i="4" a="1"/>
  <c r="C729" i="4" s="1"/>
  <c r="C730" i="4" a="1"/>
  <c r="C730" i="4" s="1"/>
  <c r="C731" i="4" a="1"/>
  <c r="C731" i="4" s="1"/>
  <c r="C732" i="4" a="1"/>
  <c r="C732" i="4" s="1"/>
  <c r="C733" i="4" a="1"/>
  <c r="C733" i="4" s="1"/>
  <c r="C734" i="4" a="1"/>
  <c r="C734" i="4" s="1"/>
  <c r="C735" i="4" a="1"/>
  <c r="C735" i="4" s="1"/>
  <c r="C736" i="4" a="1"/>
  <c r="C736" i="4" s="1"/>
  <c r="C737" i="4" a="1"/>
  <c r="C737" i="4" s="1"/>
  <c r="C738" i="4" a="1"/>
  <c r="C738" i="4" s="1"/>
  <c r="C739" i="4" a="1"/>
  <c r="C739" i="4" s="1"/>
  <c r="C740" i="4" a="1"/>
  <c r="C740" i="4" s="1"/>
  <c r="C741" i="4" a="1"/>
  <c r="C741" i="4" s="1"/>
  <c r="C742" i="4" a="1"/>
  <c r="C742" i="4" s="1"/>
  <c r="C743" i="4" a="1"/>
  <c r="C743" i="4" s="1"/>
  <c r="C744" i="4" a="1"/>
  <c r="C744" i="4" s="1"/>
  <c r="C745" i="4" a="1"/>
  <c r="C745" i="4" s="1"/>
  <c r="C746" i="4" a="1"/>
  <c r="C746" i="4" s="1"/>
  <c r="C747" i="4" a="1"/>
  <c r="C747" i="4" s="1"/>
  <c r="C748" i="4" a="1"/>
  <c r="C748" i="4" s="1"/>
  <c r="C749" i="4" a="1"/>
  <c r="C749" i="4" s="1"/>
  <c r="C750" i="4" a="1"/>
  <c r="C750" i="4" s="1"/>
  <c r="C751" i="4" a="1"/>
  <c r="C751" i="4" s="1"/>
  <c r="C752" i="4" a="1"/>
  <c r="C752" i="4" s="1"/>
  <c r="C753" i="4" a="1"/>
  <c r="C753" i="4" s="1"/>
  <c r="C754" i="4" a="1"/>
  <c r="C754" i="4" s="1"/>
  <c r="C755" i="4" a="1"/>
  <c r="C755" i="4" s="1"/>
  <c r="C756" i="4" a="1"/>
  <c r="C756" i="4" s="1"/>
  <c r="C757" i="4" a="1"/>
  <c r="C757" i="4" s="1"/>
  <c r="C758" i="4" a="1"/>
  <c r="C758" i="4" s="1"/>
  <c r="C759" i="4" a="1"/>
  <c r="C759" i="4" s="1"/>
  <c r="C760" i="4" a="1"/>
  <c r="C760" i="4" s="1"/>
  <c r="C761" i="4" a="1"/>
  <c r="C761" i="4" s="1"/>
  <c r="C762" i="4" a="1"/>
  <c r="C762" i="4" s="1"/>
  <c r="C763" i="4" a="1"/>
  <c r="C763" i="4" s="1"/>
  <c r="C764" i="4" a="1"/>
  <c r="C764" i="4" s="1"/>
  <c r="C765" i="4" a="1"/>
  <c r="C765" i="4" s="1"/>
  <c r="C766" i="4" a="1"/>
  <c r="C766" i="4" s="1"/>
  <c r="C767" i="4" a="1"/>
  <c r="C767" i="4" s="1"/>
  <c r="C768" i="4" a="1"/>
  <c r="C768" i="4" s="1"/>
  <c r="C769" i="4" a="1"/>
  <c r="C769" i="4" s="1"/>
  <c r="C770" i="4" a="1"/>
  <c r="C770" i="4" s="1"/>
  <c r="C771" i="4" a="1"/>
  <c r="C771" i="4" s="1"/>
  <c r="C772" i="4" a="1"/>
  <c r="C772" i="4" s="1"/>
  <c r="C773" i="4" a="1"/>
  <c r="C773" i="4" s="1"/>
  <c r="C774" i="4" a="1"/>
  <c r="C774" i="4" s="1"/>
  <c r="C775" i="4" a="1"/>
  <c r="C775" i="4" s="1"/>
  <c r="C776" i="4" a="1"/>
  <c r="C776" i="4" s="1"/>
  <c r="C777" i="4" a="1"/>
  <c r="C777" i="4" s="1"/>
  <c r="C778" i="4" a="1"/>
  <c r="C778" i="4" s="1"/>
  <c r="C779" i="4" a="1"/>
  <c r="C779" i="4" s="1"/>
  <c r="C780" i="4" a="1"/>
  <c r="C780" i="4" s="1"/>
  <c r="C781" i="4" a="1"/>
  <c r="C781" i="4" s="1"/>
  <c r="C782" i="4" a="1"/>
  <c r="C782" i="4" s="1"/>
  <c r="C783" i="4" a="1"/>
  <c r="C783" i="4" s="1"/>
  <c r="C784" i="4" a="1"/>
  <c r="C784" i="4" s="1"/>
  <c r="C785" i="4" a="1"/>
  <c r="C785" i="4" s="1"/>
  <c r="C786" i="4" a="1"/>
  <c r="C786" i="4" s="1"/>
  <c r="C787" i="4" a="1"/>
  <c r="C787" i="4" s="1"/>
  <c r="C788" i="4" a="1"/>
  <c r="C788" i="4" s="1"/>
  <c r="C789" i="4" a="1"/>
  <c r="C789" i="4" s="1"/>
  <c r="C790" i="4" a="1"/>
  <c r="C790" i="4" s="1"/>
  <c r="C791" i="4" a="1"/>
  <c r="C791" i="4" s="1"/>
  <c r="C792" i="4" a="1"/>
  <c r="C792" i="4" s="1"/>
  <c r="C793" i="4" a="1"/>
  <c r="C793" i="4" s="1"/>
  <c r="C794" i="4" a="1"/>
  <c r="C794" i="4" s="1"/>
  <c r="C795" i="4" a="1"/>
  <c r="C795" i="4" s="1"/>
  <c r="C796" i="4" a="1"/>
  <c r="C796" i="4" s="1"/>
  <c r="C797" i="4" a="1"/>
  <c r="C797" i="4" s="1"/>
  <c r="C798" i="4" a="1"/>
  <c r="C798" i="4" s="1"/>
  <c r="C799" i="4" a="1"/>
  <c r="C799" i="4" s="1"/>
  <c r="C800" i="4" a="1"/>
  <c r="C800" i="4" s="1"/>
  <c r="C801" i="4" a="1"/>
  <c r="C801" i="4" s="1"/>
  <c r="C802" i="4" a="1"/>
  <c r="C802" i="4" s="1"/>
  <c r="C803" i="4" a="1"/>
  <c r="C803" i="4" s="1"/>
  <c r="C804" i="4" a="1"/>
  <c r="C804" i="4" s="1"/>
  <c r="C805" i="4" a="1"/>
  <c r="C805" i="4" s="1"/>
  <c r="C806" i="4" a="1"/>
  <c r="C806" i="4" s="1"/>
  <c r="C807" i="4" a="1"/>
  <c r="C807" i="4" s="1"/>
  <c r="C808" i="4" a="1"/>
  <c r="C808" i="4" s="1"/>
  <c r="C809" i="4" a="1"/>
  <c r="C809" i="4" s="1"/>
  <c r="C810" i="4" a="1"/>
  <c r="C810" i="4" s="1"/>
  <c r="C811" i="4" a="1"/>
  <c r="C811" i="4" s="1"/>
  <c r="C812" i="4" a="1"/>
  <c r="C812" i="4" s="1"/>
  <c r="C813" i="4" a="1"/>
  <c r="C813" i="4" s="1"/>
  <c r="C814" i="4" a="1"/>
  <c r="C814" i="4" s="1"/>
  <c r="C815" i="4" a="1"/>
  <c r="C815" i="4" s="1"/>
  <c r="C816" i="4" a="1"/>
  <c r="C816" i="4" s="1"/>
  <c r="C817" i="4" a="1"/>
  <c r="C817" i="4" s="1"/>
  <c r="C818" i="4" a="1"/>
  <c r="C818" i="4" s="1"/>
  <c r="C819" i="4" a="1"/>
  <c r="C819" i="4" s="1"/>
  <c r="C820" i="4" a="1"/>
  <c r="C820" i="4" s="1"/>
  <c r="C821" i="4" a="1"/>
  <c r="C821" i="4" s="1"/>
  <c r="C822" i="4" a="1"/>
  <c r="C822" i="4" s="1"/>
  <c r="C823" i="4" a="1"/>
  <c r="C823" i="4" s="1"/>
  <c r="C824" i="4" a="1"/>
  <c r="C824" i="4" s="1"/>
  <c r="C825" i="4" a="1"/>
  <c r="C825" i="4" s="1"/>
  <c r="C826" i="4" a="1"/>
  <c r="C826" i="4" s="1"/>
  <c r="C827" i="4" a="1"/>
  <c r="C827" i="4" s="1"/>
  <c r="C828" i="4" a="1"/>
  <c r="C828" i="4" s="1"/>
  <c r="C829" i="4" a="1"/>
  <c r="C829" i="4" s="1"/>
  <c r="C830" i="4" a="1"/>
  <c r="C830" i="4" s="1"/>
  <c r="C831" i="4" a="1"/>
  <c r="C831" i="4" s="1"/>
  <c r="C832" i="4" a="1"/>
  <c r="C832" i="4" s="1"/>
  <c r="C833" i="4" a="1"/>
  <c r="C833" i="4" s="1"/>
  <c r="C834" i="4" a="1"/>
  <c r="C834" i="4" s="1"/>
  <c r="C835" i="4" a="1"/>
  <c r="C835" i="4" s="1"/>
  <c r="C836" i="4" a="1"/>
  <c r="C836" i="4" s="1"/>
  <c r="C837" i="4" a="1"/>
  <c r="C837" i="4" s="1"/>
  <c r="C838" i="4" a="1"/>
  <c r="C838" i="4" s="1"/>
  <c r="C839" i="4" a="1"/>
  <c r="C839" i="4" s="1"/>
  <c r="C840" i="4" a="1"/>
  <c r="C840" i="4" s="1"/>
  <c r="C841" i="4" a="1"/>
  <c r="C841" i="4" s="1"/>
  <c r="C842" i="4" a="1"/>
  <c r="C842" i="4" s="1"/>
  <c r="C843" i="4" a="1"/>
  <c r="C843" i="4" s="1"/>
  <c r="C844" i="4" a="1"/>
  <c r="C844" i="4" s="1"/>
  <c r="C845" i="4" a="1"/>
  <c r="C845" i="4" s="1"/>
  <c r="C846" i="4" a="1"/>
  <c r="C846" i="4" s="1"/>
  <c r="C847" i="4" a="1"/>
  <c r="C847" i="4" s="1"/>
  <c r="C848" i="4" a="1"/>
  <c r="C848" i="4" s="1"/>
  <c r="C849" i="4" a="1"/>
  <c r="C849" i="4" s="1"/>
  <c r="C850" i="4" a="1"/>
  <c r="C850" i="4" s="1"/>
  <c r="C851" i="4" a="1"/>
  <c r="C851" i="4" s="1"/>
  <c r="C852" i="4" a="1"/>
  <c r="C852" i="4" s="1"/>
  <c r="C853" i="4" a="1"/>
  <c r="C853" i="4" s="1"/>
  <c r="C854" i="4" a="1"/>
  <c r="C854" i="4" s="1"/>
  <c r="C855" i="4" a="1"/>
  <c r="C855" i="4" s="1"/>
  <c r="C856" i="4" a="1"/>
  <c r="C856" i="4" s="1"/>
  <c r="C857" i="4" a="1"/>
  <c r="C857" i="4" s="1"/>
  <c r="C858" i="4" a="1"/>
  <c r="C858" i="4" s="1"/>
  <c r="C859" i="4" a="1"/>
  <c r="C859" i="4" s="1"/>
  <c r="C860" i="4" a="1"/>
  <c r="C860" i="4" s="1"/>
  <c r="C861" i="4" a="1"/>
  <c r="C861" i="4" s="1"/>
  <c r="C862" i="4" a="1"/>
  <c r="C862" i="4" s="1"/>
  <c r="C863" i="4" a="1"/>
  <c r="C863" i="4" s="1"/>
  <c r="C864" i="4" a="1"/>
  <c r="C864" i="4" s="1"/>
  <c r="C865" i="4" a="1"/>
  <c r="C865" i="4" s="1"/>
  <c r="C866" i="4" a="1"/>
  <c r="C866" i="4" s="1"/>
  <c r="C867" i="4" a="1"/>
  <c r="C867" i="4" s="1"/>
  <c r="C868" i="4" a="1"/>
  <c r="C868" i="4" s="1"/>
  <c r="C869" i="4" a="1"/>
  <c r="C869" i="4" s="1"/>
  <c r="C870" i="4" a="1"/>
  <c r="C870" i="4" s="1"/>
  <c r="C871" i="4" a="1"/>
  <c r="C871" i="4" s="1"/>
  <c r="C872" i="4" a="1"/>
  <c r="C872" i="4" s="1"/>
  <c r="C873" i="4" a="1"/>
  <c r="C873" i="4" s="1"/>
  <c r="C874" i="4" a="1"/>
  <c r="C874" i="4" s="1"/>
  <c r="C875" i="4" a="1"/>
  <c r="C875" i="4" s="1"/>
  <c r="C876" i="4" a="1"/>
  <c r="C876" i="4" s="1"/>
  <c r="C877" i="4" a="1"/>
  <c r="C877" i="4" s="1"/>
  <c r="C878" i="4" a="1"/>
  <c r="C878" i="4" s="1"/>
  <c r="C879" i="4" a="1"/>
  <c r="C879" i="4" s="1"/>
  <c r="C880" i="4" a="1"/>
  <c r="C880" i="4" s="1"/>
  <c r="C881" i="4" a="1"/>
  <c r="C881" i="4" s="1"/>
  <c r="C882" i="4" a="1"/>
  <c r="C882" i="4" s="1"/>
  <c r="C883" i="4" a="1"/>
  <c r="C883" i="4" s="1"/>
  <c r="C884" i="4" a="1"/>
  <c r="C884" i="4" s="1"/>
  <c r="C885" i="4" a="1"/>
  <c r="C885" i="4" s="1"/>
  <c r="C886" i="4" a="1"/>
  <c r="C886" i="4" s="1"/>
  <c r="C887" i="4" a="1"/>
  <c r="C887" i="4" s="1"/>
  <c r="C888" i="4" a="1"/>
  <c r="C888" i="4" s="1"/>
  <c r="C889" i="4" a="1"/>
  <c r="C889" i="4" s="1"/>
  <c r="C890" i="4" a="1"/>
  <c r="C890" i="4" s="1"/>
  <c r="C891" i="4" a="1"/>
  <c r="C891" i="4" s="1"/>
  <c r="C892" i="4" a="1"/>
  <c r="C892" i="4" s="1"/>
  <c r="C893" i="4" a="1"/>
  <c r="C893" i="4" s="1"/>
  <c r="C894" i="4" a="1"/>
  <c r="C894" i="4" s="1"/>
  <c r="C895" i="4" a="1"/>
  <c r="C895" i="4" s="1"/>
  <c r="C896" i="4" a="1"/>
  <c r="C896" i="4" s="1"/>
  <c r="C897" i="4" a="1"/>
  <c r="C897" i="4" s="1"/>
  <c r="C898" i="4" a="1"/>
  <c r="C898" i="4" s="1"/>
  <c r="C899" i="4" a="1"/>
  <c r="C899" i="4" s="1"/>
  <c r="C900" i="4" a="1"/>
  <c r="C900" i="4" s="1"/>
  <c r="C901" i="4" a="1"/>
  <c r="C901" i="4" s="1"/>
  <c r="C902" i="4" a="1"/>
  <c r="C902" i="4" s="1"/>
  <c r="C903" i="4" a="1"/>
  <c r="C903" i="4" s="1"/>
  <c r="C904" i="4" a="1"/>
  <c r="C904" i="4" s="1"/>
  <c r="C905" i="4" a="1"/>
  <c r="C905" i="4" s="1"/>
  <c r="C906" i="4" a="1"/>
  <c r="C906" i="4" s="1"/>
  <c r="C907" i="4" a="1"/>
  <c r="C907" i="4" s="1"/>
  <c r="C908" i="4" a="1"/>
  <c r="C908" i="4" s="1"/>
  <c r="C909" i="4" a="1"/>
  <c r="C909" i="4" s="1"/>
  <c r="C910" i="4" a="1"/>
  <c r="C910" i="4" s="1"/>
  <c r="C911" i="4" a="1"/>
  <c r="C911" i="4" s="1"/>
  <c r="C912" i="4" a="1"/>
  <c r="C912" i="4" s="1"/>
  <c r="C913" i="4" a="1"/>
  <c r="C913" i="4" s="1"/>
  <c r="C914" i="4" a="1"/>
  <c r="C914" i="4" s="1"/>
  <c r="C915" i="4" a="1"/>
  <c r="C915" i="4" s="1"/>
  <c r="C916" i="4" a="1"/>
  <c r="C916" i="4" s="1"/>
  <c r="C917" i="4" a="1"/>
  <c r="C917" i="4" s="1"/>
  <c r="C918" i="4" a="1"/>
  <c r="C918" i="4" s="1"/>
  <c r="C919" i="4" a="1"/>
  <c r="C919" i="4" s="1"/>
  <c r="C920" i="4" a="1"/>
  <c r="C920" i="4" s="1"/>
  <c r="C921" i="4" a="1"/>
  <c r="C921" i="4" s="1"/>
  <c r="C922" i="4" a="1"/>
  <c r="C922" i="4" s="1"/>
  <c r="C923" i="4" a="1"/>
  <c r="C923" i="4" s="1"/>
  <c r="C924" i="4" a="1"/>
  <c r="C924" i="4" s="1"/>
  <c r="C925" i="4" a="1"/>
  <c r="C925" i="4" s="1"/>
  <c r="C926" i="4" a="1"/>
  <c r="C926" i="4" s="1"/>
  <c r="C927" i="4" a="1"/>
  <c r="C927" i="4" s="1"/>
  <c r="C928" i="4" a="1"/>
  <c r="C928" i="4" s="1"/>
  <c r="C929" i="4" a="1"/>
  <c r="C929" i="4" s="1"/>
  <c r="C930" i="4" a="1"/>
  <c r="C930" i="4" s="1"/>
  <c r="C931" i="4" a="1"/>
  <c r="C931" i="4" s="1"/>
  <c r="C932" i="4" a="1"/>
  <c r="C932" i="4" s="1"/>
  <c r="C933" i="4" a="1"/>
  <c r="C933" i="4" s="1"/>
  <c r="C934" i="4" a="1"/>
  <c r="C934" i="4" s="1"/>
  <c r="C935" i="4" a="1"/>
  <c r="C935" i="4" s="1"/>
  <c r="C936" i="4" a="1"/>
  <c r="C936" i="4" s="1"/>
  <c r="C937" i="4" a="1"/>
  <c r="C937" i="4" s="1"/>
  <c r="C938" i="4" a="1"/>
  <c r="C938" i="4" s="1"/>
  <c r="C939" i="4" a="1"/>
  <c r="C939" i="4" s="1"/>
  <c r="C940" i="4" a="1"/>
  <c r="C940" i="4" s="1"/>
  <c r="C941" i="4" a="1"/>
  <c r="C941" i="4" s="1"/>
  <c r="C942" i="4" a="1"/>
  <c r="C942" i="4" s="1"/>
  <c r="C943" i="4" a="1"/>
  <c r="C943" i="4" s="1"/>
  <c r="C944" i="4" a="1"/>
  <c r="C944" i="4" s="1"/>
  <c r="C945" i="4" a="1"/>
  <c r="C945" i="4" s="1"/>
  <c r="C946" i="4" a="1"/>
  <c r="C946" i="4" s="1"/>
  <c r="C947" i="4" a="1"/>
  <c r="C947" i="4" s="1"/>
  <c r="C948" i="4" a="1"/>
  <c r="C948" i="4" s="1"/>
  <c r="C949" i="4" a="1"/>
  <c r="C949" i="4" s="1"/>
  <c r="C950" i="4" a="1"/>
  <c r="C950" i="4" s="1"/>
  <c r="C951" i="4" a="1"/>
  <c r="C951" i="4" s="1"/>
  <c r="C952" i="4" a="1"/>
  <c r="C952" i="4" s="1"/>
  <c r="C953" i="4" a="1"/>
  <c r="C953" i="4" s="1"/>
  <c r="C954" i="4" a="1"/>
  <c r="C954" i="4" s="1"/>
  <c r="C955" i="4" a="1"/>
  <c r="C955" i="4" s="1"/>
  <c r="C956" i="4" a="1"/>
  <c r="C956" i="4" s="1"/>
  <c r="C957" i="4" a="1"/>
  <c r="C957" i="4" s="1"/>
  <c r="C958" i="4" a="1"/>
  <c r="C958" i="4" s="1"/>
  <c r="C959" i="4" a="1"/>
  <c r="C959" i="4" s="1"/>
  <c r="C960" i="4" a="1"/>
  <c r="C960" i="4" s="1"/>
  <c r="C961" i="4" a="1"/>
  <c r="C961" i="4" s="1"/>
  <c r="C962" i="4" a="1"/>
  <c r="C962" i="4" s="1"/>
  <c r="C963" i="4" a="1"/>
  <c r="C963" i="4" s="1"/>
  <c r="C964" i="4" a="1"/>
  <c r="C964" i="4" s="1"/>
  <c r="C965" i="4" a="1"/>
  <c r="C965" i="4" s="1"/>
  <c r="C966" i="4" a="1"/>
  <c r="C966" i="4" s="1"/>
  <c r="C967" i="4" a="1"/>
  <c r="C967" i="4" s="1"/>
  <c r="C968" i="4" a="1"/>
  <c r="C968" i="4" s="1"/>
  <c r="C969" i="4" a="1"/>
  <c r="C969" i="4" s="1"/>
  <c r="C970" i="4" a="1"/>
  <c r="C970" i="4" s="1"/>
  <c r="C971" i="4" a="1"/>
  <c r="C971" i="4" s="1"/>
  <c r="C972" i="4" a="1"/>
  <c r="C972" i="4" s="1"/>
  <c r="C973" i="4" a="1"/>
  <c r="C973" i="4" s="1"/>
  <c r="C974" i="4" a="1"/>
  <c r="C974" i="4" s="1"/>
  <c r="C975" i="4" a="1"/>
  <c r="C975" i="4" s="1"/>
  <c r="C976" i="4" a="1"/>
  <c r="C976" i="4" s="1"/>
  <c r="C977" i="4" a="1"/>
  <c r="C977" i="4" s="1"/>
  <c r="C978" i="4" a="1"/>
  <c r="C978" i="4" s="1"/>
  <c r="C979" i="4" a="1"/>
  <c r="C979" i="4" s="1"/>
  <c r="C980" i="4" a="1"/>
  <c r="C980" i="4" s="1"/>
  <c r="C981" i="4" a="1"/>
  <c r="C981" i="4" s="1"/>
  <c r="C982" i="4" a="1"/>
  <c r="C982" i="4" s="1"/>
  <c r="C983" i="4" a="1"/>
  <c r="C983" i="4" s="1"/>
  <c r="C984" i="4" a="1"/>
  <c r="C984" i="4" s="1"/>
  <c r="C985" i="4" a="1"/>
  <c r="C985" i="4" s="1"/>
  <c r="C986" i="4" a="1"/>
  <c r="C986" i="4" s="1"/>
  <c r="C987" i="4" a="1"/>
  <c r="C987" i="4" s="1"/>
  <c r="C988" i="4" a="1"/>
  <c r="C988" i="4" s="1"/>
  <c r="C989" i="4" a="1"/>
  <c r="C989" i="4" s="1"/>
  <c r="C990" i="4" a="1"/>
  <c r="C990" i="4" s="1"/>
  <c r="C991" i="4" a="1"/>
  <c r="C991" i="4" s="1"/>
  <c r="C992" i="4" a="1"/>
  <c r="C992" i="4" s="1"/>
  <c r="C993" i="4" a="1"/>
  <c r="C993" i="4" s="1"/>
  <c r="C994" i="4" a="1"/>
  <c r="C994" i="4" s="1"/>
  <c r="C995" i="4" a="1"/>
  <c r="C995" i="4" s="1"/>
  <c r="C996" i="4" a="1"/>
  <c r="C996" i="4" s="1"/>
  <c r="C997" i="4" a="1"/>
  <c r="C997" i="4" s="1"/>
  <c r="C998" i="4" a="1"/>
  <c r="C998" i="4" s="1"/>
  <c r="C999" i="4" a="1"/>
  <c r="C999" i="4" s="1"/>
  <c r="C1000" i="4" a="1"/>
  <c r="C1000" i="4" s="1"/>
  <c r="C1001" i="4" a="1"/>
  <c r="C1001" i="4" s="1"/>
  <c r="C1002" i="4" a="1"/>
  <c r="C1002" i="4" s="1"/>
  <c r="C1003" i="4" a="1"/>
  <c r="C1003" i="4" s="1"/>
  <c r="C1004" i="4" a="1"/>
  <c r="C1004" i="4" s="1"/>
  <c r="C1005" i="4" a="1"/>
  <c r="C1005" i="4" s="1"/>
  <c r="C1006" i="4" a="1"/>
  <c r="C1006" i="4" s="1"/>
  <c r="C1007" i="4" a="1"/>
  <c r="C1007" i="4" s="1"/>
  <c r="C1008" i="4" a="1"/>
  <c r="C1008" i="4" s="1"/>
  <c r="C1009" i="4" a="1"/>
  <c r="C1009" i="4" s="1"/>
  <c r="C1010" i="4" a="1"/>
  <c r="C1010" i="4" s="1"/>
  <c r="C1011" i="4" a="1"/>
  <c r="C1011" i="4" s="1"/>
  <c r="C1012" i="4" a="1"/>
  <c r="C1012" i="4" s="1"/>
  <c r="C1013" i="4" a="1"/>
  <c r="C1013" i="4" s="1"/>
  <c r="C1014" i="4" a="1"/>
  <c r="C1014" i="4" s="1"/>
  <c r="C1015" i="4" a="1"/>
  <c r="C1015" i="4" s="1"/>
  <c r="C1016" i="4" a="1"/>
  <c r="C1016" i="4" s="1"/>
  <c r="C1017" i="4" a="1"/>
  <c r="C1017" i="4" s="1"/>
  <c r="C1018" i="4" a="1"/>
  <c r="C1018" i="4" s="1"/>
  <c r="C1019" i="4" a="1"/>
  <c r="C1019" i="4" s="1"/>
  <c r="C1020" i="4" a="1"/>
  <c r="C1020" i="4" s="1"/>
  <c r="C1021" i="4" a="1"/>
  <c r="C1021" i="4" s="1"/>
  <c r="C1022" i="4" a="1"/>
  <c r="C1022" i="4" s="1"/>
  <c r="C1023" i="4" a="1"/>
  <c r="C1023" i="4" s="1"/>
  <c r="C1024" i="4" a="1"/>
  <c r="C1024" i="4" s="1"/>
  <c r="C1025" i="4" a="1"/>
  <c r="C1025" i="4" s="1"/>
  <c r="C1026" i="4" a="1"/>
  <c r="C1026" i="4" s="1"/>
  <c r="C1027" i="4" a="1"/>
  <c r="C1027" i="4" s="1"/>
  <c r="C1028" i="4" a="1"/>
  <c r="C1028" i="4" s="1"/>
  <c r="C1029" i="4" a="1"/>
  <c r="C1029" i="4" s="1"/>
  <c r="C1030" i="4" a="1"/>
  <c r="C1030" i="4" s="1"/>
  <c r="C1031" i="4" a="1"/>
  <c r="C1031" i="4" s="1"/>
  <c r="C1032" i="4" a="1"/>
  <c r="C1032" i="4" s="1"/>
  <c r="C1033" i="4" a="1"/>
  <c r="C1033" i="4" s="1"/>
  <c r="C1034" i="4" a="1"/>
  <c r="C1034" i="4" s="1"/>
  <c r="C1035" i="4" a="1"/>
  <c r="C1035" i="4" s="1"/>
  <c r="C1036" i="4" a="1"/>
  <c r="C1036" i="4" s="1"/>
  <c r="C1037" i="4" a="1"/>
  <c r="C1037" i="4" s="1"/>
  <c r="C1038" i="4" a="1"/>
  <c r="C1038" i="4" s="1"/>
  <c r="C1039" i="4" a="1"/>
  <c r="C1039" i="4" s="1"/>
  <c r="C1040" i="4" a="1"/>
  <c r="C1040" i="4" s="1"/>
  <c r="C1041" i="4" a="1"/>
  <c r="C1041" i="4" s="1"/>
  <c r="C1042" i="4" a="1"/>
  <c r="C1042" i="4" s="1"/>
  <c r="C1043" i="4" a="1"/>
  <c r="C1043" i="4" s="1"/>
  <c r="C1044" i="4" a="1"/>
  <c r="C1044" i="4" s="1"/>
  <c r="C1045" i="4" a="1"/>
  <c r="C1045" i="4" s="1"/>
  <c r="C1046" i="4" a="1"/>
  <c r="C1046" i="4" s="1"/>
  <c r="C1047" i="4" a="1"/>
  <c r="C1047" i="4" s="1"/>
  <c r="C1048" i="4" a="1"/>
  <c r="C1048" i="4" s="1"/>
  <c r="C1049" i="4" a="1"/>
  <c r="C1049" i="4" s="1"/>
  <c r="C1050" i="4" a="1"/>
  <c r="C1050" i="4" s="1"/>
  <c r="C1051" i="4" a="1"/>
  <c r="C1051" i="4" s="1"/>
  <c r="C1052" i="4" a="1"/>
  <c r="C1052" i="4" s="1"/>
  <c r="C1053" i="4" a="1"/>
  <c r="C1053" i="4" s="1"/>
  <c r="C1054" i="4" a="1"/>
  <c r="C1054" i="4" s="1"/>
  <c r="C1055" i="4" a="1"/>
  <c r="C1055" i="4" s="1"/>
  <c r="C1056" i="4" a="1"/>
  <c r="C1056" i="4" s="1"/>
  <c r="C1057" i="4" a="1"/>
  <c r="C1057" i="4" s="1"/>
  <c r="C1058" i="4" a="1"/>
  <c r="C1058" i="4" s="1"/>
  <c r="C1059" i="4" a="1"/>
  <c r="C1059" i="4" s="1"/>
  <c r="C1060" i="4" a="1"/>
  <c r="C1060" i="4" s="1"/>
  <c r="C1061" i="4" a="1"/>
  <c r="C1061" i="4" s="1"/>
  <c r="C1062" i="4" a="1"/>
  <c r="C1062" i="4" s="1"/>
  <c r="C1063" i="4" a="1"/>
  <c r="C1063" i="4" s="1"/>
  <c r="C1064" i="4" a="1"/>
  <c r="C1064" i="4" s="1"/>
  <c r="C1065" i="4" a="1"/>
  <c r="C1065" i="4" s="1"/>
  <c r="C1066" i="4" a="1"/>
  <c r="C1066" i="4" s="1"/>
  <c r="C1067" i="4" a="1"/>
  <c r="C1067" i="4" s="1"/>
  <c r="C1068" i="4" a="1"/>
  <c r="C1068" i="4" s="1"/>
  <c r="C1069" i="4" a="1"/>
  <c r="C1069" i="4" s="1"/>
  <c r="C1070" i="4" a="1"/>
  <c r="C1070" i="4" s="1"/>
  <c r="C1071" i="4" a="1"/>
  <c r="C1071" i="4" s="1"/>
  <c r="C1072" i="4" a="1"/>
  <c r="C1072" i="4" s="1"/>
  <c r="C1073" i="4" a="1"/>
  <c r="C1073" i="4" s="1"/>
  <c r="C1074" i="4" a="1"/>
  <c r="C1074" i="4" s="1"/>
  <c r="C1075" i="4" a="1"/>
  <c r="C1075" i="4" s="1"/>
  <c r="C1076" i="4" a="1"/>
  <c r="C1076" i="4" s="1"/>
  <c r="C1077" i="4" a="1"/>
  <c r="C1077" i="4" s="1"/>
  <c r="C1078" i="4" a="1"/>
  <c r="C1078" i="4" s="1"/>
  <c r="C1079" i="4" a="1"/>
  <c r="C1079" i="4" s="1"/>
  <c r="C1080" i="4" a="1"/>
  <c r="C1080" i="4" s="1"/>
  <c r="C1081" i="4" a="1"/>
  <c r="C1081" i="4" s="1"/>
  <c r="C1082" i="4" a="1"/>
  <c r="C1082" i="4" s="1"/>
  <c r="C1083" i="4" a="1"/>
  <c r="C1083" i="4" s="1"/>
  <c r="C1084" i="4" a="1"/>
  <c r="C1084" i="4" s="1"/>
  <c r="C1085" i="4" a="1"/>
  <c r="C1085" i="4" s="1"/>
  <c r="C1086" i="4" a="1"/>
  <c r="C1086" i="4" s="1"/>
  <c r="C1087" i="4" a="1"/>
  <c r="C1087" i="4" s="1"/>
  <c r="C1088" i="4" a="1"/>
  <c r="C1088" i="4" s="1"/>
  <c r="C1089" i="4" a="1"/>
  <c r="C1089" i="4" s="1"/>
  <c r="C1090" i="4" a="1"/>
  <c r="C1090" i="4" s="1"/>
  <c r="C1091" i="4" a="1"/>
  <c r="C1091" i="4" s="1"/>
  <c r="C1092" i="4" a="1"/>
  <c r="C1092" i="4" s="1"/>
  <c r="C1093" i="4" a="1"/>
  <c r="C1093" i="4" s="1"/>
  <c r="C1094" i="4" a="1"/>
  <c r="C1094" i="4" s="1"/>
  <c r="C1095" i="4" a="1"/>
  <c r="C1095" i="4" s="1"/>
  <c r="C1096" i="4" a="1"/>
  <c r="C1096" i="4" s="1"/>
  <c r="C1097" i="4" a="1"/>
  <c r="C1097" i="4" s="1"/>
  <c r="C1098" i="4" a="1"/>
  <c r="C1098" i="4" s="1"/>
  <c r="C1099" i="4" a="1"/>
  <c r="C1099" i="4" s="1"/>
  <c r="C1100" i="4" a="1"/>
  <c r="C1100" i="4" s="1"/>
  <c r="C1101" i="4" a="1"/>
  <c r="C1101" i="4" s="1"/>
  <c r="C1102" i="4" a="1"/>
  <c r="C1102" i="4" s="1"/>
  <c r="C1103" i="4" a="1"/>
  <c r="C1103" i="4" s="1"/>
  <c r="C1104" i="4" a="1"/>
  <c r="C1104" i="4" s="1"/>
  <c r="C1105" i="4" a="1"/>
  <c r="C1105" i="4" s="1"/>
  <c r="C1106" i="4" a="1"/>
  <c r="C1106" i="4" s="1"/>
  <c r="C1107" i="4" a="1"/>
  <c r="C1107" i="4" s="1"/>
  <c r="C1108" i="4" a="1"/>
  <c r="C1108" i="4" s="1"/>
  <c r="C1109" i="4" a="1"/>
  <c r="C1109" i="4" s="1"/>
  <c r="C1110" i="4" a="1"/>
  <c r="C1110" i="4" s="1"/>
  <c r="C9" i="4" a="1"/>
  <c r="C9" i="4" s="1"/>
  <c r="B10" i="4" a="1"/>
  <c r="B10" i="4" s="1"/>
  <c r="B11" i="4" a="1"/>
  <c r="B11" i="4" s="1"/>
  <c r="B12" i="4" a="1"/>
  <c r="B12" i="4" s="1"/>
  <c r="B13" i="4" a="1"/>
  <c r="B13" i="4" s="1"/>
  <c r="B14" i="4" a="1"/>
  <c r="B14" i="4" s="1"/>
  <c r="B15" i="4" a="1"/>
  <c r="B15" i="4" s="1"/>
  <c r="B16" i="4" a="1"/>
  <c r="B16" i="4" s="1"/>
  <c r="B17" i="4" a="1"/>
  <c r="B17" i="4" s="1"/>
  <c r="B18" i="4" a="1"/>
  <c r="B18" i="4" s="1"/>
  <c r="B19" i="4" a="1"/>
  <c r="B19" i="4" s="1"/>
  <c r="B20" i="4" a="1"/>
  <c r="B20" i="4" s="1"/>
  <c r="B21" i="4" a="1"/>
  <c r="B21" i="4" s="1"/>
  <c r="B22" i="4" a="1"/>
  <c r="B22" i="4" s="1"/>
  <c r="B23" i="4" a="1"/>
  <c r="B23" i="4" s="1"/>
  <c r="B24" i="4" a="1"/>
  <c r="B24" i="4" s="1"/>
  <c r="B25" i="4" a="1"/>
  <c r="B25" i="4" s="1"/>
  <c r="B26" i="4" a="1"/>
  <c r="B26" i="4" s="1"/>
  <c r="B27" i="4" a="1"/>
  <c r="B27" i="4" s="1"/>
  <c r="B28" i="4" a="1"/>
  <c r="B28" i="4" s="1"/>
  <c r="B29" i="4" a="1"/>
  <c r="B29" i="4" s="1"/>
  <c r="B30" i="4" a="1"/>
  <c r="B30" i="4" s="1"/>
  <c r="B31" i="4" a="1"/>
  <c r="B31" i="4" s="1"/>
  <c r="B32" i="4" a="1"/>
  <c r="B32" i="4" s="1"/>
  <c r="B33" i="4" a="1"/>
  <c r="B33" i="4" s="1"/>
  <c r="B34" i="4" a="1"/>
  <c r="B34" i="4" s="1"/>
  <c r="B35" i="4" a="1"/>
  <c r="B35" i="4" s="1"/>
  <c r="B36" i="4" a="1"/>
  <c r="B36" i="4" s="1"/>
  <c r="B37" i="4" a="1"/>
  <c r="B37" i="4" s="1"/>
  <c r="B38" i="4" a="1"/>
  <c r="B38" i="4" s="1"/>
  <c r="B39" i="4" a="1"/>
  <c r="B39" i="4" s="1"/>
  <c r="B40" i="4" a="1"/>
  <c r="B40" i="4" s="1"/>
  <c r="B41" i="4" a="1"/>
  <c r="B41" i="4" s="1"/>
  <c r="B42" i="4" a="1"/>
  <c r="B42" i="4" s="1"/>
  <c r="B43" i="4" a="1"/>
  <c r="B43" i="4" s="1"/>
  <c r="B44" i="4" a="1"/>
  <c r="B44" i="4" s="1"/>
  <c r="B45" i="4" a="1"/>
  <c r="B45" i="4" s="1"/>
  <c r="B46" i="4" a="1"/>
  <c r="B46" i="4" s="1"/>
  <c r="B47" i="4" a="1"/>
  <c r="B47" i="4" s="1"/>
  <c r="B48" i="4" a="1"/>
  <c r="B48" i="4" s="1"/>
  <c r="B49" i="4" a="1"/>
  <c r="B49" i="4" s="1"/>
  <c r="B50" i="4" a="1"/>
  <c r="B50" i="4" s="1"/>
  <c r="B51" i="4" a="1"/>
  <c r="B51" i="4" s="1"/>
  <c r="B52" i="4" a="1"/>
  <c r="B52" i="4" s="1"/>
  <c r="B53" i="4" a="1"/>
  <c r="B53" i="4" s="1"/>
  <c r="B54" i="4" a="1"/>
  <c r="B54" i="4" s="1"/>
  <c r="B55" i="4" a="1"/>
  <c r="B55" i="4" s="1"/>
  <c r="B56" i="4" a="1"/>
  <c r="B56" i="4" s="1"/>
  <c r="B57" i="4" a="1"/>
  <c r="B57" i="4" s="1"/>
  <c r="B58" i="4" a="1"/>
  <c r="B58" i="4" s="1"/>
  <c r="B59" i="4" a="1"/>
  <c r="B59" i="4" s="1"/>
  <c r="B60" i="4" a="1"/>
  <c r="B60" i="4" s="1"/>
  <c r="B61" i="4" a="1"/>
  <c r="B61" i="4" s="1"/>
  <c r="B62" i="4" a="1"/>
  <c r="B62" i="4" s="1"/>
  <c r="B63" i="4" a="1"/>
  <c r="B63" i="4" s="1"/>
  <c r="B64" i="4" a="1"/>
  <c r="B64" i="4" s="1"/>
  <c r="B65" i="4" a="1"/>
  <c r="B65" i="4" s="1"/>
  <c r="B66" i="4" a="1"/>
  <c r="B66" i="4" s="1"/>
  <c r="B67" i="4" a="1"/>
  <c r="B67" i="4" s="1"/>
  <c r="B68" i="4" a="1"/>
  <c r="B68" i="4" s="1"/>
  <c r="B69" i="4" a="1"/>
  <c r="B69" i="4" s="1"/>
  <c r="B70" i="4" a="1"/>
  <c r="B70" i="4" s="1"/>
  <c r="B71" i="4" a="1"/>
  <c r="B71" i="4" s="1"/>
  <c r="B72" i="4" a="1"/>
  <c r="B72" i="4" s="1"/>
  <c r="B73" i="4" a="1"/>
  <c r="B73" i="4" s="1"/>
  <c r="B74" i="4" a="1"/>
  <c r="B74" i="4" s="1"/>
  <c r="B75" i="4" a="1"/>
  <c r="B75" i="4" s="1"/>
  <c r="B76" i="4" a="1"/>
  <c r="B76" i="4" s="1"/>
  <c r="B77" i="4" a="1"/>
  <c r="B77" i="4" s="1"/>
  <c r="B78" i="4" a="1"/>
  <c r="B78" i="4" s="1"/>
  <c r="B79" i="4" a="1"/>
  <c r="B79" i="4" s="1"/>
  <c r="B80" i="4" a="1"/>
  <c r="B80" i="4" s="1"/>
  <c r="B81" i="4" a="1"/>
  <c r="B81" i="4" s="1"/>
  <c r="B82" i="4" a="1"/>
  <c r="B82" i="4" s="1"/>
  <c r="B83" i="4" a="1"/>
  <c r="B83" i="4" s="1"/>
  <c r="B84" i="4" a="1"/>
  <c r="B84" i="4" s="1"/>
  <c r="B85" i="4" a="1"/>
  <c r="B85" i="4" s="1"/>
  <c r="B86" i="4" a="1"/>
  <c r="B86" i="4" s="1"/>
  <c r="B87" i="4" a="1"/>
  <c r="B87" i="4" s="1"/>
  <c r="B88" i="4" a="1"/>
  <c r="B88" i="4" s="1"/>
  <c r="B89" i="4" a="1"/>
  <c r="B89" i="4" s="1"/>
  <c r="B90" i="4" a="1"/>
  <c r="B90" i="4" s="1"/>
  <c r="B91" i="4" a="1"/>
  <c r="B91" i="4" s="1"/>
  <c r="B92" i="4" a="1"/>
  <c r="B92" i="4" s="1"/>
  <c r="B93" i="4" a="1"/>
  <c r="B93" i="4" s="1"/>
  <c r="B94" i="4" a="1"/>
  <c r="B94" i="4" s="1"/>
  <c r="B95" i="4" a="1"/>
  <c r="B95" i="4" s="1"/>
  <c r="B96" i="4" a="1"/>
  <c r="B96" i="4" s="1"/>
  <c r="B97" i="4" a="1"/>
  <c r="B97" i="4" s="1"/>
  <c r="B98" i="4" a="1"/>
  <c r="B98" i="4" s="1"/>
  <c r="B99" i="4" a="1"/>
  <c r="B99" i="4" s="1"/>
  <c r="B100" i="4" a="1"/>
  <c r="B100" i="4" s="1"/>
  <c r="B101" i="4" a="1"/>
  <c r="B101" i="4" s="1"/>
  <c r="B102" i="4" a="1"/>
  <c r="B102" i="4" s="1"/>
  <c r="B103" i="4" a="1"/>
  <c r="B103" i="4" s="1"/>
  <c r="B104" i="4" a="1"/>
  <c r="B104" i="4" s="1"/>
  <c r="B105" i="4" a="1"/>
  <c r="B105" i="4" s="1"/>
  <c r="B106" i="4" a="1"/>
  <c r="B106" i="4" s="1"/>
  <c r="B107" i="4" a="1"/>
  <c r="B107" i="4" s="1"/>
  <c r="B108" i="4" a="1"/>
  <c r="B108" i="4" s="1"/>
  <c r="B109" i="4" a="1"/>
  <c r="B109" i="4" s="1"/>
  <c r="B110" i="4" a="1"/>
  <c r="B110" i="4" s="1"/>
  <c r="B111" i="4" a="1"/>
  <c r="B111" i="4" s="1"/>
  <c r="B112" i="4" a="1"/>
  <c r="B112" i="4" s="1"/>
  <c r="B113" i="4" a="1"/>
  <c r="B113" i="4" s="1"/>
  <c r="B114" i="4" a="1"/>
  <c r="B114" i="4" s="1"/>
  <c r="B115" i="4" a="1"/>
  <c r="B115" i="4" s="1"/>
  <c r="B116" i="4" a="1"/>
  <c r="B116" i="4" s="1"/>
  <c r="B117" i="4" a="1"/>
  <c r="B117" i="4" s="1"/>
  <c r="B118" i="4" a="1"/>
  <c r="B118" i="4" s="1"/>
  <c r="B119" i="4" a="1"/>
  <c r="B119" i="4" s="1"/>
  <c r="B120" i="4" a="1"/>
  <c r="B120" i="4" s="1"/>
  <c r="B121" i="4" a="1"/>
  <c r="B121" i="4" s="1"/>
  <c r="B122" i="4" a="1"/>
  <c r="B122" i="4" s="1"/>
  <c r="B123" i="4" a="1"/>
  <c r="B123" i="4" s="1"/>
  <c r="B124" i="4" a="1"/>
  <c r="B124" i="4" s="1"/>
  <c r="B125" i="4" a="1"/>
  <c r="B125" i="4" s="1"/>
  <c r="B126" i="4" a="1"/>
  <c r="B126" i="4" s="1"/>
  <c r="B127" i="4" a="1"/>
  <c r="B127" i="4" s="1"/>
  <c r="B128" i="4" a="1"/>
  <c r="B128" i="4" s="1"/>
  <c r="B129" i="4" a="1"/>
  <c r="B129" i="4" s="1"/>
  <c r="B130" i="4" a="1"/>
  <c r="B130" i="4" s="1"/>
  <c r="B131" i="4" a="1"/>
  <c r="B131" i="4" s="1"/>
  <c r="B132" i="4" a="1"/>
  <c r="B132" i="4" s="1"/>
  <c r="B133" i="4" a="1"/>
  <c r="B133" i="4" s="1"/>
  <c r="B134" i="4" a="1"/>
  <c r="B134" i="4" s="1"/>
  <c r="B135" i="4" a="1"/>
  <c r="B135" i="4" s="1"/>
  <c r="B136" i="4" a="1"/>
  <c r="B136" i="4" s="1"/>
  <c r="B137" i="4" a="1"/>
  <c r="B137" i="4" s="1"/>
  <c r="B138" i="4" a="1"/>
  <c r="B138" i="4" s="1"/>
  <c r="B139" i="4" a="1"/>
  <c r="B139" i="4" s="1"/>
  <c r="B140" i="4" a="1"/>
  <c r="B140" i="4" s="1"/>
  <c r="B141" i="4" a="1"/>
  <c r="B141" i="4" s="1"/>
  <c r="B142" i="4" a="1"/>
  <c r="B142" i="4" s="1"/>
  <c r="B143" i="4" a="1"/>
  <c r="B143" i="4" s="1"/>
  <c r="B144" i="4" a="1"/>
  <c r="B144" i="4" s="1"/>
  <c r="B145" i="4" a="1"/>
  <c r="B145" i="4" s="1"/>
  <c r="B146" i="4" a="1"/>
  <c r="B146" i="4" s="1"/>
  <c r="B147" i="4" a="1"/>
  <c r="B147" i="4" s="1"/>
  <c r="B148" i="4" a="1"/>
  <c r="B148" i="4" s="1"/>
  <c r="B149" i="4" a="1"/>
  <c r="B149" i="4" s="1"/>
  <c r="B150" i="4" a="1"/>
  <c r="B150" i="4" s="1"/>
  <c r="B151" i="4" a="1"/>
  <c r="B151" i="4" s="1"/>
  <c r="B152" i="4" a="1"/>
  <c r="B152" i="4" s="1"/>
  <c r="B153" i="4" a="1"/>
  <c r="B153" i="4" s="1"/>
  <c r="B154" i="4" a="1"/>
  <c r="B154" i="4" s="1"/>
  <c r="B155" i="4" a="1"/>
  <c r="B155" i="4" s="1"/>
  <c r="B156" i="4" a="1"/>
  <c r="B156" i="4" s="1"/>
  <c r="B157" i="4" a="1"/>
  <c r="B157" i="4" s="1"/>
  <c r="B158" i="4" a="1"/>
  <c r="B158" i="4" s="1"/>
  <c r="B159" i="4" a="1"/>
  <c r="B159" i="4" s="1"/>
  <c r="B160" i="4" a="1"/>
  <c r="B160" i="4" s="1"/>
  <c r="B161" i="4" a="1"/>
  <c r="B161" i="4" s="1"/>
  <c r="B162" i="4" a="1"/>
  <c r="B162" i="4" s="1"/>
  <c r="B163" i="4" a="1"/>
  <c r="B163" i="4" s="1"/>
  <c r="B164" i="4" a="1"/>
  <c r="B164" i="4" s="1"/>
  <c r="B165" i="4" a="1"/>
  <c r="B165" i="4" s="1"/>
  <c r="B166" i="4" a="1"/>
  <c r="B166" i="4" s="1"/>
  <c r="B167" i="4" a="1"/>
  <c r="B167" i="4" s="1"/>
  <c r="B168" i="4" a="1"/>
  <c r="B168" i="4" s="1"/>
  <c r="B169" i="4" a="1"/>
  <c r="B169" i="4" s="1"/>
  <c r="B170" i="4" a="1"/>
  <c r="B170" i="4" s="1"/>
  <c r="B171" i="4" a="1"/>
  <c r="B171" i="4" s="1"/>
  <c r="B172" i="4" a="1"/>
  <c r="B172" i="4" s="1"/>
  <c r="B173" i="4" a="1"/>
  <c r="B173" i="4" s="1"/>
  <c r="B174" i="4" a="1"/>
  <c r="B174" i="4" s="1"/>
  <c r="B175" i="4" a="1"/>
  <c r="B175" i="4" s="1"/>
  <c r="B176" i="4" a="1"/>
  <c r="B176" i="4" s="1"/>
  <c r="B177" i="4" a="1"/>
  <c r="B177" i="4" s="1"/>
  <c r="B178" i="4" a="1"/>
  <c r="B178" i="4" s="1"/>
  <c r="B179" i="4" a="1"/>
  <c r="B179" i="4" s="1"/>
  <c r="B180" i="4" a="1"/>
  <c r="B180" i="4" s="1"/>
  <c r="B181" i="4" a="1"/>
  <c r="B181" i="4" s="1"/>
  <c r="B182" i="4" a="1"/>
  <c r="B182" i="4" s="1"/>
  <c r="B183" i="4" a="1"/>
  <c r="B183" i="4" s="1"/>
  <c r="B184" i="4" a="1"/>
  <c r="B184" i="4" s="1"/>
  <c r="B185" i="4" a="1"/>
  <c r="B185" i="4" s="1"/>
  <c r="B186" i="4" a="1"/>
  <c r="B186" i="4" s="1"/>
  <c r="B187" i="4" a="1"/>
  <c r="B187" i="4" s="1"/>
  <c r="B188" i="4" a="1"/>
  <c r="B188" i="4" s="1"/>
  <c r="B189" i="4" a="1"/>
  <c r="B189" i="4" s="1"/>
  <c r="B190" i="4" a="1"/>
  <c r="B190" i="4" s="1"/>
  <c r="B191" i="4" a="1"/>
  <c r="B191" i="4" s="1"/>
  <c r="B192" i="4" a="1"/>
  <c r="B192" i="4" s="1"/>
  <c r="B193" i="4" a="1"/>
  <c r="B193" i="4" s="1"/>
  <c r="B194" i="4" a="1"/>
  <c r="B194" i="4" s="1"/>
  <c r="B195" i="4" a="1"/>
  <c r="B195" i="4" s="1"/>
  <c r="B196" i="4" a="1"/>
  <c r="B196" i="4" s="1"/>
  <c r="B197" i="4" a="1"/>
  <c r="B197" i="4" s="1"/>
  <c r="B198" i="4" a="1"/>
  <c r="B198" i="4" s="1"/>
  <c r="B199" i="4" a="1"/>
  <c r="B199" i="4" s="1"/>
  <c r="B200" i="4" a="1"/>
  <c r="B200" i="4" s="1"/>
  <c r="B201" i="4" a="1"/>
  <c r="B201" i="4" s="1"/>
  <c r="B202" i="4" a="1"/>
  <c r="B202" i="4" s="1"/>
  <c r="B203" i="4" a="1"/>
  <c r="B203" i="4" s="1"/>
  <c r="B204" i="4" a="1"/>
  <c r="B204" i="4" s="1"/>
  <c r="B205" i="4" a="1"/>
  <c r="B205" i="4" s="1"/>
  <c r="B206" i="4" a="1"/>
  <c r="B206" i="4" s="1"/>
  <c r="B207" i="4" a="1"/>
  <c r="B207" i="4" s="1"/>
  <c r="B208" i="4" a="1"/>
  <c r="B208" i="4" s="1"/>
  <c r="B209" i="4" a="1"/>
  <c r="B209" i="4" s="1"/>
  <c r="B210" i="4" a="1"/>
  <c r="B210" i="4" s="1"/>
  <c r="B211" i="4" a="1"/>
  <c r="B211" i="4" s="1"/>
  <c r="B212" i="4" a="1"/>
  <c r="B212" i="4" s="1"/>
  <c r="B213" i="4" a="1"/>
  <c r="B213" i="4" s="1"/>
  <c r="B214" i="4" a="1"/>
  <c r="B214" i="4" s="1"/>
  <c r="B215" i="4" a="1"/>
  <c r="B215" i="4" s="1"/>
  <c r="B216" i="4" a="1"/>
  <c r="B216" i="4" s="1"/>
  <c r="B217" i="4" a="1"/>
  <c r="B217" i="4" s="1"/>
  <c r="B218" i="4" a="1"/>
  <c r="B218" i="4" s="1"/>
  <c r="B219" i="4" a="1"/>
  <c r="B219" i="4" s="1"/>
  <c r="B220" i="4" a="1"/>
  <c r="B220" i="4" s="1"/>
  <c r="B221" i="4" a="1"/>
  <c r="B221" i="4" s="1"/>
  <c r="B222" i="4" a="1"/>
  <c r="B222" i="4" s="1"/>
  <c r="B223" i="4" a="1"/>
  <c r="B223" i="4" s="1"/>
  <c r="B224" i="4" a="1"/>
  <c r="B224" i="4" s="1"/>
  <c r="B225" i="4" a="1"/>
  <c r="B225" i="4" s="1"/>
  <c r="B226" i="4" a="1"/>
  <c r="B226" i="4" s="1"/>
  <c r="B227" i="4" a="1"/>
  <c r="B227" i="4" s="1"/>
  <c r="B228" i="4" a="1"/>
  <c r="B228" i="4" s="1"/>
  <c r="B229" i="4" a="1"/>
  <c r="B229" i="4" s="1"/>
  <c r="B230" i="4" a="1"/>
  <c r="B230" i="4" s="1"/>
  <c r="B231" i="4" a="1"/>
  <c r="B231" i="4" s="1"/>
  <c r="B232" i="4" a="1"/>
  <c r="B232" i="4" s="1"/>
  <c r="B233" i="4" a="1"/>
  <c r="B233" i="4" s="1"/>
  <c r="B234" i="4" a="1"/>
  <c r="B234" i="4" s="1"/>
  <c r="B235" i="4" a="1"/>
  <c r="B235" i="4" s="1"/>
  <c r="B236" i="4" a="1"/>
  <c r="B236" i="4" s="1"/>
  <c r="B237" i="4" a="1"/>
  <c r="B237" i="4" s="1"/>
  <c r="B238" i="4" a="1"/>
  <c r="B238" i="4" s="1"/>
  <c r="B239" i="4" a="1"/>
  <c r="B239" i="4" s="1"/>
  <c r="B240" i="4" a="1"/>
  <c r="B240" i="4" s="1"/>
  <c r="B241" i="4" a="1"/>
  <c r="B241" i="4" s="1"/>
  <c r="B242" i="4" a="1"/>
  <c r="B242" i="4" s="1"/>
  <c r="B243" i="4" a="1"/>
  <c r="B243" i="4" s="1"/>
  <c r="B244" i="4" a="1"/>
  <c r="B244" i="4" s="1"/>
  <c r="B245" i="4" a="1"/>
  <c r="B245" i="4" s="1"/>
  <c r="B246" i="4" a="1"/>
  <c r="B246" i="4" s="1"/>
  <c r="B247" i="4" a="1"/>
  <c r="B247" i="4" s="1"/>
  <c r="B248" i="4" a="1"/>
  <c r="B248" i="4" s="1"/>
  <c r="B249" i="4" a="1"/>
  <c r="B249" i="4" s="1"/>
  <c r="B250" i="4" a="1"/>
  <c r="B250" i="4" s="1"/>
  <c r="B251" i="4" a="1"/>
  <c r="B251" i="4" s="1"/>
  <c r="B252" i="4" a="1"/>
  <c r="B252" i="4" s="1"/>
  <c r="B253" i="4" a="1"/>
  <c r="B253" i="4" s="1"/>
  <c r="B254" i="4" a="1"/>
  <c r="B254" i="4" s="1"/>
  <c r="B255" i="4" a="1"/>
  <c r="B255" i="4" s="1"/>
  <c r="B256" i="4" a="1"/>
  <c r="B256" i="4" s="1"/>
  <c r="B257" i="4" a="1"/>
  <c r="B257" i="4" s="1"/>
  <c r="B258" i="4" a="1"/>
  <c r="B258" i="4" s="1"/>
  <c r="B259" i="4" a="1"/>
  <c r="B259" i="4" s="1"/>
  <c r="B260" i="4" a="1"/>
  <c r="B260" i="4" s="1"/>
  <c r="B261" i="4" a="1"/>
  <c r="B261" i="4" s="1"/>
  <c r="B262" i="4" a="1"/>
  <c r="B262" i="4" s="1"/>
  <c r="B263" i="4" a="1"/>
  <c r="B263" i="4" s="1"/>
  <c r="B264" i="4" a="1"/>
  <c r="B264" i="4" s="1"/>
  <c r="B265" i="4" a="1"/>
  <c r="B265" i="4" s="1"/>
  <c r="B266" i="4" a="1"/>
  <c r="B266" i="4" s="1"/>
  <c r="B267" i="4" a="1"/>
  <c r="B267" i="4" s="1"/>
  <c r="B268" i="4" a="1"/>
  <c r="B268" i="4" s="1"/>
  <c r="B269" i="4" a="1"/>
  <c r="B269" i="4" s="1"/>
  <c r="B270" i="4" a="1"/>
  <c r="B270" i="4" s="1"/>
  <c r="B271" i="4" a="1"/>
  <c r="B271" i="4" s="1"/>
  <c r="B272" i="4" a="1"/>
  <c r="B272" i="4" s="1"/>
  <c r="B273" i="4" a="1"/>
  <c r="B273" i="4" s="1"/>
  <c r="B274" i="4" a="1"/>
  <c r="B274" i="4" s="1"/>
  <c r="B275" i="4" a="1"/>
  <c r="B275" i="4" s="1"/>
  <c r="B276" i="4" a="1"/>
  <c r="B276" i="4" s="1"/>
  <c r="B277" i="4" a="1"/>
  <c r="B277" i="4" s="1"/>
  <c r="B278" i="4" a="1"/>
  <c r="B278" i="4" s="1"/>
  <c r="B279" i="4" a="1"/>
  <c r="B279" i="4" s="1"/>
  <c r="B280" i="4" a="1"/>
  <c r="B280" i="4" s="1"/>
  <c r="B281" i="4" a="1"/>
  <c r="B281" i="4" s="1"/>
  <c r="B282" i="4" a="1"/>
  <c r="B282" i="4" s="1"/>
  <c r="B283" i="4" a="1"/>
  <c r="B283" i="4" s="1"/>
  <c r="B284" i="4" a="1"/>
  <c r="B284" i="4" s="1"/>
  <c r="B285" i="4" a="1"/>
  <c r="B285" i="4" s="1"/>
  <c r="B286" i="4" a="1"/>
  <c r="B286" i="4" s="1"/>
  <c r="B287" i="4" a="1"/>
  <c r="B287" i="4" s="1"/>
  <c r="B288" i="4" a="1"/>
  <c r="B288" i="4" s="1"/>
  <c r="B289" i="4" a="1"/>
  <c r="B289" i="4" s="1"/>
  <c r="B290" i="4" a="1"/>
  <c r="B290" i="4" s="1"/>
  <c r="B291" i="4" a="1"/>
  <c r="B291" i="4" s="1"/>
  <c r="B292" i="4" a="1"/>
  <c r="B292" i="4" s="1"/>
  <c r="B293" i="4" a="1"/>
  <c r="B293" i="4" s="1"/>
  <c r="B294" i="4" a="1"/>
  <c r="B294" i="4" s="1"/>
  <c r="B295" i="4" a="1"/>
  <c r="B295" i="4" s="1"/>
  <c r="B296" i="4" a="1"/>
  <c r="B296" i="4" s="1"/>
  <c r="B297" i="4" a="1"/>
  <c r="B297" i="4" s="1"/>
  <c r="B298" i="4" a="1"/>
  <c r="B298" i="4" s="1"/>
  <c r="B299" i="4" a="1"/>
  <c r="B299" i="4" s="1"/>
  <c r="B300" i="4" a="1"/>
  <c r="B300" i="4" s="1"/>
  <c r="B301" i="4" a="1"/>
  <c r="B301" i="4" s="1"/>
  <c r="B302" i="4" a="1"/>
  <c r="B302" i="4" s="1"/>
  <c r="B303" i="4" a="1"/>
  <c r="B303" i="4" s="1"/>
  <c r="B304" i="4" a="1"/>
  <c r="B304" i="4" s="1"/>
  <c r="B305" i="4" a="1"/>
  <c r="B305" i="4" s="1"/>
  <c r="B306" i="4" a="1"/>
  <c r="B306" i="4" s="1"/>
  <c r="B307" i="4" a="1"/>
  <c r="B307" i="4" s="1"/>
  <c r="B308" i="4" a="1"/>
  <c r="B308" i="4" s="1"/>
  <c r="B309" i="4" a="1"/>
  <c r="B309" i="4" s="1"/>
  <c r="B310" i="4" a="1"/>
  <c r="B310" i="4" s="1"/>
  <c r="B311" i="4" a="1"/>
  <c r="B311" i="4" s="1"/>
  <c r="B312" i="4" a="1"/>
  <c r="B312" i="4" s="1"/>
  <c r="B313" i="4" a="1"/>
  <c r="B313" i="4" s="1"/>
  <c r="B314" i="4" a="1"/>
  <c r="B314" i="4" s="1"/>
  <c r="B315" i="4" a="1"/>
  <c r="B315" i="4" s="1"/>
  <c r="B316" i="4" a="1"/>
  <c r="B316" i="4" s="1"/>
  <c r="B317" i="4" a="1"/>
  <c r="B317" i="4" s="1"/>
  <c r="B318" i="4" a="1"/>
  <c r="B318" i="4" s="1"/>
  <c r="B319" i="4" a="1"/>
  <c r="B319" i="4" s="1"/>
  <c r="B320" i="4" a="1"/>
  <c r="B320" i="4" s="1"/>
  <c r="B321" i="4" a="1"/>
  <c r="B321" i="4" s="1"/>
  <c r="B322" i="4" a="1"/>
  <c r="B322" i="4" s="1"/>
  <c r="B323" i="4" a="1"/>
  <c r="B323" i="4" s="1"/>
  <c r="B324" i="4" a="1"/>
  <c r="B324" i="4" s="1"/>
  <c r="B325" i="4" a="1"/>
  <c r="B325" i="4" s="1"/>
  <c r="B326" i="4" a="1"/>
  <c r="B326" i="4" s="1"/>
  <c r="B327" i="4" a="1"/>
  <c r="B327" i="4" s="1"/>
  <c r="B328" i="4" a="1"/>
  <c r="B328" i="4" s="1"/>
  <c r="B329" i="4" a="1"/>
  <c r="B329" i="4" s="1"/>
  <c r="B330" i="4" a="1"/>
  <c r="B330" i="4" s="1"/>
  <c r="B331" i="4" a="1"/>
  <c r="B331" i="4" s="1"/>
  <c r="B332" i="4" a="1"/>
  <c r="B332" i="4" s="1"/>
  <c r="B333" i="4" a="1"/>
  <c r="B333" i="4" s="1"/>
  <c r="B334" i="4" a="1"/>
  <c r="B334" i="4" s="1"/>
  <c r="B335" i="4" a="1"/>
  <c r="B335" i="4" s="1"/>
  <c r="B336" i="4" a="1"/>
  <c r="B336" i="4" s="1"/>
  <c r="B337" i="4" a="1"/>
  <c r="B337" i="4" s="1"/>
  <c r="B338" i="4" a="1"/>
  <c r="B338" i="4" s="1"/>
  <c r="B339" i="4" a="1"/>
  <c r="B339" i="4" s="1"/>
  <c r="B340" i="4" a="1"/>
  <c r="B340" i="4" s="1"/>
  <c r="B341" i="4" a="1"/>
  <c r="B341" i="4" s="1"/>
  <c r="B342" i="4" a="1"/>
  <c r="B342" i="4" s="1"/>
  <c r="B343" i="4" a="1"/>
  <c r="B343" i="4" s="1"/>
  <c r="B344" i="4" a="1"/>
  <c r="B344" i="4" s="1"/>
  <c r="B345" i="4" a="1"/>
  <c r="B345" i="4" s="1"/>
  <c r="B346" i="4" a="1"/>
  <c r="B346" i="4" s="1"/>
  <c r="B347" i="4" a="1"/>
  <c r="B347" i="4" s="1"/>
  <c r="B348" i="4" a="1"/>
  <c r="B348" i="4" s="1"/>
  <c r="B349" i="4" a="1"/>
  <c r="B349" i="4" s="1"/>
  <c r="B350" i="4" a="1"/>
  <c r="B350" i="4" s="1"/>
  <c r="B351" i="4" a="1"/>
  <c r="B351" i="4" s="1"/>
  <c r="B352" i="4" a="1"/>
  <c r="B352" i="4" s="1"/>
  <c r="B353" i="4" a="1"/>
  <c r="B353" i="4" s="1"/>
  <c r="B354" i="4" a="1"/>
  <c r="B354" i="4" s="1"/>
  <c r="B355" i="4" a="1"/>
  <c r="B355" i="4" s="1"/>
  <c r="B356" i="4" a="1"/>
  <c r="B356" i="4" s="1"/>
  <c r="B357" i="4" a="1"/>
  <c r="B357" i="4" s="1"/>
  <c r="B358" i="4" a="1"/>
  <c r="B358" i="4" s="1"/>
  <c r="B359" i="4" a="1"/>
  <c r="B359" i="4" s="1"/>
  <c r="B360" i="4" a="1"/>
  <c r="B360" i="4" s="1"/>
  <c r="B361" i="4" a="1"/>
  <c r="B361" i="4" s="1"/>
  <c r="B362" i="4" a="1"/>
  <c r="B362" i="4" s="1"/>
  <c r="B363" i="4" a="1"/>
  <c r="B363" i="4" s="1"/>
  <c r="B364" i="4" a="1"/>
  <c r="B364" i="4" s="1"/>
  <c r="B365" i="4" a="1"/>
  <c r="B365" i="4" s="1"/>
  <c r="B366" i="4" a="1"/>
  <c r="B366" i="4" s="1"/>
  <c r="B367" i="4" a="1"/>
  <c r="B367" i="4" s="1"/>
  <c r="B368" i="4" a="1"/>
  <c r="B368" i="4" s="1"/>
  <c r="B369" i="4" a="1"/>
  <c r="B369" i="4" s="1"/>
  <c r="B370" i="4" a="1"/>
  <c r="B370" i="4" s="1"/>
  <c r="B371" i="4" a="1"/>
  <c r="B371" i="4" s="1"/>
  <c r="B372" i="4" a="1"/>
  <c r="B372" i="4" s="1"/>
  <c r="B373" i="4" a="1"/>
  <c r="B373" i="4" s="1"/>
  <c r="B374" i="4" a="1"/>
  <c r="B374" i="4" s="1"/>
  <c r="B375" i="4" a="1"/>
  <c r="B375" i="4" s="1"/>
  <c r="B376" i="4" a="1"/>
  <c r="B376" i="4" s="1"/>
  <c r="B377" i="4" a="1"/>
  <c r="B377" i="4" s="1"/>
  <c r="B378" i="4" a="1"/>
  <c r="B378" i="4" s="1"/>
  <c r="B379" i="4" a="1"/>
  <c r="B379" i="4" s="1"/>
  <c r="B380" i="4" a="1"/>
  <c r="B380" i="4" s="1"/>
  <c r="B381" i="4" a="1"/>
  <c r="B381" i="4" s="1"/>
  <c r="B382" i="4" a="1"/>
  <c r="B382" i="4" s="1"/>
  <c r="B383" i="4" a="1"/>
  <c r="B383" i="4" s="1"/>
  <c r="B384" i="4" a="1"/>
  <c r="B384" i="4" s="1"/>
  <c r="B385" i="4" a="1"/>
  <c r="B385" i="4" s="1"/>
  <c r="B386" i="4" a="1"/>
  <c r="B386" i="4" s="1"/>
  <c r="B387" i="4" a="1"/>
  <c r="B387" i="4" s="1"/>
  <c r="B388" i="4" a="1"/>
  <c r="B388" i="4" s="1"/>
  <c r="B389" i="4" a="1"/>
  <c r="B389" i="4" s="1"/>
  <c r="B390" i="4" a="1"/>
  <c r="B390" i="4" s="1"/>
  <c r="B391" i="4" a="1"/>
  <c r="B391" i="4" s="1"/>
  <c r="B392" i="4" a="1"/>
  <c r="B392" i="4" s="1"/>
  <c r="B393" i="4" a="1"/>
  <c r="B393" i="4" s="1"/>
  <c r="B394" i="4" a="1"/>
  <c r="B394" i="4" s="1"/>
  <c r="B395" i="4" a="1"/>
  <c r="B395" i="4" s="1"/>
  <c r="B396" i="4" a="1"/>
  <c r="B396" i="4" s="1"/>
  <c r="B397" i="4" a="1"/>
  <c r="B397" i="4" s="1"/>
  <c r="B398" i="4" a="1"/>
  <c r="B398" i="4" s="1"/>
  <c r="B399" i="4" a="1"/>
  <c r="B399" i="4" s="1"/>
  <c r="B400" i="4" a="1"/>
  <c r="B400" i="4" s="1"/>
  <c r="B401" i="4" a="1"/>
  <c r="B401" i="4" s="1"/>
  <c r="B402" i="4" a="1"/>
  <c r="B402" i="4" s="1"/>
  <c r="B403" i="4" a="1"/>
  <c r="B403" i="4" s="1"/>
  <c r="B404" i="4" a="1"/>
  <c r="B404" i="4" s="1"/>
  <c r="B405" i="4" a="1"/>
  <c r="B405" i="4" s="1"/>
  <c r="B406" i="4" a="1"/>
  <c r="B406" i="4" s="1"/>
  <c r="B407" i="4" a="1"/>
  <c r="B407" i="4" s="1"/>
  <c r="B408" i="4" a="1"/>
  <c r="B408" i="4" s="1"/>
  <c r="B409" i="4" a="1"/>
  <c r="B409" i="4" s="1"/>
  <c r="B410" i="4" a="1"/>
  <c r="B410" i="4" s="1"/>
  <c r="B411" i="4" a="1"/>
  <c r="B411" i="4" s="1"/>
  <c r="B412" i="4" a="1"/>
  <c r="B412" i="4" s="1"/>
  <c r="B413" i="4" a="1"/>
  <c r="B413" i="4" s="1"/>
  <c r="B414" i="4" a="1"/>
  <c r="B414" i="4" s="1"/>
  <c r="B415" i="4" a="1"/>
  <c r="B415" i="4" s="1"/>
  <c r="B416" i="4" a="1"/>
  <c r="B416" i="4" s="1"/>
  <c r="B417" i="4" a="1"/>
  <c r="B417" i="4" s="1"/>
  <c r="B418" i="4" a="1"/>
  <c r="B418" i="4" s="1"/>
  <c r="B419" i="4" a="1"/>
  <c r="B419" i="4" s="1"/>
  <c r="B420" i="4" a="1"/>
  <c r="B420" i="4" s="1"/>
  <c r="B421" i="4" a="1"/>
  <c r="B421" i="4" s="1"/>
  <c r="B422" i="4" a="1"/>
  <c r="B422" i="4" s="1"/>
  <c r="B423" i="4" a="1"/>
  <c r="B423" i="4" s="1"/>
  <c r="B424" i="4" a="1"/>
  <c r="B424" i="4" s="1"/>
  <c r="B425" i="4" a="1"/>
  <c r="B425" i="4" s="1"/>
  <c r="B426" i="4" a="1"/>
  <c r="B426" i="4" s="1"/>
  <c r="B427" i="4" a="1"/>
  <c r="B427" i="4" s="1"/>
  <c r="B428" i="4" a="1"/>
  <c r="B428" i="4" s="1"/>
  <c r="B429" i="4" a="1"/>
  <c r="B429" i="4" s="1"/>
  <c r="B430" i="4" a="1"/>
  <c r="B430" i="4" s="1"/>
  <c r="B431" i="4" a="1"/>
  <c r="B431" i="4" s="1"/>
  <c r="B432" i="4" a="1"/>
  <c r="B432" i="4" s="1"/>
  <c r="B433" i="4" a="1"/>
  <c r="B433" i="4" s="1"/>
  <c r="B434" i="4" a="1"/>
  <c r="B434" i="4" s="1"/>
  <c r="B435" i="4" a="1"/>
  <c r="B435" i="4" s="1"/>
  <c r="B436" i="4" a="1"/>
  <c r="B436" i="4" s="1"/>
  <c r="B437" i="4" a="1"/>
  <c r="B437" i="4" s="1"/>
  <c r="B438" i="4" a="1"/>
  <c r="B438" i="4" s="1"/>
  <c r="B439" i="4" a="1"/>
  <c r="B439" i="4" s="1"/>
  <c r="B440" i="4" a="1"/>
  <c r="B440" i="4" s="1"/>
  <c r="B441" i="4" a="1"/>
  <c r="B441" i="4" s="1"/>
  <c r="B442" i="4" a="1"/>
  <c r="B442" i="4" s="1"/>
  <c r="B443" i="4" a="1"/>
  <c r="B443" i="4" s="1"/>
  <c r="B444" i="4" a="1"/>
  <c r="B444" i="4" s="1"/>
  <c r="B445" i="4" a="1"/>
  <c r="B445" i="4" s="1"/>
  <c r="B446" i="4" a="1"/>
  <c r="B446" i="4" s="1"/>
  <c r="B447" i="4" a="1"/>
  <c r="B447" i="4" s="1"/>
  <c r="B448" i="4" a="1"/>
  <c r="B448" i="4" s="1"/>
  <c r="B449" i="4" a="1"/>
  <c r="B449" i="4" s="1"/>
  <c r="B450" i="4" a="1"/>
  <c r="B450" i="4" s="1"/>
  <c r="B451" i="4" a="1"/>
  <c r="B451" i="4" s="1"/>
  <c r="B452" i="4" a="1"/>
  <c r="B452" i="4" s="1"/>
  <c r="B453" i="4" a="1"/>
  <c r="B453" i="4" s="1"/>
  <c r="B454" i="4" a="1"/>
  <c r="B454" i="4" s="1"/>
  <c r="B455" i="4" a="1"/>
  <c r="B455" i="4" s="1"/>
  <c r="B456" i="4" a="1"/>
  <c r="B456" i="4" s="1"/>
  <c r="B457" i="4" a="1"/>
  <c r="B457" i="4" s="1"/>
  <c r="B458" i="4" a="1"/>
  <c r="B458" i="4" s="1"/>
  <c r="B459" i="4" a="1"/>
  <c r="B459" i="4" s="1"/>
  <c r="B460" i="4" a="1"/>
  <c r="B460" i="4" s="1"/>
  <c r="B461" i="4" a="1"/>
  <c r="B461" i="4" s="1"/>
  <c r="B462" i="4" a="1"/>
  <c r="B462" i="4" s="1"/>
  <c r="B463" i="4" a="1"/>
  <c r="B463" i="4" s="1"/>
  <c r="B464" i="4" a="1"/>
  <c r="B464" i="4" s="1"/>
  <c r="B465" i="4" a="1"/>
  <c r="B465" i="4" s="1"/>
  <c r="B466" i="4" a="1"/>
  <c r="B466" i="4" s="1"/>
  <c r="B467" i="4" a="1"/>
  <c r="B467" i="4" s="1"/>
  <c r="B468" i="4" a="1"/>
  <c r="B468" i="4" s="1"/>
  <c r="B469" i="4" a="1"/>
  <c r="B469" i="4" s="1"/>
  <c r="B470" i="4" a="1"/>
  <c r="B470" i="4" s="1"/>
  <c r="B471" i="4" a="1"/>
  <c r="B471" i="4" s="1"/>
  <c r="B472" i="4" a="1"/>
  <c r="B472" i="4" s="1"/>
  <c r="B473" i="4" a="1"/>
  <c r="B473" i="4" s="1"/>
  <c r="B474" i="4" a="1"/>
  <c r="B474" i="4" s="1"/>
  <c r="B475" i="4" a="1"/>
  <c r="B475" i="4" s="1"/>
  <c r="B476" i="4" a="1"/>
  <c r="B476" i="4" s="1"/>
  <c r="B477" i="4" a="1"/>
  <c r="B477" i="4" s="1"/>
  <c r="B478" i="4" a="1"/>
  <c r="B478" i="4" s="1"/>
  <c r="B479" i="4" a="1"/>
  <c r="B479" i="4" s="1"/>
  <c r="B480" i="4" a="1"/>
  <c r="B480" i="4" s="1"/>
  <c r="B481" i="4" a="1"/>
  <c r="B481" i="4" s="1"/>
  <c r="B482" i="4" a="1"/>
  <c r="B482" i="4" s="1"/>
  <c r="B483" i="4" a="1"/>
  <c r="B483" i="4" s="1"/>
  <c r="B484" i="4" a="1"/>
  <c r="B484" i="4" s="1"/>
  <c r="B485" i="4" a="1"/>
  <c r="B485" i="4" s="1"/>
  <c r="B486" i="4" a="1"/>
  <c r="B486" i="4" s="1"/>
  <c r="B487" i="4" a="1"/>
  <c r="B487" i="4" s="1"/>
  <c r="B488" i="4" a="1"/>
  <c r="B488" i="4" s="1"/>
  <c r="B489" i="4" a="1"/>
  <c r="B489" i="4" s="1"/>
  <c r="B490" i="4" a="1"/>
  <c r="B490" i="4" s="1"/>
  <c r="B491" i="4" a="1"/>
  <c r="B491" i="4" s="1"/>
  <c r="B492" i="4" a="1"/>
  <c r="B492" i="4" s="1"/>
  <c r="B493" i="4" a="1"/>
  <c r="B493" i="4" s="1"/>
  <c r="B494" i="4" a="1"/>
  <c r="B494" i="4" s="1"/>
  <c r="B495" i="4" a="1"/>
  <c r="B495" i="4" s="1"/>
  <c r="B496" i="4" a="1"/>
  <c r="B496" i="4" s="1"/>
  <c r="B497" i="4" a="1"/>
  <c r="B497" i="4" s="1"/>
  <c r="B498" i="4" a="1"/>
  <c r="B498" i="4" s="1"/>
  <c r="B499" i="4" a="1"/>
  <c r="B499" i="4" s="1"/>
  <c r="B500" i="4" a="1"/>
  <c r="B500" i="4" s="1"/>
  <c r="B501" i="4" a="1"/>
  <c r="B501" i="4" s="1"/>
  <c r="B502" i="4" a="1"/>
  <c r="B502" i="4" s="1"/>
  <c r="B503" i="4" a="1"/>
  <c r="B503" i="4" s="1"/>
  <c r="B504" i="4" a="1"/>
  <c r="B504" i="4" s="1"/>
  <c r="B505" i="4" a="1"/>
  <c r="B505" i="4" s="1"/>
  <c r="B506" i="4" a="1"/>
  <c r="B506" i="4" s="1"/>
  <c r="B507" i="4" a="1"/>
  <c r="B507" i="4" s="1"/>
  <c r="B508" i="4" a="1"/>
  <c r="B508" i="4" s="1"/>
  <c r="B509" i="4" a="1"/>
  <c r="B509" i="4" s="1"/>
  <c r="B510" i="4" a="1"/>
  <c r="B510" i="4" s="1"/>
  <c r="B511" i="4" a="1"/>
  <c r="B511" i="4" s="1"/>
  <c r="B512" i="4" a="1"/>
  <c r="B512" i="4" s="1"/>
  <c r="B513" i="4" a="1"/>
  <c r="B513" i="4" s="1"/>
  <c r="B514" i="4" a="1"/>
  <c r="B514" i="4" s="1"/>
  <c r="B515" i="4" a="1"/>
  <c r="B515" i="4" s="1"/>
  <c r="B516" i="4" a="1"/>
  <c r="B516" i="4" s="1"/>
  <c r="B517" i="4" a="1"/>
  <c r="B517" i="4" s="1"/>
  <c r="B518" i="4" a="1"/>
  <c r="B518" i="4" s="1"/>
  <c r="B519" i="4" a="1"/>
  <c r="B519" i="4" s="1"/>
  <c r="B520" i="4" a="1"/>
  <c r="B520" i="4" s="1"/>
  <c r="B521" i="4" a="1"/>
  <c r="B521" i="4" s="1"/>
  <c r="B522" i="4" a="1"/>
  <c r="B522" i="4" s="1"/>
  <c r="B523" i="4" a="1"/>
  <c r="B523" i="4" s="1"/>
  <c r="B524" i="4" a="1"/>
  <c r="B524" i="4" s="1"/>
  <c r="B525" i="4" a="1"/>
  <c r="B525" i="4" s="1"/>
  <c r="B526" i="4" a="1"/>
  <c r="B526" i="4" s="1"/>
  <c r="B527" i="4" a="1"/>
  <c r="B527" i="4" s="1"/>
  <c r="B528" i="4" a="1"/>
  <c r="B528" i="4" s="1"/>
  <c r="B529" i="4" a="1"/>
  <c r="B529" i="4" s="1"/>
  <c r="B530" i="4" a="1"/>
  <c r="B530" i="4" s="1"/>
  <c r="B531" i="4" a="1"/>
  <c r="B531" i="4" s="1"/>
  <c r="B532" i="4" a="1"/>
  <c r="B532" i="4" s="1"/>
  <c r="B533" i="4" a="1"/>
  <c r="B533" i="4" s="1"/>
  <c r="B534" i="4" a="1"/>
  <c r="B534" i="4" s="1"/>
  <c r="B535" i="4" a="1"/>
  <c r="B535" i="4" s="1"/>
  <c r="B536" i="4" a="1"/>
  <c r="B536" i="4" s="1"/>
  <c r="B537" i="4" a="1"/>
  <c r="B537" i="4" s="1"/>
  <c r="B538" i="4" a="1"/>
  <c r="B538" i="4" s="1"/>
  <c r="B539" i="4" a="1"/>
  <c r="B539" i="4" s="1"/>
  <c r="B540" i="4" a="1"/>
  <c r="B540" i="4" s="1"/>
  <c r="B541" i="4" a="1"/>
  <c r="B541" i="4" s="1"/>
  <c r="B542" i="4" a="1"/>
  <c r="B542" i="4" s="1"/>
  <c r="B543" i="4" a="1"/>
  <c r="B543" i="4" s="1"/>
  <c r="B544" i="4" a="1"/>
  <c r="B544" i="4" s="1"/>
  <c r="B545" i="4" a="1"/>
  <c r="B545" i="4" s="1"/>
  <c r="B546" i="4" a="1"/>
  <c r="B546" i="4" s="1"/>
  <c r="B547" i="4" a="1"/>
  <c r="B547" i="4" s="1"/>
  <c r="B548" i="4" a="1"/>
  <c r="B548" i="4" s="1"/>
  <c r="B549" i="4" a="1"/>
  <c r="B549" i="4" s="1"/>
  <c r="B550" i="4" a="1"/>
  <c r="B550" i="4" s="1"/>
  <c r="B551" i="4" a="1"/>
  <c r="B551" i="4" s="1"/>
  <c r="B552" i="4" a="1"/>
  <c r="B552" i="4" s="1"/>
  <c r="B553" i="4" a="1"/>
  <c r="B553" i="4" s="1"/>
  <c r="B554" i="4" a="1"/>
  <c r="B554" i="4" s="1"/>
  <c r="B555" i="4" a="1"/>
  <c r="B555" i="4" s="1"/>
  <c r="B556" i="4" a="1"/>
  <c r="B556" i="4" s="1"/>
  <c r="B557" i="4" a="1"/>
  <c r="B557" i="4" s="1"/>
  <c r="B558" i="4" a="1"/>
  <c r="B558" i="4" s="1"/>
  <c r="B559" i="4" a="1"/>
  <c r="B559" i="4" s="1"/>
  <c r="B560" i="4" a="1"/>
  <c r="B560" i="4" s="1"/>
  <c r="B561" i="4" a="1"/>
  <c r="B561" i="4" s="1"/>
  <c r="B562" i="4" a="1"/>
  <c r="B562" i="4" s="1"/>
  <c r="B563" i="4" a="1"/>
  <c r="B563" i="4" s="1"/>
  <c r="B564" i="4" a="1"/>
  <c r="B564" i="4" s="1"/>
  <c r="B565" i="4" a="1"/>
  <c r="B565" i="4" s="1"/>
  <c r="B566" i="4" a="1"/>
  <c r="B566" i="4" s="1"/>
  <c r="B567" i="4" a="1"/>
  <c r="B567" i="4" s="1"/>
  <c r="B568" i="4" a="1"/>
  <c r="B568" i="4" s="1"/>
  <c r="B569" i="4" a="1"/>
  <c r="B569" i="4" s="1"/>
  <c r="B570" i="4" a="1"/>
  <c r="B570" i="4" s="1"/>
  <c r="B571" i="4" a="1"/>
  <c r="B571" i="4" s="1"/>
  <c r="B572" i="4" a="1"/>
  <c r="B572" i="4" s="1"/>
  <c r="B573" i="4" a="1"/>
  <c r="B573" i="4" s="1"/>
  <c r="B574" i="4" a="1"/>
  <c r="B574" i="4" s="1"/>
  <c r="B575" i="4" a="1"/>
  <c r="B575" i="4" s="1"/>
  <c r="B576" i="4" a="1"/>
  <c r="B576" i="4" s="1"/>
  <c r="B577" i="4" a="1"/>
  <c r="B577" i="4" s="1"/>
  <c r="B578" i="4" a="1"/>
  <c r="B578" i="4" s="1"/>
  <c r="B579" i="4" a="1"/>
  <c r="B579" i="4" s="1"/>
  <c r="B580" i="4" a="1"/>
  <c r="B580" i="4" s="1"/>
  <c r="B581" i="4" a="1"/>
  <c r="B581" i="4" s="1"/>
  <c r="B582" i="4" a="1"/>
  <c r="B582" i="4" s="1"/>
  <c r="B583" i="4" a="1"/>
  <c r="B583" i="4" s="1"/>
  <c r="B584" i="4" a="1"/>
  <c r="B584" i="4" s="1"/>
  <c r="B585" i="4" a="1"/>
  <c r="B585" i="4" s="1"/>
  <c r="B586" i="4" a="1"/>
  <c r="B586" i="4" s="1"/>
  <c r="B587" i="4" a="1"/>
  <c r="B587" i="4" s="1"/>
  <c r="B588" i="4" a="1"/>
  <c r="B588" i="4" s="1"/>
  <c r="B589" i="4" a="1"/>
  <c r="B589" i="4" s="1"/>
  <c r="B590" i="4" a="1"/>
  <c r="B590" i="4" s="1"/>
  <c r="B591" i="4" a="1"/>
  <c r="B591" i="4" s="1"/>
  <c r="B592" i="4" a="1"/>
  <c r="B592" i="4" s="1"/>
  <c r="B593" i="4" a="1"/>
  <c r="B593" i="4" s="1"/>
  <c r="B594" i="4" a="1"/>
  <c r="B594" i="4" s="1"/>
  <c r="B595" i="4" a="1"/>
  <c r="B595" i="4" s="1"/>
  <c r="B596" i="4" a="1"/>
  <c r="B596" i="4" s="1"/>
  <c r="B597" i="4" a="1"/>
  <c r="B597" i="4" s="1"/>
  <c r="B598" i="4" a="1"/>
  <c r="B598" i="4" s="1"/>
  <c r="B599" i="4" a="1"/>
  <c r="B599" i="4" s="1"/>
  <c r="B600" i="4" a="1"/>
  <c r="B600" i="4" s="1"/>
  <c r="B601" i="4" a="1"/>
  <c r="B601" i="4" s="1"/>
  <c r="B602" i="4" a="1"/>
  <c r="B602" i="4" s="1"/>
  <c r="B603" i="4" a="1"/>
  <c r="B603" i="4" s="1"/>
  <c r="B604" i="4" a="1"/>
  <c r="B604" i="4" s="1"/>
  <c r="B605" i="4" a="1"/>
  <c r="B605" i="4" s="1"/>
  <c r="B606" i="4" a="1"/>
  <c r="B606" i="4" s="1"/>
  <c r="B607" i="4" a="1"/>
  <c r="B607" i="4" s="1"/>
  <c r="B608" i="4" a="1"/>
  <c r="B608" i="4" s="1"/>
  <c r="B609" i="4" a="1"/>
  <c r="B609" i="4" s="1"/>
  <c r="B610" i="4" a="1"/>
  <c r="B610" i="4" s="1"/>
  <c r="B611" i="4" a="1"/>
  <c r="B611" i="4" s="1"/>
  <c r="B612" i="4" a="1"/>
  <c r="B612" i="4" s="1"/>
  <c r="B613" i="4" a="1"/>
  <c r="B613" i="4" s="1"/>
  <c r="B614" i="4" a="1"/>
  <c r="B614" i="4" s="1"/>
  <c r="B615" i="4" a="1"/>
  <c r="B615" i="4" s="1"/>
  <c r="B616" i="4" a="1"/>
  <c r="B616" i="4" s="1"/>
  <c r="B617" i="4" a="1"/>
  <c r="B617" i="4" s="1"/>
  <c r="B618" i="4" a="1"/>
  <c r="B618" i="4" s="1"/>
  <c r="B619" i="4" a="1"/>
  <c r="B619" i="4" s="1"/>
  <c r="B620" i="4" a="1"/>
  <c r="B620" i="4" s="1"/>
  <c r="B621" i="4" a="1"/>
  <c r="B621" i="4" s="1"/>
  <c r="B622" i="4" a="1"/>
  <c r="B622" i="4" s="1"/>
  <c r="B623" i="4" a="1"/>
  <c r="B623" i="4" s="1"/>
  <c r="B624" i="4" a="1"/>
  <c r="B624" i="4" s="1"/>
  <c r="B625" i="4" a="1"/>
  <c r="B625" i="4" s="1"/>
  <c r="B626" i="4" a="1"/>
  <c r="B626" i="4" s="1"/>
  <c r="B627" i="4" a="1"/>
  <c r="B627" i="4" s="1"/>
  <c r="B628" i="4" a="1"/>
  <c r="B628" i="4" s="1"/>
  <c r="B629" i="4" a="1"/>
  <c r="B629" i="4" s="1"/>
  <c r="B630" i="4" a="1"/>
  <c r="B630" i="4" s="1"/>
  <c r="B631" i="4" a="1"/>
  <c r="B631" i="4" s="1"/>
  <c r="B632" i="4" a="1"/>
  <c r="B632" i="4" s="1"/>
  <c r="B633" i="4" a="1"/>
  <c r="B633" i="4" s="1"/>
  <c r="B634" i="4" a="1"/>
  <c r="B634" i="4" s="1"/>
  <c r="B635" i="4" a="1"/>
  <c r="B635" i="4" s="1"/>
  <c r="B636" i="4" a="1"/>
  <c r="B636" i="4" s="1"/>
  <c r="B637" i="4" a="1"/>
  <c r="B637" i="4" s="1"/>
  <c r="B638" i="4" a="1"/>
  <c r="B638" i="4" s="1"/>
  <c r="B639" i="4" a="1"/>
  <c r="B639" i="4" s="1"/>
  <c r="B640" i="4" a="1"/>
  <c r="B640" i="4" s="1"/>
  <c r="B641" i="4" a="1"/>
  <c r="B641" i="4" s="1"/>
  <c r="B642" i="4" a="1"/>
  <c r="B642" i="4" s="1"/>
  <c r="B643" i="4" a="1"/>
  <c r="B643" i="4" s="1"/>
  <c r="B644" i="4" a="1"/>
  <c r="B644" i="4" s="1"/>
  <c r="B645" i="4" a="1"/>
  <c r="B645" i="4" s="1"/>
  <c r="B646" i="4" a="1"/>
  <c r="B646" i="4" s="1"/>
  <c r="B647" i="4" a="1"/>
  <c r="B647" i="4" s="1"/>
  <c r="B648" i="4" a="1"/>
  <c r="B648" i="4" s="1"/>
  <c r="B649" i="4" a="1"/>
  <c r="B649" i="4" s="1"/>
  <c r="B650" i="4" a="1"/>
  <c r="B650" i="4" s="1"/>
  <c r="B651" i="4" a="1"/>
  <c r="B651" i="4" s="1"/>
  <c r="B652" i="4" a="1"/>
  <c r="B652" i="4" s="1"/>
  <c r="B653" i="4" a="1"/>
  <c r="B653" i="4" s="1"/>
  <c r="B654" i="4" a="1"/>
  <c r="B654" i="4" s="1"/>
  <c r="B655" i="4" a="1"/>
  <c r="B655" i="4" s="1"/>
  <c r="B656" i="4" a="1"/>
  <c r="B656" i="4" s="1"/>
  <c r="B657" i="4" a="1"/>
  <c r="B657" i="4" s="1"/>
  <c r="B658" i="4" a="1"/>
  <c r="B658" i="4" s="1"/>
  <c r="B659" i="4" a="1"/>
  <c r="B659" i="4" s="1"/>
  <c r="B660" i="4" a="1"/>
  <c r="B660" i="4" s="1"/>
  <c r="B661" i="4" a="1"/>
  <c r="B661" i="4" s="1"/>
  <c r="B662" i="4" a="1"/>
  <c r="B662" i="4" s="1"/>
  <c r="B663" i="4" a="1"/>
  <c r="B663" i="4" s="1"/>
  <c r="B664" i="4" a="1"/>
  <c r="B664" i="4" s="1"/>
  <c r="B665" i="4" a="1"/>
  <c r="B665" i="4" s="1"/>
  <c r="B666" i="4" a="1"/>
  <c r="B666" i="4" s="1"/>
  <c r="B667" i="4" a="1"/>
  <c r="B667" i="4" s="1"/>
  <c r="B668" i="4" a="1"/>
  <c r="B668" i="4" s="1"/>
  <c r="B669" i="4" a="1"/>
  <c r="B669" i="4" s="1"/>
  <c r="B670" i="4" a="1"/>
  <c r="B670" i="4" s="1"/>
  <c r="B671" i="4" a="1"/>
  <c r="B671" i="4" s="1"/>
  <c r="B672" i="4" a="1"/>
  <c r="B672" i="4" s="1"/>
  <c r="B673" i="4" a="1"/>
  <c r="B673" i="4" s="1"/>
  <c r="B674" i="4" a="1"/>
  <c r="B674" i="4" s="1"/>
  <c r="B675" i="4" a="1"/>
  <c r="B675" i="4" s="1"/>
  <c r="B676" i="4" a="1"/>
  <c r="B676" i="4" s="1"/>
  <c r="B677" i="4" a="1"/>
  <c r="B677" i="4" s="1"/>
  <c r="B678" i="4" a="1"/>
  <c r="B678" i="4" s="1"/>
  <c r="B679" i="4" a="1"/>
  <c r="B679" i="4" s="1"/>
  <c r="B680" i="4" a="1"/>
  <c r="B680" i="4" s="1"/>
  <c r="B681" i="4" a="1"/>
  <c r="B681" i="4" s="1"/>
  <c r="B682" i="4" a="1"/>
  <c r="B682" i="4" s="1"/>
  <c r="B683" i="4" a="1"/>
  <c r="B683" i="4" s="1"/>
  <c r="B684" i="4" a="1"/>
  <c r="B684" i="4" s="1"/>
  <c r="B685" i="4" a="1"/>
  <c r="B685" i="4" s="1"/>
  <c r="B686" i="4" a="1"/>
  <c r="B686" i="4" s="1"/>
  <c r="B687" i="4" a="1"/>
  <c r="B687" i="4" s="1"/>
  <c r="B688" i="4" a="1"/>
  <c r="B688" i="4" s="1"/>
  <c r="B689" i="4" a="1"/>
  <c r="B689" i="4" s="1"/>
  <c r="B690" i="4" a="1"/>
  <c r="B690" i="4" s="1"/>
  <c r="B691" i="4" a="1"/>
  <c r="B691" i="4" s="1"/>
  <c r="B692" i="4" a="1"/>
  <c r="B692" i="4" s="1"/>
  <c r="B693" i="4" a="1"/>
  <c r="B693" i="4" s="1"/>
  <c r="B694" i="4" a="1"/>
  <c r="B694" i="4" s="1"/>
  <c r="B695" i="4" a="1"/>
  <c r="B695" i="4" s="1"/>
  <c r="B696" i="4" a="1"/>
  <c r="B696" i="4" s="1"/>
  <c r="B697" i="4" a="1"/>
  <c r="B697" i="4" s="1"/>
  <c r="B698" i="4" a="1"/>
  <c r="B698" i="4" s="1"/>
  <c r="B699" i="4" a="1"/>
  <c r="B699" i="4" s="1"/>
  <c r="B700" i="4" a="1"/>
  <c r="B700" i="4" s="1"/>
  <c r="B701" i="4" a="1"/>
  <c r="B701" i="4" s="1"/>
  <c r="B702" i="4" a="1"/>
  <c r="B702" i="4" s="1"/>
  <c r="B703" i="4" a="1"/>
  <c r="B703" i="4" s="1"/>
  <c r="B704" i="4" a="1"/>
  <c r="B704" i="4" s="1"/>
  <c r="B705" i="4" a="1"/>
  <c r="B705" i="4" s="1"/>
  <c r="B706" i="4" a="1"/>
  <c r="B706" i="4" s="1"/>
  <c r="B707" i="4" a="1"/>
  <c r="B707" i="4" s="1"/>
  <c r="B708" i="4" a="1"/>
  <c r="B708" i="4" s="1"/>
  <c r="B709" i="4" a="1"/>
  <c r="B709" i="4" s="1"/>
  <c r="B710" i="4" a="1"/>
  <c r="B710" i="4" s="1"/>
  <c r="B711" i="4" a="1"/>
  <c r="B711" i="4" s="1"/>
  <c r="B712" i="4" a="1"/>
  <c r="B712" i="4" s="1"/>
  <c r="B713" i="4" a="1"/>
  <c r="B713" i="4" s="1"/>
  <c r="B714" i="4" a="1"/>
  <c r="B714" i="4" s="1"/>
  <c r="B715" i="4" a="1"/>
  <c r="B715" i="4" s="1"/>
  <c r="B716" i="4" a="1"/>
  <c r="B716" i="4" s="1"/>
  <c r="B717" i="4" a="1"/>
  <c r="B717" i="4" s="1"/>
  <c r="B718" i="4" a="1"/>
  <c r="B718" i="4" s="1"/>
  <c r="B719" i="4" a="1"/>
  <c r="B719" i="4" s="1"/>
  <c r="B720" i="4" a="1"/>
  <c r="B720" i="4" s="1"/>
  <c r="B721" i="4" a="1"/>
  <c r="B721" i="4" s="1"/>
  <c r="B722" i="4" a="1"/>
  <c r="B722" i="4" s="1"/>
  <c r="B723" i="4" a="1"/>
  <c r="B723" i="4" s="1"/>
  <c r="B724" i="4" a="1"/>
  <c r="B724" i="4" s="1"/>
  <c r="B725" i="4" a="1"/>
  <c r="B725" i="4" s="1"/>
  <c r="B726" i="4" a="1"/>
  <c r="B726" i="4" s="1"/>
  <c r="B727" i="4" a="1"/>
  <c r="B727" i="4" s="1"/>
  <c r="B728" i="4" a="1"/>
  <c r="B728" i="4" s="1"/>
  <c r="B729" i="4" a="1"/>
  <c r="B729" i="4" s="1"/>
  <c r="B730" i="4" a="1"/>
  <c r="B730" i="4" s="1"/>
  <c r="B731" i="4" a="1"/>
  <c r="B731" i="4" s="1"/>
  <c r="B732" i="4" a="1"/>
  <c r="B732" i="4" s="1"/>
  <c r="B733" i="4" a="1"/>
  <c r="B733" i="4" s="1"/>
  <c r="B734" i="4" a="1"/>
  <c r="B734" i="4" s="1"/>
  <c r="B735" i="4" a="1"/>
  <c r="B735" i="4" s="1"/>
  <c r="B736" i="4" a="1"/>
  <c r="B736" i="4" s="1"/>
  <c r="B737" i="4" a="1"/>
  <c r="B737" i="4" s="1"/>
  <c r="B738" i="4" a="1"/>
  <c r="B738" i="4" s="1"/>
  <c r="B739" i="4" a="1"/>
  <c r="B739" i="4" s="1"/>
  <c r="B740" i="4" a="1"/>
  <c r="B740" i="4" s="1"/>
  <c r="B741" i="4" a="1"/>
  <c r="B741" i="4" s="1"/>
  <c r="B742" i="4" a="1"/>
  <c r="B742" i="4" s="1"/>
  <c r="B743" i="4" a="1"/>
  <c r="B743" i="4" s="1"/>
  <c r="B744" i="4" a="1"/>
  <c r="B744" i="4" s="1"/>
  <c r="B745" i="4" a="1"/>
  <c r="B745" i="4" s="1"/>
  <c r="B746" i="4" a="1"/>
  <c r="B746" i="4" s="1"/>
  <c r="B747" i="4" a="1"/>
  <c r="B747" i="4" s="1"/>
  <c r="B748" i="4" a="1"/>
  <c r="B748" i="4" s="1"/>
  <c r="B749" i="4" a="1"/>
  <c r="B749" i="4" s="1"/>
  <c r="B750" i="4" a="1"/>
  <c r="B750" i="4" s="1"/>
  <c r="B751" i="4" a="1"/>
  <c r="B751" i="4" s="1"/>
  <c r="B752" i="4" a="1"/>
  <c r="B752" i="4" s="1"/>
  <c r="B753" i="4" a="1"/>
  <c r="B753" i="4" s="1"/>
  <c r="B754" i="4" a="1"/>
  <c r="B754" i="4" s="1"/>
  <c r="B755" i="4" a="1"/>
  <c r="B755" i="4" s="1"/>
  <c r="B756" i="4" a="1"/>
  <c r="B756" i="4" s="1"/>
  <c r="B757" i="4" a="1"/>
  <c r="B757" i="4" s="1"/>
  <c r="B758" i="4" a="1"/>
  <c r="B758" i="4" s="1"/>
  <c r="B759" i="4" a="1"/>
  <c r="B759" i="4" s="1"/>
  <c r="B760" i="4" a="1"/>
  <c r="B760" i="4" s="1"/>
  <c r="B761" i="4" a="1"/>
  <c r="B761" i="4" s="1"/>
  <c r="B762" i="4" a="1"/>
  <c r="B762" i="4" s="1"/>
  <c r="B763" i="4" a="1"/>
  <c r="B763" i="4" s="1"/>
  <c r="B764" i="4" a="1"/>
  <c r="B764" i="4" s="1"/>
  <c r="B765" i="4" a="1"/>
  <c r="B765" i="4" s="1"/>
  <c r="B766" i="4" a="1"/>
  <c r="B766" i="4" s="1"/>
  <c r="B767" i="4" a="1"/>
  <c r="B767" i="4" s="1"/>
  <c r="B768" i="4" a="1"/>
  <c r="B768" i="4" s="1"/>
  <c r="B769" i="4" a="1"/>
  <c r="B769" i="4" s="1"/>
  <c r="B770" i="4" a="1"/>
  <c r="B770" i="4" s="1"/>
  <c r="B771" i="4" a="1"/>
  <c r="B771" i="4" s="1"/>
  <c r="B772" i="4" a="1"/>
  <c r="B772" i="4" s="1"/>
  <c r="B773" i="4" a="1"/>
  <c r="B773" i="4" s="1"/>
  <c r="B774" i="4" a="1"/>
  <c r="B774" i="4" s="1"/>
  <c r="B775" i="4" a="1"/>
  <c r="B775" i="4" s="1"/>
  <c r="B776" i="4" a="1"/>
  <c r="B776" i="4" s="1"/>
  <c r="B777" i="4" a="1"/>
  <c r="B777" i="4" s="1"/>
  <c r="B778" i="4" a="1"/>
  <c r="B778" i="4" s="1"/>
  <c r="B779" i="4" a="1"/>
  <c r="B779" i="4" s="1"/>
  <c r="B780" i="4" a="1"/>
  <c r="B780" i="4" s="1"/>
  <c r="B781" i="4" a="1"/>
  <c r="B781" i="4" s="1"/>
  <c r="B782" i="4" a="1"/>
  <c r="B782" i="4" s="1"/>
  <c r="B783" i="4" a="1"/>
  <c r="B783" i="4" s="1"/>
  <c r="B784" i="4" a="1"/>
  <c r="B784" i="4" s="1"/>
  <c r="B785" i="4" a="1"/>
  <c r="B785" i="4" s="1"/>
  <c r="B786" i="4" a="1"/>
  <c r="B786" i="4" s="1"/>
  <c r="B787" i="4" a="1"/>
  <c r="B787" i="4" s="1"/>
  <c r="B788" i="4" a="1"/>
  <c r="B788" i="4" s="1"/>
  <c r="B789" i="4" a="1"/>
  <c r="B789" i="4" s="1"/>
  <c r="B790" i="4" a="1"/>
  <c r="B790" i="4" s="1"/>
  <c r="B791" i="4" a="1"/>
  <c r="B791" i="4" s="1"/>
  <c r="B792" i="4" a="1"/>
  <c r="B792" i="4" s="1"/>
  <c r="B793" i="4" a="1"/>
  <c r="B793" i="4" s="1"/>
  <c r="B794" i="4" a="1"/>
  <c r="B794" i="4" s="1"/>
  <c r="B795" i="4" a="1"/>
  <c r="B795" i="4" s="1"/>
  <c r="B796" i="4" a="1"/>
  <c r="B796" i="4" s="1"/>
  <c r="B797" i="4" a="1"/>
  <c r="B797" i="4" s="1"/>
  <c r="B798" i="4" a="1"/>
  <c r="B798" i="4" s="1"/>
  <c r="B799" i="4" a="1"/>
  <c r="B799" i="4" s="1"/>
  <c r="B800" i="4" a="1"/>
  <c r="B800" i="4" s="1"/>
  <c r="B801" i="4" a="1"/>
  <c r="B801" i="4" s="1"/>
  <c r="B802" i="4" a="1"/>
  <c r="B802" i="4" s="1"/>
  <c r="B803" i="4" a="1"/>
  <c r="B803" i="4" s="1"/>
  <c r="B804" i="4" a="1"/>
  <c r="B804" i="4" s="1"/>
  <c r="B805" i="4" a="1"/>
  <c r="B805" i="4" s="1"/>
  <c r="B806" i="4" a="1"/>
  <c r="B806" i="4" s="1"/>
  <c r="B807" i="4" a="1"/>
  <c r="B807" i="4" s="1"/>
  <c r="B808" i="4" a="1"/>
  <c r="B808" i="4" s="1"/>
  <c r="B809" i="4" a="1"/>
  <c r="B809" i="4" s="1"/>
  <c r="B810" i="4" a="1"/>
  <c r="B810" i="4" s="1"/>
  <c r="B811" i="4" a="1"/>
  <c r="B811" i="4" s="1"/>
  <c r="B812" i="4" a="1"/>
  <c r="B812" i="4" s="1"/>
  <c r="B813" i="4" a="1"/>
  <c r="B813" i="4" s="1"/>
  <c r="B814" i="4" a="1"/>
  <c r="B814" i="4" s="1"/>
  <c r="B815" i="4" a="1"/>
  <c r="B815" i="4" s="1"/>
  <c r="B816" i="4" a="1"/>
  <c r="B816" i="4" s="1"/>
  <c r="B817" i="4" a="1"/>
  <c r="B817" i="4" s="1"/>
  <c r="B818" i="4" a="1"/>
  <c r="B818" i="4" s="1"/>
  <c r="B819" i="4" a="1"/>
  <c r="B819" i="4" s="1"/>
  <c r="B820" i="4" a="1"/>
  <c r="B820" i="4" s="1"/>
  <c r="B821" i="4" a="1"/>
  <c r="B821" i="4" s="1"/>
  <c r="B822" i="4" a="1"/>
  <c r="B822" i="4" s="1"/>
  <c r="B823" i="4" a="1"/>
  <c r="B823" i="4" s="1"/>
  <c r="B824" i="4" a="1"/>
  <c r="B824" i="4" s="1"/>
  <c r="B825" i="4" a="1"/>
  <c r="B825" i="4" s="1"/>
  <c r="B826" i="4" a="1"/>
  <c r="B826" i="4" s="1"/>
  <c r="B827" i="4" a="1"/>
  <c r="B827" i="4" s="1"/>
  <c r="B828" i="4" a="1"/>
  <c r="B828" i="4" s="1"/>
  <c r="B829" i="4" a="1"/>
  <c r="B829" i="4" s="1"/>
  <c r="B830" i="4" a="1"/>
  <c r="B830" i="4" s="1"/>
  <c r="B831" i="4" a="1"/>
  <c r="B831" i="4" s="1"/>
  <c r="B832" i="4" a="1"/>
  <c r="B832" i="4" s="1"/>
  <c r="B833" i="4" a="1"/>
  <c r="B833" i="4" s="1"/>
  <c r="B834" i="4" a="1"/>
  <c r="B834" i="4" s="1"/>
  <c r="B835" i="4" a="1"/>
  <c r="B835" i="4" s="1"/>
  <c r="B836" i="4" a="1"/>
  <c r="B836" i="4" s="1"/>
  <c r="B837" i="4" a="1"/>
  <c r="B837" i="4" s="1"/>
  <c r="B838" i="4" a="1"/>
  <c r="B838" i="4" s="1"/>
  <c r="B839" i="4" a="1"/>
  <c r="B839" i="4" s="1"/>
  <c r="B840" i="4" a="1"/>
  <c r="B840" i="4" s="1"/>
  <c r="B841" i="4" a="1"/>
  <c r="B841" i="4" s="1"/>
  <c r="B842" i="4" a="1"/>
  <c r="B842" i="4" s="1"/>
  <c r="B843" i="4" a="1"/>
  <c r="B843" i="4" s="1"/>
  <c r="B844" i="4" a="1"/>
  <c r="B844" i="4" s="1"/>
  <c r="B845" i="4" a="1"/>
  <c r="B845" i="4" s="1"/>
  <c r="B846" i="4" a="1"/>
  <c r="B846" i="4" s="1"/>
  <c r="B847" i="4" a="1"/>
  <c r="B847" i="4" s="1"/>
  <c r="B848" i="4" a="1"/>
  <c r="B848" i="4" s="1"/>
  <c r="B849" i="4" a="1"/>
  <c r="B849" i="4" s="1"/>
  <c r="B850" i="4" a="1"/>
  <c r="B850" i="4" s="1"/>
  <c r="B851" i="4" a="1"/>
  <c r="B851" i="4" s="1"/>
  <c r="B852" i="4" a="1"/>
  <c r="B852" i="4" s="1"/>
  <c r="B853" i="4" a="1"/>
  <c r="B853" i="4" s="1"/>
  <c r="B854" i="4" a="1"/>
  <c r="B854" i="4" s="1"/>
  <c r="B855" i="4" a="1"/>
  <c r="B855" i="4" s="1"/>
  <c r="B856" i="4" a="1"/>
  <c r="B856" i="4" s="1"/>
  <c r="B857" i="4" a="1"/>
  <c r="B857" i="4" s="1"/>
  <c r="B858" i="4" a="1"/>
  <c r="B858" i="4" s="1"/>
  <c r="B859" i="4" a="1"/>
  <c r="B859" i="4" s="1"/>
  <c r="B860" i="4" a="1"/>
  <c r="B860" i="4" s="1"/>
  <c r="B861" i="4" a="1"/>
  <c r="B861" i="4" s="1"/>
  <c r="B862" i="4" a="1"/>
  <c r="B862" i="4" s="1"/>
  <c r="B863" i="4" a="1"/>
  <c r="B863" i="4" s="1"/>
  <c r="B864" i="4" a="1"/>
  <c r="B864" i="4" s="1"/>
  <c r="B865" i="4" a="1"/>
  <c r="B865" i="4" s="1"/>
  <c r="B866" i="4" a="1"/>
  <c r="B866" i="4" s="1"/>
  <c r="B867" i="4" a="1"/>
  <c r="B867" i="4" s="1"/>
  <c r="B868" i="4" a="1"/>
  <c r="B868" i="4" s="1"/>
  <c r="B869" i="4" a="1"/>
  <c r="B869" i="4" s="1"/>
  <c r="B870" i="4" a="1"/>
  <c r="B870" i="4" s="1"/>
  <c r="B871" i="4" a="1"/>
  <c r="B871" i="4" s="1"/>
  <c r="B872" i="4" a="1"/>
  <c r="B872" i="4" s="1"/>
  <c r="B873" i="4" a="1"/>
  <c r="B873" i="4" s="1"/>
  <c r="B874" i="4" a="1"/>
  <c r="B874" i="4" s="1"/>
  <c r="B875" i="4" a="1"/>
  <c r="B875" i="4" s="1"/>
  <c r="B876" i="4" a="1"/>
  <c r="B876" i="4" s="1"/>
  <c r="B877" i="4" a="1"/>
  <c r="B877" i="4" s="1"/>
  <c r="B878" i="4" a="1"/>
  <c r="B878" i="4" s="1"/>
  <c r="B879" i="4" a="1"/>
  <c r="B879" i="4" s="1"/>
  <c r="B880" i="4" a="1"/>
  <c r="B880" i="4" s="1"/>
  <c r="B881" i="4" a="1"/>
  <c r="B881" i="4" s="1"/>
  <c r="B882" i="4" a="1"/>
  <c r="B882" i="4" s="1"/>
  <c r="B883" i="4" a="1"/>
  <c r="B883" i="4" s="1"/>
  <c r="B884" i="4" a="1"/>
  <c r="B884" i="4" s="1"/>
  <c r="B885" i="4" a="1"/>
  <c r="B885" i="4" s="1"/>
  <c r="B886" i="4" a="1"/>
  <c r="B886" i="4" s="1"/>
  <c r="B887" i="4" a="1"/>
  <c r="B887" i="4" s="1"/>
  <c r="B888" i="4" a="1"/>
  <c r="B888" i="4" s="1"/>
  <c r="B889" i="4" a="1"/>
  <c r="B889" i="4" s="1"/>
  <c r="B890" i="4" a="1"/>
  <c r="B890" i="4" s="1"/>
  <c r="B891" i="4" a="1"/>
  <c r="B891" i="4" s="1"/>
  <c r="B892" i="4" a="1"/>
  <c r="B892" i="4" s="1"/>
  <c r="B893" i="4" a="1"/>
  <c r="B893" i="4" s="1"/>
  <c r="B894" i="4" a="1"/>
  <c r="B894" i="4" s="1"/>
  <c r="B895" i="4" a="1"/>
  <c r="B895" i="4" s="1"/>
  <c r="B896" i="4" a="1"/>
  <c r="B896" i="4" s="1"/>
  <c r="B897" i="4" a="1"/>
  <c r="B897" i="4" s="1"/>
  <c r="B898" i="4" a="1"/>
  <c r="B898" i="4" s="1"/>
  <c r="B899" i="4" a="1"/>
  <c r="B899" i="4" s="1"/>
  <c r="B900" i="4" a="1"/>
  <c r="B900" i="4" s="1"/>
  <c r="B901" i="4" a="1"/>
  <c r="B901" i="4" s="1"/>
  <c r="B902" i="4" a="1"/>
  <c r="B902" i="4" s="1"/>
  <c r="B903" i="4" a="1"/>
  <c r="B903" i="4" s="1"/>
  <c r="B904" i="4" a="1"/>
  <c r="B904" i="4" s="1"/>
  <c r="B905" i="4" a="1"/>
  <c r="B905" i="4" s="1"/>
  <c r="B906" i="4" a="1"/>
  <c r="B906" i="4" s="1"/>
  <c r="B907" i="4" a="1"/>
  <c r="B907" i="4" s="1"/>
  <c r="B908" i="4" a="1"/>
  <c r="B908" i="4" s="1"/>
  <c r="B909" i="4" a="1"/>
  <c r="B909" i="4" s="1"/>
  <c r="B910" i="4" a="1"/>
  <c r="B910" i="4" s="1"/>
  <c r="B911" i="4" a="1"/>
  <c r="B911" i="4" s="1"/>
  <c r="B912" i="4" a="1"/>
  <c r="B912" i="4" s="1"/>
  <c r="B913" i="4" a="1"/>
  <c r="B913" i="4" s="1"/>
  <c r="B914" i="4" a="1"/>
  <c r="B914" i="4" s="1"/>
  <c r="B915" i="4" a="1"/>
  <c r="B915" i="4" s="1"/>
  <c r="B916" i="4" a="1"/>
  <c r="B916" i="4" s="1"/>
  <c r="B917" i="4" a="1"/>
  <c r="B917" i="4" s="1"/>
  <c r="B918" i="4" a="1"/>
  <c r="B918" i="4" s="1"/>
  <c r="B919" i="4" a="1"/>
  <c r="B919" i="4" s="1"/>
  <c r="B920" i="4" a="1"/>
  <c r="B920" i="4" s="1"/>
  <c r="B921" i="4" a="1"/>
  <c r="B921" i="4" s="1"/>
  <c r="B922" i="4" a="1"/>
  <c r="B922" i="4" s="1"/>
  <c r="B923" i="4" a="1"/>
  <c r="B923" i="4" s="1"/>
  <c r="B924" i="4" a="1"/>
  <c r="B924" i="4" s="1"/>
  <c r="B925" i="4" a="1"/>
  <c r="B925" i="4" s="1"/>
  <c r="B926" i="4" a="1"/>
  <c r="B926" i="4" s="1"/>
  <c r="B927" i="4" a="1"/>
  <c r="B927" i="4" s="1"/>
  <c r="B928" i="4" a="1"/>
  <c r="B928" i="4" s="1"/>
  <c r="B929" i="4" a="1"/>
  <c r="B929" i="4" s="1"/>
  <c r="B930" i="4" a="1"/>
  <c r="B930" i="4" s="1"/>
  <c r="B931" i="4" a="1"/>
  <c r="B931" i="4" s="1"/>
  <c r="B932" i="4" a="1"/>
  <c r="B932" i="4" s="1"/>
  <c r="B933" i="4" a="1"/>
  <c r="B933" i="4" s="1"/>
  <c r="B934" i="4" a="1"/>
  <c r="B934" i="4" s="1"/>
  <c r="B935" i="4" a="1"/>
  <c r="B935" i="4" s="1"/>
  <c r="B936" i="4" a="1"/>
  <c r="B936" i="4" s="1"/>
  <c r="B937" i="4" a="1"/>
  <c r="B937" i="4" s="1"/>
  <c r="B938" i="4" a="1"/>
  <c r="B938" i="4" s="1"/>
  <c r="B939" i="4" a="1"/>
  <c r="B939" i="4" s="1"/>
  <c r="B940" i="4" a="1"/>
  <c r="B940" i="4" s="1"/>
  <c r="B941" i="4" a="1"/>
  <c r="B941" i="4" s="1"/>
  <c r="B942" i="4" a="1"/>
  <c r="B942" i="4" s="1"/>
  <c r="B943" i="4" a="1"/>
  <c r="B943" i="4" s="1"/>
  <c r="B944" i="4" a="1"/>
  <c r="B944" i="4" s="1"/>
  <c r="B945" i="4" a="1"/>
  <c r="B945" i="4" s="1"/>
  <c r="B946" i="4" a="1"/>
  <c r="B946" i="4" s="1"/>
  <c r="B947" i="4" a="1"/>
  <c r="B947" i="4" s="1"/>
  <c r="B948" i="4" a="1"/>
  <c r="B948" i="4" s="1"/>
  <c r="B949" i="4" a="1"/>
  <c r="B949" i="4" s="1"/>
  <c r="B950" i="4" a="1"/>
  <c r="B950" i="4" s="1"/>
  <c r="B951" i="4" a="1"/>
  <c r="B951" i="4" s="1"/>
  <c r="B952" i="4" a="1"/>
  <c r="B952" i="4" s="1"/>
  <c r="B953" i="4" a="1"/>
  <c r="B953" i="4" s="1"/>
  <c r="B954" i="4" a="1"/>
  <c r="B954" i="4" s="1"/>
  <c r="B955" i="4" a="1"/>
  <c r="B955" i="4" s="1"/>
  <c r="B956" i="4" a="1"/>
  <c r="B956" i="4" s="1"/>
  <c r="B957" i="4" a="1"/>
  <c r="B957" i="4" s="1"/>
  <c r="B958" i="4" a="1"/>
  <c r="B958" i="4" s="1"/>
  <c r="B959" i="4" a="1"/>
  <c r="B959" i="4" s="1"/>
  <c r="B960" i="4" a="1"/>
  <c r="B960" i="4" s="1"/>
  <c r="B961" i="4" a="1"/>
  <c r="B961" i="4" s="1"/>
  <c r="B962" i="4" a="1"/>
  <c r="B962" i="4" s="1"/>
  <c r="B963" i="4" a="1"/>
  <c r="B963" i="4" s="1"/>
  <c r="B964" i="4" a="1"/>
  <c r="B964" i="4" s="1"/>
  <c r="B965" i="4" a="1"/>
  <c r="B965" i="4" s="1"/>
  <c r="B966" i="4" a="1"/>
  <c r="B966" i="4" s="1"/>
  <c r="B967" i="4" a="1"/>
  <c r="B967" i="4" s="1"/>
  <c r="B968" i="4" a="1"/>
  <c r="B968" i="4" s="1"/>
  <c r="B969" i="4" a="1"/>
  <c r="B969" i="4" s="1"/>
  <c r="B970" i="4" a="1"/>
  <c r="B970" i="4" s="1"/>
  <c r="B971" i="4" a="1"/>
  <c r="B971" i="4" s="1"/>
  <c r="B972" i="4" a="1"/>
  <c r="B972" i="4" s="1"/>
  <c r="B973" i="4" a="1"/>
  <c r="B973" i="4" s="1"/>
  <c r="B974" i="4" a="1"/>
  <c r="B974" i="4" s="1"/>
  <c r="B975" i="4" a="1"/>
  <c r="B975" i="4" s="1"/>
  <c r="B976" i="4" a="1"/>
  <c r="B976" i="4" s="1"/>
  <c r="B977" i="4" a="1"/>
  <c r="B977" i="4" s="1"/>
  <c r="B978" i="4" a="1"/>
  <c r="B978" i="4" s="1"/>
  <c r="B979" i="4" a="1"/>
  <c r="B979" i="4" s="1"/>
  <c r="B980" i="4" a="1"/>
  <c r="B980" i="4" s="1"/>
  <c r="B981" i="4" a="1"/>
  <c r="B981" i="4" s="1"/>
  <c r="B982" i="4" a="1"/>
  <c r="B982" i="4" s="1"/>
  <c r="B983" i="4" a="1"/>
  <c r="B983" i="4" s="1"/>
  <c r="B984" i="4" a="1"/>
  <c r="B984" i="4" s="1"/>
  <c r="B985" i="4" a="1"/>
  <c r="B985" i="4" s="1"/>
  <c r="B986" i="4" a="1"/>
  <c r="B986" i="4" s="1"/>
  <c r="B987" i="4" a="1"/>
  <c r="B987" i="4" s="1"/>
  <c r="B988" i="4" a="1"/>
  <c r="B988" i="4" s="1"/>
  <c r="B989" i="4" a="1"/>
  <c r="B989" i="4" s="1"/>
  <c r="B990" i="4" a="1"/>
  <c r="B990" i="4" s="1"/>
  <c r="B991" i="4" a="1"/>
  <c r="B991" i="4" s="1"/>
  <c r="B992" i="4" a="1"/>
  <c r="B992" i="4" s="1"/>
  <c r="B993" i="4" a="1"/>
  <c r="B993" i="4" s="1"/>
  <c r="B994" i="4" a="1"/>
  <c r="B994" i="4" s="1"/>
  <c r="B995" i="4" a="1"/>
  <c r="B995" i="4" s="1"/>
  <c r="B996" i="4" a="1"/>
  <c r="B996" i="4" s="1"/>
  <c r="B997" i="4" a="1"/>
  <c r="B997" i="4" s="1"/>
  <c r="B998" i="4" a="1"/>
  <c r="B998" i="4" s="1"/>
  <c r="B999" i="4" a="1"/>
  <c r="B999" i="4" s="1"/>
  <c r="B1000" i="4" a="1"/>
  <c r="B1000" i="4" s="1"/>
  <c r="B1001" i="4" a="1"/>
  <c r="B1001" i="4" s="1"/>
  <c r="B1002" i="4" a="1"/>
  <c r="B1002" i="4" s="1"/>
  <c r="B1003" i="4" a="1"/>
  <c r="B1003" i="4" s="1"/>
  <c r="B1004" i="4" a="1"/>
  <c r="B1004" i="4" s="1"/>
  <c r="B1005" i="4" a="1"/>
  <c r="B1005" i="4" s="1"/>
  <c r="B1006" i="4" a="1"/>
  <c r="B1006" i="4" s="1"/>
  <c r="B1007" i="4" a="1"/>
  <c r="B1007" i="4" s="1"/>
  <c r="B1008" i="4" a="1"/>
  <c r="B1008" i="4" s="1"/>
  <c r="B1009" i="4" a="1"/>
  <c r="B1009" i="4" s="1"/>
  <c r="B1010" i="4" a="1"/>
  <c r="B1010" i="4" s="1"/>
  <c r="B1011" i="4" a="1"/>
  <c r="B1011" i="4" s="1"/>
  <c r="B1012" i="4" a="1"/>
  <c r="B1012" i="4" s="1"/>
  <c r="B1013" i="4" a="1"/>
  <c r="B1013" i="4" s="1"/>
  <c r="B1014" i="4" a="1"/>
  <c r="B1014" i="4" s="1"/>
  <c r="B1015" i="4" a="1"/>
  <c r="B1015" i="4" s="1"/>
  <c r="B1016" i="4" a="1"/>
  <c r="B1016" i="4" s="1"/>
  <c r="B1017" i="4" a="1"/>
  <c r="B1017" i="4" s="1"/>
  <c r="B1018" i="4" a="1"/>
  <c r="B1018" i="4" s="1"/>
  <c r="B1019" i="4" a="1"/>
  <c r="B1019" i="4" s="1"/>
  <c r="B1020" i="4" a="1"/>
  <c r="B1020" i="4" s="1"/>
  <c r="B1021" i="4" a="1"/>
  <c r="B1021" i="4" s="1"/>
  <c r="B1022" i="4" a="1"/>
  <c r="B1022" i="4" s="1"/>
  <c r="B1023" i="4" a="1"/>
  <c r="B1023" i="4" s="1"/>
  <c r="B1024" i="4" a="1"/>
  <c r="B1024" i="4" s="1"/>
  <c r="B1025" i="4" a="1"/>
  <c r="B1025" i="4" s="1"/>
  <c r="B1026" i="4" a="1"/>
  <c r="B1026" i="4" s="1"/>
  <c r="B1027" i="4" a="1"/>
  <c r="B1027" i="4" s="1"/>
  <c r="B1028" i="4" a="1"/>
  <c r="B1028" i="4" s="1"/>
  <c r="B1029" i="4" a="1"/>
  <c r="B1029" i="4" s="1"/>
  <c r="B1030" i="4" a="1"/>
  <c r="B1030" i="4" s="1"/>
  <c r="B1031" i="4" a="1"/>
  <c r="B1031" i="4" s="1"/>
  <c r="B1032" i="4" a="1"/>
  <c r="B1032" i="4" s="1"/>
  <c r="B1033" i="4" a="1"/>
  <c r="B1033" i="4" s="1"/>
  <c r="B1034" i="4" a="1"/>
  <c r="B1034" i="4" s="1"/>
  <c r="B1035" i="4" a="1"/>
  <c r="B1035" i="4" s="1"/>
  <c r="B1036" i="4" a="1"/>
  <c r="B1036" i="4" s="1"/>
  <c r="B1037" i="4" a="1"/>
  <c r="B1037" i="4" s="1"/>
  <c r="B1038" i="4" a="1"/>
  <c r="B1038" i="4" s="1"/>
  <c r="B1039" i="4" a="1"/>
  <c r="B1039" i="4" s="1"/>
  <c r="B1040" i="4" a="1"/>
  <c r="B1040" i="4" s="1"/>
  <c r="B1041" i="4" a="1"/>
  <c r="B1041" i="4" s="1"/>
  <c r="B1042" i="4" a="1"/>
  <c r="B1042" i="4" s="1"/>
  <c r="B1043" i="4" a="1"/>
  <c r="B1043" i="4" s="1"/>
  <c r="B1044" i="4" a="1"/>
  <c r="B1044" i="4" s="1"/>
  <c r="B1045" i="4" a="1"/>
  <c r="B1045" i="4" s="1"/>
  <c r="B1046" i="4" a="1"/>
  <c r="B1046" i="4" s="1"/>
  <c r="B1047" i="4" a="1"/>
  <c r="B1047" i="4" s="1"/>
  <c r="B1048" i="4" a="1"/>
  <c r="B1048" i="4" s="1"/>
  <c r="B1049" i="4" a="1"/>
  <c r="B1049" i="4" s="1"/>
  <c r="B1050" i="4" a="1"/>
  <c r="B1050" i="4" s="1"/>
  <c r="B1051" i="4" a="1"/>
  <c r="B1051" i="4" s="1"/>
  <c r="B1052" i="4" a="1"/>
  <c r="B1052" i="4" s="1"/>
  <c r="B1053" i="4" a="1"/>
  <c r="B1053" i="4" s="1"/>
  <c r="B1054" i="4" a="1"/>
  <c r="B1054" i="4" s="1"/>
  <c r="B1055" i="4" a="1"/>
  <c r="B1055" i="4" s="1"/>
  <c r="B1056" i="4" a="1"/>
  <c r="B1056" i="4" s="1"/>
  <c r="B1057" i="4" a="1"/>
  <c r="B1057" i="4" s="1"/>
  <c r="B1058" i="4" a="1"/>
  <c r="B1058" i="4" s="1"/>
  <c r="B1059" i="4" a="1"/>
  <c r="B1059" i="4" s="1"/>
  <c r="B1060" i="4" a="1"/>
  <c r="B1060" i="4" s="1"/>
  <c r="B1061" i="4" a="1"/>
  <c r="B1061" i="4" s="1"/>
  <c r="B1062" i="4" a="1"/>
  <c r="B1062" i="4" s="1"/>
  <c r="B1063" i="4" a="1"/>
  <c r="B1063" i="4" s="1"/>
  <c r="B1064" i="4" a="1"/>
  <c r="B1064" i="4" s="1"/>
  <c r="B1065" i="4" a="1"/>
  <c r="B1065" i="4" s="1"/>
  <c r="B1066" i="4" a="1"/>
  <c r="B1066" i="4" s="1"/>
  <c r="B1067" i="4" a="1"/>
  <c r="B1067" i="4" s="1"/>
  <c r="B1068" i="4" a="1"/>
  <c r="B1068" i="4" s="1"/>
  <c r="B1069" i="4" a="1"/>
  <c r="B1069" i="4" s="1"/>
  <c r="B1070" i="4" a="1"/>
  <c r="B1070" i="4" s="1"/>
  <c r="B1071" i="4" a="1"/>
  <c r="B1071" i="4" s="1"/>
  <c r="B1072" i="4" a="1"/>
  <c r="B1072" i="4" s="1"/>
  <c r="B1073" i="4" a="1"/>
  <c r="B1073" i="4" s="1"/>
  <c r="B1074" i="4" a="1"/>
  <c r="B1074" i="4" s="1"/>
  <c r="B1075" i="4" a="1"/>
  <c r="B1075" i="4" s="1"/>
  <c r="B1076" i="4" a="1"/>
  <c r="B1076" i="4" s="1"/>
  <c r="B1077" i="4" a="1"/>
  <c r="B1077" i="4" s="1"/>
  <c r="B1078" i="4" a="1"/>
  <c r="B1078" i="4" s="1"/>
  <c r="B1079" i="4" a="1"/>
  <c r="B1079" i="4" s="1"/>
  <c r="B1080" i="4" a="1"/>
  <c r="B1080" i="4" s="1"/>
  <c r="B1081" i="4" a="1"/>
  <c r="B1081" i="4" s="1"/>
  <c r="B1082" i="4" a="1"/>
  <c r="B1082" i="4" s="1"/>
  <c r="B1083" i="4" a="1"/>
  <c r="B1083" i="4" s="1"/>
  <c r="B1084" i="4" a="1"/>
  <c r="B1084" i="4" s="1"/>
  <c r="B1085" i="4" a="1"/>
  <c r="B1085" i="4" s="1"/>
  <c r="B1086" i="4" a="1"/>
  <c r="B1086" i="4" s="1"/>
  <c r="B1087" i="4" a="1"/>
  <c r="B1087" i="4" s="1"/>
  <c r="B1088" i="4" a="1"/>
  <c r="B1088" i="4" s="1"/>
  <c r="B1089" i="4" a="1"/>
  <c r="B1089" i="4" s="1"/>
  <c r="B1090" i="4" a="1"/>
  <c r="B1090" i="4" s="1"/>
  <c r="B1091" i="4" a="1"/>
  <c r="B1091" i="4" s="1"/>
  <c r="B1092" i="4" a="1"/>
  <c r="B1092" i="4" s="1"/>
  <c r="B1093" i="4" a="1"/>
  <c r="B1093" i="4" s="1"/>
  <c r="B1094" i="4" a="1"/>
  <c r="B1094" i="4" s="1"/>
  <c r="B1095" i="4" a="1"/>
  <c r="B1095" i="4" s="1"/>
  <c r="B1096" i="4" a="1"/>
  <c r="B1096" i="4" s="1"/>
  <c r="B1097" i="4" a="1"/>
  <c r="B1097" i="4" s="1"/>
  <c r="B1098" i="4" a="1"/>
  <c r="B1098" i="4" s="1"/>
  <c r="B1099" i="4" a="1"/>
  <c r="B1099" i="4" s="1"/>
  <c r="B1100" i="4" a="1"/>
  <c r="B1100" i="4" s="1"/>
  <c r="B1101" i="4" a="1"/>
  <c r="B1101" i="4" s="1"/>
  <c r="B1102" i="4" a="1"/>
  <c r="B1102" i="4" s="1"/>
  <c r="B1103" i="4" a="1"/>
  <c r="B1103" i="4" s="1"/>
  <c r="B1104" i="4" a="1"/>
  <c r="B1104" i="4" s="1"/>
  <c r="B1105" i="4" a="1"/>
  <c r="B1105" i="4" s="1"/>
  <c r="B1106" i="4" a="1"/>
  <c r="B1106" i="4" s="1"/>
  <c r="B1107" i="4" a="1"/>
  <c r="B1107" i="4" s="1"/>
  <c r="B1108" i="4" a="1"/>
  <c r="B1108" i="4" s="1"/>
  <c r="B1109" i="4" a="1"/>
  <c r="B1109" i="4" s="1"/>
  <c r="B1110" i="4" a="1"/>
  <c r="B1110" i="4" s="1"/>
  <c r="B9" i="4" a="1"/>
  <c r="B9" i="4" s="1"/>
  <c r="I3" i="5" l="1" a="1"/>
  <c r="I3" i="5" s="1"/>
  <c r="J4" i="5" a="1"/>
  <c r="J4" i="5" s="1"/>
  <c r="J5" i="5" s="1" a="1"/>
  <c r="J5" i="5" s="1"/>
  <c r="J6" i="5" s="1" a="1"/>
  <c r="J6" i="5" s="1"/>
  <c r="I4" i="5" l="1" a="1"/>
  <c r="I4" i="5" s="1"/>
  <c r="I5" i="5" s="1" a="1"/>
  <c r="I5" i="5" s="1"/>
  <c r="J7" i="5" a="1"/>
  <c r="J7" i="5" s="1"/>
  <c r="J8" i="5" s="1" a="1"/>
  <c r="J8" i="5" s="1"/>
  <c r="I6" i="5" l="1" a="1"/>
  <c r="I6" i="5" s="1"/>
  <c r="I7" i="5" l="1" a="1"/>
  <c r="I7" i="5" s="1"/>
  <c r="E6" i="4"/>
  <c r="I8" i="5" l="1" a="1"/>
  <c r="I8" i="5" s="1"/>
  <c r="I10" i="5" l="1" a="1"/>
  <c r="I10" i="5" s="1"/>
  <c r="F14" i="4" l="1" a="1"/>
  <c r="F14" i="4" s="1"/>
  <c r="F15" i="4" a="1"/>
  <c r="F15" i="4" s="1"/>
  <c r="F12" i="4" a="1"/>
  <c r="F12" i="4" s="1"/>
  <c r="F13" i="4" a="1"/>
  <c r="F13" i="4" s="1"/>
  <c r="F10" i="4" a="1"/>
  <c r="F10" i="4" s="1"/>
  <c r="F11" i="4" a="1"/>
  <c r="F11" i="4" s="1"/>
  <c r="F9" i="4" a="1"/>
  <c r="F9" i="4" s="1"/>
</calcChain>
</file>

<file path=xl/sharedStrings.xml><?xml version="1.0" encoding="utf-8"?>
<sst xmlns="http://schemas.openxmlformats.org/spreadsheetml/2006/main" count="5524" uniqueCount="20">
  <si>
    <t>Total Hours Spent</t>
  </si>
  <si>
    <t>TASK</t>
  </si>
  <si>
    <t>DATE</t>
  </si>
  <si>
    <t>END TIME</t>
  </si>
  <si>
    <t>TOTAL TIME</t>
  </si>
  <si>
    <t>REMARK</t>
  </si>
  <si>
    <t>START TIME</t>
  </si>
  <si>
    <t>Task</t>
  </si>
  <si>
    <t>Task 1</t>
  </si>
  <si>
    <t>Riyo</t>
  </si>
  <si>
    <t>bag</t>
  </si>
  <si>
    <t>cap</t>
  </si>
  <si>
    <t>Done</t>
  </si>
  <si>
    <t>Pause</t>
  </si>
  <si>
    <t>Pause Task</t>
  </si>
  <si>
    <t>Remark</t>
  </si>
  <si>
    <t>Start</t>
  </si>
  <si>
    <t>Start Remark</t>
  </si>
  <si>
    <t>Shindan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</si>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</sst>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-409]d/mmm/yy;@"/>
    <numFmt numFmtId="177" formatCode="hh:mm:ss\ AM/PM"/>
    <numFmt numFmtId="178" formatCode="hh:mm:ss"/>
    <numFmt numFmtId="179" formatCode="\-"/>
    <numFmt numFmtId="180" formatCode="dd/mmm/yyyy"/>
  </numFmts>
  <fonts count="16" x14ac:knownFonts="1"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b/>
      <sz val="10"/>
      <color theme="0"/>
      <name val="Trebuchet MS"/>
      <family val="2"/>
    </font>
    <font>
      <sz val="10"/>
      <color theme="1"/>
      <name val="Trebuchet MS"/>
      <family val="2"/>
    </font>
    <font>
      <b/>
      <sz val="18"/>
      <color theme="0"/>
      <name val="Bahnschrift"/>
      <family val="2"/>
    </font>
    <font>
      <b/>
      <sz val="12"/>
      <color theme="1"/>
      <name val="游ゴシック"/>
      <family val="2"/>
      <scheme val="minor"/>
    </font>
    <font>
      <sz val="11"/>
      <color rgb="FF006100"/>
      <name val="游ゴシック"/>
      <family val="2"/>
      <scheme val="minor"/>
    </font>
    <font>
      <sz val="11"/>
      <color rgb="FF9C6500"/>
      <name val="游ゴシック"/>
      <family val="2"/>
      <scheme val="minor"/>
    </font>
    <font>
      <sz val="11"/>
      <name val="Britannic Bold"/>
      <family val="2"/>
    </font>
    <font>
      <sz val="11"/>
      <color theme="0"/>
      <name val="Britannic Bold"/>
      <family val="2"/>
    </font>
    <font>
      <sz val="6"/>
      <name val="游ゴシック"/>
      <family val="3"/>
      <charset val="128"/>
      <scheme val="minor"/>
    </font>
    <font>
      <sz val="12"/>
      <color theme="1"/>
      <name val="Segoe UI Black"/>
      <family val="2"/>
    </font>
    <font>
      <b/>
      <sz val="12"/>
      <color theme="0"/>
      <name val="Segoe UI Black"/>
      <family val="2"/>
    </font>
    <font>
      <b/>
      <sz val="11"/>
      <color theme="0"/>
      <name val="游ゴシック"/>
      <family val="3"/>
      <charset val="128"/>
      <scheme val="minor"/>
    </font>
    <font>
      <b/>
      <sz val="20"/>
      <color theme="0"/>
      <name val="Rockwell Extra Bold"/>
      <family val="1"/>
    </font>
    <font>
      <b/>
      <sz val="11"/>
      <color theme="1"/>
      <name val="Trebuchet MS"/>
      <family val="2"/>
    </font>
  </fonts>
  <fills count="7">
    <fill>
      <patternFill patternType="none"/>
    </fill>
    <fill>
      <patternFill patternType="gray125"/>
    </fill>
    <fill>
      <patternFill patternType="solid">
        <fgColor rgb="FF7030A0"/>
        <bgColor theme="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0"/>
      </top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</cellStyleXfs>
  <cellXfs count="64">
    <xf numFmtId="0" fontId="0" fillId="0" borderId="0" xfId="0"/>
    <xf numFmtId="0" fontId="12" fillId="5" borderId="0" xfId="0" applyFont="1" applyFill="1" applyAlignment="1">
      <alignment horizontal="center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46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  <xf numFmtId="178" fontId="3" fillId="6" borderId="2" xfId="0" applyNumberFormat="1" applyFont="1" applyFill="1" applyBorder="1" applyAlignment="1" applyProtection="1">
      <alignment horizontal="center" vertical="center"/>
      <protection locked="0"/>
    </xf>
    <xf numFmtId="0" fontId="0" fillId="6" borderId="2" xfId="0" applyFill="1" applyBorder="1" applyProtection="1">
      <protection locked="0"/>
    </xf>
    <xf numFmtId="0" fontId="0" fillId="6" borderId="2" xfId="0" applyFill="1" applyBorder="1"/>
    <xf numFmtId="46" fontId="0" fillId="6" borderId="2" xfId="0" applyNumberFormat="1" applyFill="1" applyBorder="1" applyAlignment="1" applyProtection="1">
      <alignment vertical="center"/>
      <protection locked="0"/>
    </xf>
    <xf numFmtId="15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46" fontId="2" fillId="2" borderId="6" xfId="0" applyNumberFormat="1" applyFont="1" applyFill="1" applyBorder="1" applyAlignment="1" applyProtection="1">
      <alignment horizontal="center" vertical="center" wrapText="1"/>
      <protection locked="0"/>
    </xf>
    <xf numFmtId="179" fontId="0" fillId="6" borderId="2" xfId="0" applyNumberFormat="1" applyFill="1" applyBorder="1" applyAlignment="1" applyProtection="1">
      <alignment horizontal="center" vertical="center"/>
      <protection locked="0"/>
    </xf>
    <xf numFmtId="177" fontId="0" fillId="6" borderId="2" xfId="0" applyNumberFormat="1" applyFill="1" applyBorder="1" applyAlignment="1">
      <alignment horizontal="center" vertical="center"/>
    </xf>
    <xf numFmtId="177" fontId="3" fillId="6" borderId="2" xfId="0" applyNumberFormat="1" applyFont="1" applyFill="1" applyBorder="1" applyAlignment="1" applyProtection="1">
      <alignment horizontal="center" vertical="center"/>
      <protection locked="0"/>
    </xf>
    <xf numFmtId="177" fontId="0" fillId="6" borderId="2" xfId="0" applyNumberFormat="1" applyFill="1" applyBorder="1" applyProtection="1">
      <protection locked="0"/>
    </xf>
    <xf numFmtId="180" fontId="0" fillId="6" borderId="2" xfId="0" applyNumberFormat="1" applyFill="1" applyBorder="1" applyAlignment="1">
      <alignment horizontal="center" vertical="center"/>
    </xf>
    <xf numFmtId="180" fontId="0" fillId="6" borderId="2" xfId="0" applyNumberFormat="1" applyFill="1" applyBorder="1" applyProtection="1">
      <protection locked="0"/>
    </xf>
    <xf numFmtId="178" fontId="0" fillId="6" borderId="2" xfId="0" applyNumberFormat="1" applyFill="1" applyBorder="1"/>
    <xf numFmtId="0" fontId="0" fillId="6" borderId="0" xfId="0" applyFill="1" applyProtection="1">
      <protection locked="0"/>
    </xf>
    <xf numFmtId="178" fontId="9" fillId="6" borderId="0" xfId="3" applyNumberFormat="1" applyFont="1" applyFill="1" applyBorder="1" applyAlignment="1" applyProtection="1">
      <alignment horizontal="center" vertical="center"/>
      <protection locked="0"/>
    </xf>
    <xf numFmtId="0" fontId="9" fillId="6" borderId="0" xfId="3" applyFont="1" applyFill="1" applyBorder="1" applyAlignment="1" applyProtection="1">
      <alignment horizontal="center" vertical="center"/>
      <protection locked="0"/>
    </xf>
    <xf numFmtId="178" fontId="8" fillId="6" borderId="0" xfId="2" applyNumberFormat="1" applyFont="1" applyFill="1" applyBorder="1" applyAlignment="1" applyProtection="1">
      <alignment horizontal="center" vertical="center"/>
      <protection locked="0"/>
    </xf>
    <xf numFmtId="178" fontId="8" fillId="6" borderId="2" xfId="2" applyNumberFormat="1" applyFont="1" applyFill="1" applyBorder="1" applyAlignment="1" applyProtection="1">
      <alignment horizontal="center" vertical="center"/>
    </xf>
    <xf numFmtId="0" fontId="0" fillId="6" borderId="0" xfId="0" applyFill="1"/>
    <xf numFmtId="180" fontId="0" fillId="6" borderId="3" xfId="0" applyNumberFormat="1" applyFill="1" applyBorder="1" applyAlignment="1">
      <alignment horizontal="center" vertical="center"/>
    </xf>
    <xf numFmtId="177" fontId="0" fillId="6" borderId="3" xfId="0" applyNumberFormat="1" applyFill="1" applyBorder="1" applyAlignment="1">
      <alignment horizontal="center" vertical="center"/>
    </xf>
    <xf numFmtId="177" fontId="3" fillId="6" borderId="3" xfId="0" applyNumberFormat="1" applyFont="1" applyFill="1" applyBorder="1" applyAlignment="1" applyProtection="1">
      <alignment horizontal="center" vertical="center"/>
      <protection locked="0"/>
    </xf>
    <xf numFmtId="178" fontId="3" fillId="6" borderId="3" xfId="0" applyNumberFormat="1" applyFont="1" applyFill="1" applyBorder="1" applyAlignment="1" applyProtection="1">
      <alignment horizontal="center" vertical="center"/>
      <protection locked="0"/>
    </xf>
    <xf numFmtId="0" fontId="0" fillId="6" borderId="0" xfId="0" quotePrefix="1" applyFill="1" applyProtection="1">
      <protection locked="0"/>
    </xf>
    <xf numFmtId="46" fontId="0" fillId="6" borderId="0" xfId="0" applyNumberFormat="1" applyFill="1" applyProtection="1"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180" fontId="5" fillId="6" borderId="0" xfId="0" applyNumberFormat="1" applyFont="1" applyFill="1" applyAlignment="1" applyProtection="1">
      <alignment horizontal="center"/>
      <protection locked="0"/>
    </xf>
    <xf numFmtId="177" fontId="5" fillId="6" borderId="0" xfId="0" applyNumberFormat="1" applyFont="1" applyFill="1" applyAlignment="1" applyProtection="1">
      <alignment horizontal="left"/>
      <protection locked="0"/>
    </xf>
    <xf numFmtId="180" fontId="15" fillId="6" borderId="0" xfId="0" applyNumberFormat="1" applyFont="1" applyFill="1" applyAlignment="1" applyProtection="1">
      <alignment horizontal="center" vertical="center"/>
      <protection locked="0"/>
    </xf>
    <xf numFmtId="177" fontId="5" fillId="6" borderId="0" xfId="0" applyNumberFormat="1" applyFont="1" applyFill="1" applyAlignment="1" applyProtection="1">
      <alignment horizontal="center"/>
      <protection locked="0"/>
    </xf>
    <xf numFmtId="177" fontId="0" fillId="6" borderId="0" xfId="0" applyNumberFormat="1" applyFill="1" applyProtection="1">
      <protection locked="0"/>
    </xf>
    <xf numFmtId="178" fontId="0" fillId="6" borderId="0" xfId="0" applyNumberFormat="1" applyFill="1"/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180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177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178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46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0" xfId="1" applyFont="1" applyFill="1" applyBorder="1" applyAlignment="1" applyProtection="1">
      <alignment vertical="center"/>
      <protection locked="0"/>
    </xf>
    <xf numFmtId="180" fontId="4" fillId="6" borderId="0" xfId="1" applyNumberFormat="1" applyFont="1" applyFill="1" applyBorder="1" applyAlignment="1" applyProtection="1">
      <alignment vertical="center"/>
      <protection locked="0"/>
    </xf>
    <xf numFmtId="177" fontId="4" fillId="6" borderId="0" xfId="1" applyNumberFormat="1" applyFont="1" applyFill="1" applyBorder="1" applyAlignment="1" applyProtection="1">
      <alignment vertical="center"/>
      <protection locked="0"/>
    </xf>
    <xf numFmtId="178" fontId="4" fillId="6" borderId="0" xfId="1" applyNumberFormat="1" applyFont="1" applyFill="1" applyBorder="1" applyAlignment="1" applyProtection="1">
      <alignment vertical="center"/>
      <protection locked="0"/>
    </xf>
    <xf numFmtId="180" fontId="5" fillId="6" borderId="0" xfId="0" applyNumberFormat="1" applyFont="1" applyFill="1" applyProtection="1">
      <protection locked="0"/>
    </xf>
    <xf numFmtId="177" fontId="5" fillId="6" borderId="0" xfId="0" applyNumberFormat="1" applyFont="1" applyFill="1" applyProtection="1">
      <protection locked="0"/>
    </xf>
    <xf numFmtId="0" fontId="14" fillId="6" borderId="7" xfId="0" applyFont="1" applyFill="1" applyBorder="1" applyAlignment="1" applyProtection="1">
      <alignment horizontal="center" vertical="center"/>
      <protection locked="0"/>
    </xf>
    <xf numFmtId="49" fontId="13" fillId="6" borderId="5" xfId="0" applyNumberFormat="1" applyFont="1" applyFill="1" applyBorder="1" applyAlignment="1" applyProtection="1">
      <alignment horizontal="center"/>
      <protection locked="0"/>
    </xf>
    <xf numFmtId="0" fontId="13" fillId="6" borderId="0" xfId="0" applyFont="1" applyFill="1" applyAlignment="1" applyProtection="1">
      <alignment horizontal="center"/>
      <protection locked="0"/>
    </xf>
    <xf numFmtId="177" fontId="0" fillId="0" borderId="0" xfId="0" applyNumberFormat="1"/>
    <xf numFmtId="178" fontId="0" fillId="0" borderId="0" xfId="0" applyNumberFormat="1"/>
    <xf numFmtId="180" fontId="0" fillId="0" borderId="0" xfId="0" applyNumberFormat="1"/>
    <xf numFmtId="0" fontId="0" fillId="0" borderId="0" xfId="0" applyFill="1"/>
    <xf numFmtId="15" fontId="0" fillId="0" borderId="0" xfId="0" applyNumberFormat="1" applyFill="1"/>
    <xf numFmtId="177" fontId="0" fillId="0" borderId="0" xfId="0" applyNumberFormat="1" applyFill="1"/>
    <xf numFmtId="178" fontId="0" fillId="0" borderId="0" xfId="0" applyNumberFormat="1" applyFill="1"/>
    <xf numFmtId="0" fontId="0" fillId="0" borderId="2" xfId="0" applyFill="1" applyBorder="1" applyAlignment="1">
      <alignment horizontal="center"/>
    </xf>
    <xf numFmtId="0" fontId="0" fillId="0" borderId="2" xfId="0" applyFill="1" applyBorder="1" applyAlignment="1" applyProtection="1">
      <alignment horizontal="center"/>
      <protection locked="0"/>
    </xf>
    <xf numFmtId="176" fontId="3" fillId="0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11" fillId="0" borderId="4" xfId="0" applyFont="1" applyFill="1" applyBorder="1"/>
  </cellXfs>
  <cellStyles count="4">
    <cellStyle name="Good" xfId="2" builtinId="26"/>
    <cellStyle name="Neutral" xfId="3" builtinId="28"/>
    <cellStyle name="Normal" xfId="0" builtinId="0"/>
    <cellStyle name="Total" xfId="1" builtinId="25"/>
  </cellStyles>
  <dxfs count="3"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CC66FF"/>
      <color rgb="FFFFFF9F"/>
      <color rgb="FFFAFED6"/>
      <color rgb="FFE7FDFF"/>
      <color rgb="FFFEFF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601980</xdr:colOff>
      <xdr:row>9</xdr:row>
      <xdr:rowOff>167640</xdr:rowOff>
    </xdr:to>
    <xdr:sp macro="[0]!show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09600" y="548640"/>
          <a:ext cx="3040380" cy="126492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52D86-9833-414B-A46E-4EFBB6BDA41B}">
  <dimension ref="A1:F1103"/>
  <sheetViews>
    <sheetView workbookViewId="0">
      <selection sqref="A1:F1103"/>
    </sheetView>
  </sheetViews>
  <sheetFormatPr defaultRowHeight="18.75" x14ac:dyDescent="0.4"/>
  <cols>
    <col min="1" max="1" width="8.625" bestFit="1" customWidth="1"/>
    <col min="2" max="2" width="13.125" style="54" bestFit="1" customWidth="1"/>
    <col min="3" max="3" width="12.625" style="52" bestFit="1" customWidth="1"/>
    <col min="4" max="4" width="12.25" style="52" bestFit="1" customWidth="1"/>
    <col min="5" max="5" width="12.75" style="53" bestFit="1" customWidth="1"/>
    <col min="6" max="6" width="9.375" bestFit="1" customWidth="1"/>
  </cols>
  <sheetData>
    <row r="1" spans="1:6" x14ac:dyDescent="0.4">
      <c r="A1" t="s">
        <v>7</v>
      </c>
      <c r="B1" s="54" t="s">
        <v>2</v>
      </c>
      <c r="C1" s="52" t="s">
        <v>6</v>
      </c>
      <c r="D1" s="52" t="s">
        <v>3</v>
      </c>
      <c r="E1" s="53" t="s">
        <v>4</v>
      </c>
      <c r="F1" t="s">
        <v>5</v>
      </c>
    </row>
    <row r="2" spans="1:6" x14ac:dyDescent="0.4">
      <c r="A2" t="s">
        <v>10</v>
      </c>
      <c r="B2" s="54">
        <v>45418</v>
      </c>
      <c r="C2" s="52">
        <v>45418.978078703702</v>
      </c>
      <c r="D2" s="52">
        <v>45418.978212037036</v>
      </c>
      <c r="E2" s="53">
        <v>1.3333333481568843E-4</v>
      </c>
      <c r="F2" t="s">
        <v>12</v>
      </c>
    </row>
    <row r="3" spans="1:6" x14ac:dyDescent="0.4">
      <c r="A3" t="s">
        <v>9</v>
      </c>
      <c r="B3" s="54">
        <v>45418</v>
      </c>
      <c r="C3" s="52">
        <v>45418.978252314817</v>
      </c>
      <c r="D3" s="52">
        <v>45418.978495370371</v>
      </c>
      <c r="E3" s="53">
        <v>1.8518518481869251E-4</v>
      </c>
      <c r="F3" t="s">
        <v>13</v>
      </c>
    </row>
    <row r="4" spans="1:6" x14ac:dyDescent="0.4">
      <c r="A4" t="s">
        <v>11</v>
      </c>
      <c r="B4" s="54">
        <v>45418</v>
      </c>
      <c r="C4" s="52">
        <v>45418.978541666664</v>
      </c>
      <c r="D4" s="52">
        <v>45418.978735069446</v>
      </c>
      <c r="E4" s="53">
        <v>1.35532405693084E-4</v>
      </c>
      <c r="F4" t="s">
        <v>12</v>
      </c>
    </row>
    <row r="5" spans="1:6" x14ac:dyDescent="0.4">
      <c r="A5" t="s">
        <v>18</v>
      </c>
      <c r="B5" s="54">
        <v>45420</v>
      </c>
      <c r="C5" s="52">
        <v>45420.696111111109</v>
      </c>
      <c r="D5" s="52">
        <v>45420.696259722223</v>
      </c>
      <c r="E5" s="53">
        <v>1.0231481428490952E-4</v>
      </c>
      <c r="F5" t="s">
        <v>12</v>
      </c>
    </row>
    <row r="6" spans="1:6" x14ac:dyDescent="0.4">
      <c r="B6" s="54" t="s">
        <v>19</v>
      </c>
      <c r="C6" s="52" t="s">
        <v>19</v>
      </c>
      <c r="D6" s="52" t="s">
        <v>19</v>
      </c>
      <c r="E6" s="53" t="s">
        <v>19</v>
      </c>
      <c r="F6" t="s">
        <v>19</v>
      </c>
    </row>
    <row r="7" spans="1:6" x14ac:dyDescent="0.4">
      <c r="B7" s="54" t="s">
        <v>19</v>
      </c>
      <c r="C7" s="52" t="s">
        <v>19</v>
      </c>
      <c r="D7" s="52" t="s">
        <v>19</v>
      </c>
      <c r="E7" s="53" t="s">
        <v>19</v>
      </c>
      <c r="F7" t="s">
        <v>19</v>
      </c>
    </row>
    <row r="8" spans="1:6" x14ac:dyDescent="0.4">
      <c r="B8" s="54" t="s">
        <v>19</v>
      </c>
      <c r="C8" s="52" t="s">
        <v>19</v>
      </c>
      <c r="D8" s="52" t="s">
        <v>19</v>
      </c>
      <c r="E8" s="53" t="s">
        <v>19</v>
      </c>
      <c r="F8" t="s">
        <v>19</v>
      </c>
    </row>
    <row r="9" spans="1:6" x14ac:dyDescent="0.4">
      <c r="B9" s="54" t="s">
        <v>19</v>
      </c>
      <c r="C9" s="52" t="s">
        <v>19</v>
      </c>
      <c r="D9" s="52" t="s">
        <v>19</v>
      </c>
      <c r="E9" s="53" t="s">
        <v>19</v>
      </c>
      <c r="F9" t="s">
        <v>19</v>
      </c>
    </row>
    <row r="10" spans="1:6" x14ac:dyDescent="0.4">
      <c r="B10" s="54" t="s">
        <v>19</v>
      </c>
      <c r="C10" s="52" t="s">
        <v>19</v>
      </c>
      <c r="D10" s="52" t="s">
        <v>19</v>
      </c>
      <c r="E10" s="53" t="s">
        <v>19</v>
      </c>
      <c r="F10" t="s">
        <v>19</v>
      </c>
    </row>
    <row r="11" spans="1:6" x14ac:dyDescent="0.4">
      <c r="B11" s="54" t="s">
        <v>19</v>
      </c>
      <c r="C11" s="52" t="s">
        <v>19</v>
      </c>
      <c r="D11" s="52" t="s">
        <v>19</v>
      </c>
      <c r="E11" s="53" t="s">
        <v>19</v>
      </c>
      <c r="F11" t="s">
        <v>19</v>
      </c>
    </row>
    <row r="12" spans="1:6" x14ac:dyDescent="0.4">
      <c r="B12" s="54" t="s">
        <v>19</v>
      </c>
      <c r="C12" s="52" t="s">
        <v>19</v>
      </c>
      <c r="D12" s="52" t="s">
        <v>19</v>
      </c>
      <c r="E12" s="53" t="s">
        <v>19</v>
      </c>
      <c r="F12" t="s">
        <v>19</v>
      </c>
    </row>
    <row r="13" spans="1:6" x14ac:dyDescent="0.4">
      <c r="B13" s="54" t="s">
        <v>19</v>
      </c>
      <c r="C13" s="52" t="s">
        <v>19</v>
      </c>
      <c r="D13" s="52" t="s">
        <v>19</v>
      </c>
      <c r="E13" s="53" t="s">
        <v>19</v>
      </c>
      <c r="F13" t="s">
        <v>19</v>
      </c>
    </row>
    <row r="14" spans="1:6" x14ac:dyDescent="0.4">
      <c r="B14" s="54" t="s">
        <v>19</v>
      </c>
      <c r="C14" s="52" t="s">
        <v>19</v>
      </c>
      <c r="D14" s="52" t="s">
        <v>19</v>
      </c>
      <c r="E14" s="53" t="s">
        <v>19</v>
      </c>
      <c r="F14" t="s">
        <v>19</v>
      </c>
    </row>
    <row r="15" spans="1:6" x14ac:dyDescent="0.4">
      <c r="B15" s="54" t="s">
        <v>19</v>
      </c>
      <c r="C15" s="52" t="s">
        <v>19</v>
      </c>
      <c r="D15" s="52" t="s">
        <v>19</v>
      </c>
      <c r="E15" s="53" t="s">
        <v>19</v>
      </c>
      <c r="F15" t="s">
        <v>19</v>
      </c>
    </row>
    <row r="16" spans="1:6" x14ac:dyDescent="0.4">
      <c r="B16" s="54" t="s">
        <v>19</v>
      </c>
      <c r="C16" s="52" t="s">
        <v>19</v>
      </c>
      <c r="D16" s="52" t="s">
        <v>19</v>
      </c>
      <c r="E16" s="53" t="s">
        <v>19</v>
      </c>
      <c r="F16" t="s">
        <v>19</v>
      </c>
    </row>
    <row r="17" spans="2:6" x14ac:dyDescent="0.4">
      <c r="B17" s="54" t="s">
        <v>19</v>
      </c>
      <c r="C17" s="52" t="s">
        <v>19</v>
      </c>
      <c r="D17" s="52" t="s">
        <v>19</v>
      </c>
      <c r="E17" s="53" t="s">
        <v>19</v>
      </c>
      <c r="F17" t="s">
        <v>19</v>
      </c>
    </row>
    <row r="18" spans="2:6" x14ac:dyDescent="0.4">
      <c r="B18" s="54" t="s">
        <v>19</v>
      </c>
      <c r="C18" s="52" t="s">
        <v>19</v>
      </c>
      <c r="D18" s="52" t="s">
        <v>19</v>
      </c>
      <c r="E18" s="53" t="s">
        <v>19</v>
      </c>
      <c r="F18" t="s">
        <v>19</v>
      </c>
    </row>
    <row r="19" spans="2:6" x14ac:dyDescent="0.4">
      <c r="B19" s="54" t="s">
        <v>19</v>
      </c>
      <c r="C19" s="52" t="s">
        <v>19</v>
      </c>
      <c r="D19" s="52" t="s">
        <v>19</v>
      </c>
      <c r="E19" s="53" t="s">
        <v>19</v>
      </c>
      <c r="F19" t="s">
        <v>19</v>
      </c>
    </row>
    <row r="20" spans="2:6" x14ac:dyDescent="0.4">
      <c r="B20" s="54" t="s">
        <v>19</v>
      </c>
      <c r="C20" s="52" t="s">
        <v>19</v>
      </c>
      <c r="D20" s="52" t="s">
        <v>19</v>
      </c>
      <c r="E20" s="53" t="s">
        <v>19</v>
      </c>
      <c r="F20" t="s">
        <v>19</v>
      </c>
    </row>
    <row r="21" spans="2:6" x14ac:dyDescent="0.4">
      <c r="B21" s="54" t="s">
        <v>19</v>
      </c>
      <c r="C21" s="52" t="s">
        <v>19</v>
      </c>
      <c r="D21" s="52" t="s">
        <v>19</v>
      </c>
      <c r="E21" s="53" t="s">
        <v>19</v>
      </c>
      <c r="F21" t="s">
        <v>19</v>
      </c>
    </row>
    <row r="22" spans="2:6" x14ac:dyDescent="0.4">
      <c r="B22" s="54" t="s">
        <v>19</v>
      </c>
      <c r="C22" s="52" t="s">
        <v>19</v>
      </c>
      <c r="D22" s="52" t="s">
        <v>19</v>
      </c>
      <c r="E22" s="53" t="s">
        <v>19</v>
      </c>
      <c r="F22" t="s">
        <v>19</v>
      </c>
    </row>
    <row r="23" spans="2:6" x14ac:dyDescent="0.4">
      <c r="B23" s="54" t="s">
        <v>19</v>
      </c>
      <c r="C23" s="52" t="s">
        <v>19</v>
      </c>
      <c r="D23" s="52" t="s">
        <v>19</v>
      </c>
      <c r="E23" s="53" t="s">
        <v>19</v>
      </c>
      <c r="F23" t="s">
        <v>19</v>
      </c>
    </row>
    <row r="24" spans="2:6" x14ac:dyDescent="0.4">
      <c r="B24" s="54" t="s">
        <v>19</v>
      </c>
      <c r="C24" s="52" t="s">
        <v>19</v>
      </c>
      <c r="D24" s="52" t="s">
        <v>19</v>
      </c>
      <c r="E24" s="53" t="s">
        <v>19</v>
      </c>
      <c r="F24" t="s">
        <v>19</v>
      </c>
    </row>
    <row r="25" spans="2:6" x14ac:dyDescent="0.4">
      <c r="B25" s="54" t="s">
        <v>19</v>
      </c>
      <c r="C25" s="52" t="s">
        <v>19</v>
      </c>
      <c r="D25" s="52" t="s">
        <v>19</v>
      </c>
      <c r="E25" s="53" t="s">
        <v>19</v>
      </c>
      <c r="F25" t="s">
        <v>19</v>
      </c>
    </row>
    <row r="26" spans="2:6" x14ac:dyDescent="0.4">
      <c r="B26" s="54" t="s">
        <v>19</v>
      </c>
      <c r="C26" s="52" t="s">
        <v>19</v>
      </c>
      <c r="D26" s="52" t="s">
        <v>19</v>
      </c>
      <c r="E26" s="53" t="s">
        <v>19</v>
      </c>
      <c r="F26" t="s">
        <v>19</v>
      </c>
    </row>
    <row r="27" spans="2:6" x14ac:dyDescent="0.4">
      <c r="B27" s="54" t="s">
        <v>19</v>
      </c>
      <c r="C27" s="52" t="s">
        <v>19</v>
      </c>
      <c r="D27" s="52" t="s">
        <v>19</v>
      </c>
      <c r="E27" s="53" t="s">
        <v>19</v>
      </c>
      <c r="F27" t="s">
        <v>19</v>
      </c>
    </row>
    <row r="28" spans="2:6" x14ac:dyDescent="0.4">
      <c r="B28" s="54" t="s">
        <v>19</v>
      </c>
      <c r="C28" s="52" t="s">
        <v>19</v>
      </c>
      <c r="D28" s="52" t="s">
        <v>19</v>
      </c>
      <c r="E28" s="53" t="s">
        <v>19</v>
      </c>
      <c r="F28" t="s">
        <v>19</v>
      </c>
    </row>
    <row r="29" spans="2:6" x14ac:dyDescent="0.4">
      <c r="B29" s="54" t="s">
        <v>19</v>
      </c>
      <c r="C29" s="52" t="s">
        <v>19</v>
      </c>
      <c r="D29" s="52" t="s">
        <v>19</v>
      </c>
      <c r="E29" s="53" t="s">
        <v>19</v>
      </c>
      <c r="F29" t="s">
        <v>19</v>
      </c>
    </row>
    <row r="30" spans="2:6" x14ac:dyDescent="0.4">
      <c r="B30" s="54" t="s">
        <v>19</v>
      </c>
      <c r="C30" s="52" t="s">
        <v>19</v>
      </c>
      <c r="D30" s="52" t="s">
        <v>19</v>
      </c>
      <c r="E30" s="53" t="s">
        <v>19</v>
      </c>
      <c r="F30" t="s">
        <v>19</v>
      </c>
    </row>
    <row r="31" spans="2:6" x14ac:dyDescent="0.4">
      <c r="B31" s="54" t="s">
        <v>19</v>
      </c>
      <c r="C31" s="52" t="s">
        <v>19</v>
      </c>
      <c r="D31" s="52" t="s">
        <v>19</v>
      </c>
      <c r="E31" s="53" t="s">
        <v>19</v>
      </c>
      <c r="F31" t="s">
        <v>19</v>
      </c>
    </row>
    <row r="32" spans="2:6" x14ac:dyDescent="0.4">
      <c r="B32" s="54" t="s">
        <v>19</v>
      </c>
      <c r="C32" s="52" t="s">
        <v>19</v>
      </c>
      <c r="D32" s="52" t="s">
        <v>19</v>
      </c>
      <c r="E32" s="53" t="s">
        <v>19</v>
      </c>
      <c r="F32" t="s">
        <v>19</v>
      </c>
    </row>
    <row r="33" spans="2:6" x14ac:dyDescent="0.4">
      <c r="B33" s="54" t="s">
        <v>19</v>
      </c>
      <c r="C33" s="52" t="s">
        <v>19</v>
      </c>
      <c r="D33" s="52" t="s">
        <v>19</v>
      </c>
      <c r="E33" s="53" t="s">
        <v>19</v>
      </c>
      <c r="F33" t="s">
        <v>19</v>
      </c>
    </row>
    <row r="34" spans="2:6" x14ac:dyDescent="0.4">
      <c r="B34" s="54" t="s">
        <v>19</v>
      </c>
      <c r="C34" s="52" t="s">
        <v>19</v>
      </c>
      <c r="D34" s="52" t="s">
        <v>19</v>
      </c>
      <c r="E34" s="53" t="s">
        <v>19</v>
      </c>
      <c r="F34" t="s">
        <v>19</v>
      </c>
    </row>
    <row r="35" spans="2:6" x14ac:dyDescent="0.4">
      <c r="B35" s="54" t="s">
        <v>19</v>
      </c>
      <c r="C35" s="52" t="s">
        <v>19</v>
      </c>
      <c r="D35" s="52" t="s">
        <v>19</v>
      </c>
      <c r="E35" s="53" t="s">
        <v>19</v>
      </c>
      <c r="F35" t="s">
        <v>19</v>
      </c>
    </row>
    <row r="36" spans="2:6" x14ac:dyDescent="0.4">
      <c r="B36" s="54" t="s">
        <v>19</v>
      </c>
      <c r="C36" s="52" t="s">
        <v>19</v>
      </c>
      <c r="D36" s="52" t="s">
        <v>19</v>
      </c>
      <c r="E36" s="53" t="s">
        <v>19</v>
      </c>
      <c r="F36" t="s">
        <v>19</v>
      </c>
    </row>
    <row r="37" spans="2:6" x14ac:dyDescent="0.4">
      <c r="B37" s="54" t="s">
        <v>19</v>
      </c>
      <c r="C37" s="52" t="s">
        <v>19</v>
      </c>
      <c r="D37" s="52" t="s">
        <v>19</v>
      </c>
      <c r="E37" s="53" t="s">
        <v>19</v>
      </c>
      <c r="F37" t="s">
        <v>19</v>
      </c>
    </row>
    <row r="38" spans="2:6" x14ac:dyDescent="0.4">
      <c r="B38" s="54" t="s">
        <v>19</v>
      </c>
      <c r="C38" s="52" t="s">
        <v>19</v>
      </c>
      <c r="D38" s="52" t="s">
        <v>19</v>
      </c>
      <c r="E38" s="53" t="s">
        <v>19</v>
      </c>
      <c r="F38" t="s">
        <v>19</v>
      </c>
    </row>
    <row r="39" spans="2:6" x14ac:dyDescent="0.4">
      <c r="B39" s="54" t="s">
        <v>19</v>
      </c>
      <c r="C39" s="52" t="s">
        <v>19</v>
      </c>
      <c r="D39" s="52" t="s">
        <v>19</v>
      </c>
      <c r="E39" s="53" t="s">
        <v>19</v>
      </c>
      <c r="F39" t="s">
        <v>19</v>
      </c>
    </row>
    <row r="40" spans="2:6" x14ac:dyDescent="0.4">
      <c r="B40" s="54" t="s">
        <v>19</v>
      </c>
      <c r="C40" s="52" t="s">
        <v>19</v>
      </c>
      <c r="D40" s="52" t="s">
        <v>19</v>
      </c>
      <c r="E40" s="53" t="s">
        <v>19</v>
      </c>
      <c r="F40" t="s">
        <v>19</v>
      </c>
    </row>
    <row r="41" spans="2:6" x14ac:dyDescent="0.4">
      <c r="B41" s="54" t="s">
        <v>19</v>
      </c>
      <c r="C41" s="52" t="s">
        <v>19</v>
      </c>
      <c r="D41" s="52" t="s">
        <v>19</v>
      </c>
      <c r="E41" s="53" t="s">
        <v>19</v>
      </c>
      <c r="F41" t="s">
        <v>19</v>
      </c>
    </row>
    <row r="42" spans="2:6" x14ac:dyDescent="0.4">
      <c r="B42" s="54" t="s">
        <v>19</v>
      </c>
      <c r="C42" s="52" t="s">
        <v>19</v>
      </c>
      <c r="D42" s="52" t="s">
        <v>19</v>
      </c>
      <c r="E42" s="53" t="s">
        <v>19</v>
      </c>
      <c r="F42" t="s">
        <v>19</v>
      </c>
    </row>
    <row r="43" spans="2:6" x14ac:dyDescent="0.4">
      <c r="B43" s="54" t="s">
        <v>19</v>
      </c>
      <c r="C43" s="52" t="s">
        <v>19</v>
      </c>
      <c r="D43" s="52" t="s">
        <v>19</v>
      </c>
      <c r="E43" s="53" t="s">
        <v>19</v>
      </c>
      <c r="F43" t="s">
        <v>19</v>
      </c>
    </row>
    <row r="44" spans="2:6" x14ac:dyDescent="0.4">
      <c r="B44" s="54" t="s">
        <v>19</v>
      </c>
      <c r="C44" s="52" t="s">
        <v>19</v>
      </c>
      <c r="D44" s="52" t="s">
        <v>19</v>
      </c>
      <c r="E44" s="53" t="s">
        <v>19</v>
      </c>
      <c r="F44" t="s">
        <v>19</v>
      </c>
    </row>
    <row r="45" spans="2:6" x14ac:dyDescent="0.4">
      <c r="B45" s="54" t="s">
        <v>19</v>
      </c>
      <c r="C45" s="52" t="s">
        <v>19</v>
      </c>
      <c r="D45" s="52" t="s">
        <v>19</v>
      </c>
      <c r="E45" s="53" t="s">
        <v>19</v>
      </c>
      <c r="F45" t="s">
        <v>19</v>
      </c>
    </row>
    <row r="46" spans="2:6" x14ac:dyDescent="0.4">
      <c r="B46" s="54" t="s">
        <v>19</v>
      </c>
      <c r="C46" s="52" t="s">
        <v>19</v>
      </c>
      <c r="D46" s="52" t="s">
        <v>19</v>
      </c>
      <c r="E46" s="53" t="s">
        <v>19</v>
      </c>
      <c r="F46" t="s">
        <v>19</v>
      </c>
    </row>
    <row r="47" spans="2:6" x14ac:dyDescent="0.4">
      <c r="B47" s="54" t="s">
        <v>19</v>
      </c>
      <c r="C47" s="52" t="s">
        <v>19</v>
      </c>
      <c r="D47" s="52" t="s">
        <v>19</v>
      </c>
      <c r="E47" s="53" t="s">
        <v>19</v>
      </c>
      <c r="F47" t="s">
        <v>19</v>
      </c>
    </row>
    <row r="48" spans="2:6" x14ac:dyDescent="0.4">
      <c r="B48" s="54" t="s">
        <v>19</v>
      </c>
      <c r="C48" s="52" t="s">
        <v>19</v>
      </c>
      <c r="D48" s="52" t="s">
        <v>19</v>
      </c>
      <c r="E48" s="53" t="s">
        <v>19</v>
      </c>
      <c r="F48" t="s">
        <v>19</v>
      </c>
    </row>
    <row r="49" spans="2:6" x14ac:dyDescent="0.4">
      <c r="B49" s="54" t="s">
        <v>19</v>
      </c>
      <c r="C49" s="52" t="s">
        <v>19</v>
      </c>
      <c r="D49" s="52" t="s">
        <v>19</v>
      </c>
      <c r="E49" s="53" t="s">
        <v>19</v>
      </c>
      <c r="F49" t="s">
        <v>19</v>
      </c>
    </row>
    <row r="50" spans="2:6" x14ac:dyDescent="0.4">
      <c r="B50" s="54" t="s">
        <v>19</v>
      </c>
      <c r="C50" s="52" t="s">
        <v>19</v>
      </c>
      <c r="D50" s="52" t="s">
        <v>19</v>
      </c>
      <c r="E50" s="53" t="s">
        <v>19</v>
      </c>
      <c r="F50" t="s">
        <v>19</v>
      </c>
    </row>
    <row r="51" spans="2:6" x14ac:dyDescent="0.4">
      <c r="B51" s="54" t="s">
        <v>19</v>
      </c>
      <c r="C51" s="52" t="s">
        <v>19</v>
      </c>
      <c r="D51" s="52" t="s">
        <v>19</v>
      </c>
      <c r="E51" s="53" t="s">
        <v>19</v>
      </c>
      <c r="F51" t="s">
        <v>19</v>
      </c>
    </row>
    <row r="52" spans="2:6" x14ac:dyDescent="0.4">
      <c r="B52" s="54" t="s">
        <v>19</v>
      </c>
      <c r="C52" s="52" t="s">
        <v>19</v>
      </c>
      <c r="D52" s="52" t="s">
        <v>19</v>
      </c>
      <c r="E52" s="53" t="s">
        <v>19</v>
      </c>
      <c r="F52" t="s">
        <v>19</v>
      </c>
    </row>
    <row r="53" spans="2:6" x14ac:dyDescent="0.4">
      <c r="B53" s="54" t="s">
        <v>19</v>
      </c>
      <c r="C53" s="52" t="s">
        <v>19</v>
      </c>
      <c r="D53" s="52" t="s">
        <v>19</v>
      </c>
      <c r="E53" s="53" t="s">
        <v>19</v>
      </c>
      <c r="F53" t="s">
        <v>19</v>
      </c>
    </row>
    <row r="54" spans="2:6" x14ac:dyDescent="0.4">
      <c r="B54" s="54" t="s">
        <v>19</v>
      </c>
      <c r="C54" s="52" t="s">
        <v>19</v>
      </c>
      <c r="D54" s="52" t="s">
        <v>19</v>
      </c>
      <c r="E54" s="53" t="s">
        <v>19</v>
      </c>
      <c r="F54" t="s">
        <v>19</v>
      </c>
    </row>
    <row r="55" spans="2:6" x14ac:dyDescent="0.4">
      <c r="B55" s="54" t="s">
        <v>19</v>
      </c>
      <c r="C55" s="52" t="s">
        <v>19</v>
      </c>
      <c r="D55" s="52" t="s">
        <v>19</v>
      </c>
      <c r="E55" s="53" t="s">
        <v>19</v>
      </c>
      <c r="F55" t="s">
        <v>19</v>
      </c>
    </row>
    <row r="56" spans="2:6" x14ac:dyDescent="0.4">
      <c r="B56" s="54" t="s">
        <v>19</v>
      </c>
      <c r="C56" s="52" t="s">
        <v>19</v>
      </c>
      <c r="D56" s="52" t="s">
        <v>19</v>
      </c>
      <c r="E56" s="53" t="s">
        <v>19</v>
      </c>
      <c r="F56" t="s">
        <v>19</v>
      </c>
    </row>
    <row r="57" spans="2:6" x14ac:dyDescent="0.4">
      <c r="B57" s="54" t="s">
        <v>19</v>
      </c>
      <c r="C57" s="52" t="s">
        <v>19</v>
      </c>
      <c r="D57" s="52" t="s">
        <v>19</v>
      </c>
      <c r="E57" s="53" t="s">
        <v>19</v>
      </c>
      <c r="F57" t="s">
        <v>19</v>
      </c>
    </row>
    <row r="58" spans="2:6" x14ac:dyDescent="0.4">
      <c r="B58" s="54" t="s">
        <v>19</v>
      </c>
      <c r="C58" s="52" t="s">
        <v>19</v>
      </c>
      <c r="D58" s="52" t="s">
        <v>19</v>
      </c>
      <c r="E58" s="53" t="s">
        <v>19</v>
      </c>
      <c r="F58" t="s">
        <v>19</v>
      </c>
    </row>
    <row r="59" spans="2:6" x14ac:dyDescent="0.4">
      <c r="B59" s="54" t="s">
        <v>19</v>
      </c>
      <c r="C59" s="52" t="s">
        <v>19</v>
      </c>
      <c r="D59" s="52" t="s">
        <v>19</v>
      </c>
      <c r="E59" s="53" t="s">
        <v>19</v>
      </c>
      <c r="F59" t="s">
        <v>19</v>
      </c>
    </row>
    <row r="60" spans="2:6" x14ac:dyDescent="0.4">
      <c r="B60" s="54" t="s">
        <v>19</v>
      </c>
      <c r="C60" s="52" t="s">
        <v>19</v>
      </c>
      <c r="D60" s="52" t="s">
        <v>19</v>
      </c>
      <c r="E60" s="53" t="s">
        <v>19</v>
      </c>
      <c r="F60" t="s">
        <v>19</v>
      </c>
    </row>
    <row r="61" spans="2:6" x14ac:dyDescent="0.4">
      <c r="B61" s="54" t="s">
        <v>19</v>
      </c>
      <c r="C61" s="52" t="s">
        <v>19</v>
      </c>
      <c r="D61" s="52" t="s">
        <v>19</v>
      </c>
      <c r="E61" s="53" t="s">
        <v>19</v>
      </c>
      <c r="F61" t="s">
        <v>19</v>
      </c>
    </row>
    <row r="62" spans="2:6" x14ac:dyDescent="0.4">
      <c r="B62" s="54" t="s">
        <v>19</v>
      </c>
      <c r="C62" s="52" t="s">
        <v>19</v>
      </c>
      <c r="D62" s="52" t="s">
        <v>19</v>
      </c>
      <c r="E62" s="53" t="s">
        <v>19</v>
      </c>
      <c r="F62" t="s">
        <v>19</v>
      </c>
    </row>
    <row r="63" spans="2:6" x14ac:dyDescent="0.4">
      <c r="B63" s="54" t="s">
        <v>19</v>
      </c>
      <c r="C63" s="52" t="s">
        <v>19</v>
      </c>
      <c r="D63" s="52" t="s">
        <v>19</v>
      </c>
      <c r="E63" s="53" t="s">
        <v>19</v>
      </c>
      <c r="F63" t="s">
        <v>19</v>
      </c>
    </row>
    <row r="64" spans="2:6" x14ac:dyDescent="0.4">
      <c r="B64" s="54" t="s">
        <v>19</v>
      </c>
      <c r="C64" s="52" t="s">
        <v>19</v>
      </c>
      <c r="D64" s="52" t="s">
        <v>19</v>
      </c>
      <c r="E64" s="53" t="s">
        <v>19</v>
      </c>
      <c r="F64" t="s">
        <v>19</v>
      </c>
    </row>
    <row r="65" spans="2:6" x14ac:dyDescent="0.4">
      <c r="B65" s="54" t="s">
        <v>19</v>
      </c>
      <c r="C65" s="52" t="s">
        <v>19</v>
      </c>
      <c r="D65" s="52" t="s">
        <v>19</v>
      </c>
      <c r="E65" s="53" t="s">
        <v>19</v>
      </c>
      <c r="F65" t="s">
        <v>19</v>
      </c>
    </row>
    <row r="66" spans="2:6" x14ac:dyDescent="0.4">
      <c r="B66" s="54" t="s">
        <v>19</v>
      </c>
      <c r="C66" s="52" t="s">
        <v>19</v>
      </c>
      <c r="D66" s="52" t="s">
        <v>19</v>
      </c>
      <c r="E66" s="53" t="s">
        <v>19</v>
      </c>
      <c r="F66" t="s">
        <v>19</v>
      </c>
    </row>
    <row r="67" spans="2:6" x14ac:dyDescent="0.4">
      <c r="B67" s="54" t="s">
        <v>19</v>
      </c>
      <c r="C67" s="52" t="s">
        <v>19</v>
      </c>
      <c r="D67" s="52" t="s">
        <v>19</v>
      </c>
      <c r="E67" s="53" t="s">
        <v>19</v>
      </c>
      <c r="F67" t="s">
        <v>19</v>
      </c>
    </row>
    <row r="68" spans="2:6" x14ac:dyDescent="0.4">
      <c r="B68" s="54" t="s">
        <v>19</v>
      </c>
      <c r="C68" s="52" t="s">
        <v>19</v>
      </c>
      <c r="D68" s="52" t="s">
        <v>19</v>
      </c>
      <c r="E68" s="53" t="s">
        <v>19</v>
      </c>
      <c r="F68" t="s">
        <v>19</v>
      </c>
    </row>
    <row r="69" spans="2:6" x14ac:dyDescent="0.4">
      <c r="B69" s="54" t="s">
        <v>19</v>
      </c>
      <c r="C69" s="52" t="s">
        <v>19</v>
      </c>
      <c r="D69" s="52" t="s">
        <v>19</v>
      </c>
      <c r="E69" s="53" t="s">
        <v>19</v>
      </c>
      <c r="F69" t="s">
        <v>19</v>
      </c>
    </row>
    <row r="70" spans="2:6" x14ac:dyDescent="0.4">
      <c r="B70" s="54" t="s">
        <v>19</v>
      </c>
      <c r="C70" s="52" t="s">
        <v>19</v>
      </c>
      <c r="D70" s="52" t="s">
        <v>19</v>
      </c>
      <c r="E70" s="53" t="s">
        <v>19</v>
      </c>
      <c r="F70" t="s">
        <v>19</v>
      </c>
    </row>
    <row r="71" spans="2:6" x14ac:dyDescent="0.4">
      <c r="B71" s="54" t="s">
        <v>19</v>
      </c>
      <c r="C71" s="52" t="s">
        <v>19</v>
      </c>
      <c r="D71" s="52" t="s">
        <v>19</v>
      </c>
      <c r="E71" s="53" t="s">
        <v>19</v>
      </c>
      <c r="F71" t="s">
        <v>19</v>
      </c>
    </row>
    <row r="72" spans="2:6" x14ac:dyDescent="0.4">
      <c r="B72" s="54" t="s">
        <v>19</v>
      </c>
      <c r="C72" s="52" t="s">
        <v>19</v>
      </c>
      <c r="D72" s="52" t="s">
        <v>19</v>
      </c>
      <c r="E72" s="53" t="s">
        <v>19</v>
      </c>
      <c r="F72" t="s">
        <v>19</v>
      </c>
    </row>
    <row r="73" spans="2:6" x14ac:dyDescent="0.4">
      <c r="B73" s="54" t="s">
        <v>19</v>
      </c>
      <c r="C73" s="52" t="s">
        <v>19</v>
      </c>
      <c r="D73" s="52" t="s">
        <v>19</v>
      </c>
      <c r="E73" s="53" t="s">
        <v>19</v>
      </c>
      <c r="F73" t="s">
        <v>19</v>
      </c>
    </row>
    <row r="74" spans="2:6" x14ac:dyDescent="0.4">
      <c r="B74" s="54" t="s">
        <v>19</v>
      </c>
      <c r="C74" s="52" t="s">
        <v>19</v>
      </c>
      <c r="D74" s="52" t="s">
        <v>19</v>
      </c>
      <c r="E74" s="53" t="s">
        <v>19</v>
      </c>
      <c r="F74" t="s">
        <v>19</v>
      </c>
    </row>
    <row r="75" spans="2:6" x14ac:dyDescent="0.4">
      <c r="B75" s="54" t="s">
        <v>19</v>
      </c>
      <c r="C75" s="52" t="s">
        <v>19</v>
      </c>
      <c r="D75" s="52" t="s">
        <v>19</v>
      </c>
      <c r="E75" s="53" t="s">
        <v>19</v>
      </c>
      <c r="F75" t="s">
        <v>19</v>
      </c>
    </row>
    <row r="76" spans="2:6" x14ac:dyDescent="0.4">
      <c r="B76" s="54" t="s">
        <v>19</v>
      </c>
      <c r="C76" s="52" t="s">
        <v>19</v>
      </c>
      <c r="D76" s="52" t="s">
        <v>19</v>
      </c>
      <c r="E76" s="53" t="s">
        <v>19</v>
      </c>
      <c r="F76" t="s">
        <v>19</v>
      </c>
    </row>
    <row r="77" spans="2:6" x14ac:dyDescent="0.4">
      <c r="B77" s="54" t="s">
        <v>19</v>
      </c>
      <c r="C77" s="52" t="s">
        <v>19</v>
      </c>
      <c r="D77" s="52" t="s">
        <v>19</v>
      </c>
      <c r="E77" s="53" t="s">
        <v>19</v>
      </c>
      <c r="F77" t="s">
        <v>19</v>
      </c>
    </row>
    <row r="78" spans="2:6" x14ac:dyDescent="0.4">
      <c r="B78" s="54" t="s">
        <v>19</v>
      </c>
      <c r="C78" s="52" t="s">
        <v>19</v>
      </c>
      <c r="D78" s="52" t="s">
        <v>19</v>
      </c>
      <c r="E78" s="53" t="s">
        <v>19</v>
      </c>
      <c r="F78" t="s">
        <v>19</v>
      </c>
    </row>
    <row r="79" spans="2:6" x14ac:dyDescent="0.4">
      <c r="B79" s="54" t="s">
        <v>19</v>
      </c>
      <c r="C79" s="52" t="s">
        <v>19</v>
      </c>
      <c r="D79" s="52" t="s">
        <v>19</v>
      </c>
      <c r="E79" s="53" t="s">
        <v>19</v>
      </c>
      <c r="F79" t="s">
        <v>19</v>
      </c>
    </row>
    <row r="80" spans="2:6" x14ac:dyDescent="0.4">
      <c r="B80" s="54" t="s">
        <v>19</v>
      </c>
      <c r="C80" s="52" t="s">
        <v>19</v>
      </c>
      <c r="D80" s="52" t="s">
        <v>19</v>
      </c>
      <c r="E80" s="53" t="s">
        <v>19</v>
      </c>
      <c r="F80" t="s">
        <v>19</v>
      </c>
    </row>
    <row r="81" spans="2:6" x14ac:dyDescent="0.4">
      <c r="B81" s="54" t="s">
        <v>19</v>
      </c>
      <c r="C81" s="52" t="s">
        <v>19</v>
      </c>
      <c r="D81" s="52" t="s">
        <v>19</v>
      </c>
      <c r="E81" s="53" t="s">
        <v>19</v>
      </c>
      <c r="F81" t="s">
        <v>19</v>
      </c>
    </row>
    <row r="82" spans="2:6" x14ac:dyDescent="0.4">
      <c r="B82" s="54" t="s">
        <v>19</v>
      </c>
      <c r="C82" s="52" t="s">
        <v>19</v>
      </c>
      <c r="D82" s="52" t="s">
        <v>19</v>
      </c>
      <c r="E82" s="53" t="s">
        <v>19</v>
      </c>
      <c r="F82" t="s">
        <v>19</v>
      </c>
    </row>
    <row r="83" spans="2:6" x14ac:dyDescent="0.4">
      <c r="B83" s="54" t="s">
        <v>19</v>
      </c>
      <c r="C83" s="52" t="s">
        <v>19</v>
      </c>
      <c r="D83" s="52" t="s">
        <v>19</v>
      </c>
      <c r="E83" s="53" t="s">
        <v>19</v>
      </c>
      <c r="F83" t="s">
        <v>19</v>
      </c>
    </row>
    <row r="84" spans="2:6" x14ac:dyDescent="0.4">
      <c r="B84" s="54" t="s">
        <v>19</v>
      </c>
      <c r="C84" s="52" t="s">
        <v>19</v>
      </c>
      <c r="D84" s="52" t="s">
        <v>19</v>
      </c>
      <c r="E84" s="53" t="s">
        <v>19</v>
      </c>
      <c r="F84" t="s">
        <v>19</v>
      </c>
    </row>
    <row r="85" spans="2:6" x14ac:dyDescent="0.4">
      <c r="B85" s="54" t="s">
        <v>19</v>
      </c>
      <c r="C85" s="52" t="s">
        <v>19</v>
      </c>
      <c r="D85" s="52" t="s">
        <v>19</v>
      </c>
      <c r="E85" s="53" t="s">
        <v>19</v>
      </c>
      <c r="F85" t="s">
        <v>19</v>
      </c>
    </row>
    <row r="86" spans="2:6" x14ac:dyDescent="0.4">
      <c r="B86" s="54" t="s">
        <v>19</v>
      </c>
      <c r="C86" s="52" t="s">
        <v>19</v>
      </c>
      <c r="D86" s="52" t="s">
        <v>19</v>
      </c>
      <c r="E86" s="53" t="s">
        <v>19</v>
      </c>
      <c r="F86" t="s">
        <v>19</v>
      </c>
    </row>
    <row r="87" spans="2:6" x14ac:dyDescent="0.4">
      <c r="B87" s="54" t="s">
        <v>19</v>
      </c>
      <c r="C87" s="52" t="s">
        <v>19</v>
      </c>
      <c r="D87" s="52" t="s">
        <v>19</v>
      </c>
      <c r="E87" s="53" t="s">
        <v>19</v>
      </c>
      <c r="F87" t="s">
        <v>19</v>
      </c>
    </row>
    <row r="88" spans="2:6" x14ac:dyDescent="0.4">
      <c r="B88" s="54" t="s">
        <v>19</v>
      </c>
      <c r="C88" s="52" t="s">
        <v>19</v>
      </c>
      <c r="D88" s="52" t="s">
        <v>19</v>
      </c>
      <c r="E88" s="53" t="s">
        <v>19</v>
      </c>
      <c r="F88" t="s">
        <v>19</v>
      </c>
    </row>
    <row r="89" spans="2:6" x14ac:dyDescent="0.4">
      <c r="B89" s="54" t="s">
        <v>19</v>
      </c>
      <c r="C89" s="52" t="s">
        <v>19</v>
      </c>
      <c r="D89" s="52" t="s">
        <v>19</v>
      </c>
      <c r="E89" s="53" t="s">
        <v>19</v>
      </c>
      <c r="F89" t="s">
        <v>19</v>
      </c>
    </row>
    <row r="90" spans="2:6" x14ac:dyDescent="0.4">
      <c r="B90" s="54" t="s">
        <v>19</v>
      </c>
      <c r="C90" s="52" t="s">
        <v>19</v>
      </c>
      <c r="D90" s="52" t="s">
        <v>19</v>
      </c>
      <c r="E90" s="53" t="s">
        <v>19</v>
      </c>
      <c r="F90" t="s">
        <v>19</v>
      </c>
    </row>
    <row r="91" spans="2:6" x14ac:dyDescent="0.4">
      <c r="B91" s="54" t="s">
        <v>19</v>
      </c>
      <c r="C91" s="52" t="s">
        <v>19</v>
      </c>
      <c r="D91" s="52" t="s">
        <v>19</v>
      </c>
      <c r="E91" s="53" t="s">
        <v>19</v>
      </c>
      <c r="F91" t="s">
        <v>19</v>
      </c>
    </row>
    <row r="92" spans="2:6" x14ac:dyDescent="0.4">
      <c r="B92" s="54" t="s">
        <v>19</v>
      </c>
      <c r="C92" s="52" t="s">
        <v>19</v>
      </c>
      <c r="D92" s="52" t="s">
        <v>19</v>
      </c>
      <c r="E92" s="53" t="s">
        <v>19</v>
      </c>
      <c r="F92" t="s">
        <v>19</v>
      </c>
    </row>
    <row r="93" spans="2:6" x14ac:dyDescent="0.4">
      <c r="B93" s="54" t="s">
        <v>19</v>
      </c>
      <c r="C93" s="52" t="s">
        <v>19</v>
      </c>
      <c r="D93" s="52" t="s">
        <v>19</v>
      </c>
      <c r="E93" s="53" t="s">
        <v>19</v>
      </c>
      <c r="F93" t="s">
        <v>19</v>
      </c>
    </row>
    <row r="94" spans="2:6" x14ac:dyDescent="0.4">
      <c r="B94" s="54" t="s">
        <v>19</v>
      </c>
      <c r="C94" s="52" t="s">
        <v>19</v>
      </c>
      <c r="D94" s="52" t="s">
        <v>19</v>
      </c>
      <c r="E94" s="53" t="s">
        <v>19</v>
      </c>
      <c r="F94" t="s">
        <v>19</v>
      </c>
    </row>
    <row r="95" spans="2:6" x14ac:dyDescent="0.4">
      <c r="B95" s="54" t="s">
        <v>19</v>
      </c>
      <c r="C95" s="52" t="s">
        <v>19</v>
      </c>
      <c r="D95" s="52" t="s">
        <v>19</v>
      </c>
      <c r="E95" s="53" t="s">
        <v>19</v>
      </c>
      <c r="F95" t="s">
        <v>19</v>
      </c>
    </row>
    <row r="96" spans="2:6" x14ac:dyDescent="0.4">
      <c r="B96" s="54" t="s">
        <v>19</v>
      </c>
      <c r="C96" s="52" t="s">
        <v>19</v>
      </c>
      <c r="D96" s="52" t="s">
        <v>19</v>
      </c>
      <c r="E96" s="53" t="s">
        <v>19</v>
      </c>
      <c r="F96" t="s">
        <v>19</v>
      </c>
    </row>
    <row r="97" spans="2:6" x14ac:dyDescent="0.4">
      <c r="B97" s="54" t="s">
        <v>19</v>
      </c>
      <c r="C97" s="52" t="s">
        <v>19</v>
      </c>
      <c r="D97" s="52" t="s">
        <v>19</v>
      </c>
      <c r="E97" s="53" t="s">
        <v>19</v>
      </c>
      <c r="F97" t="s">
        <v>19</v>
      </c>
    </row>
    <row r="98" spans="2:6" x14ac:dyDescent="0.4">
      <c r="B98" s="54" t="s">
        <v>19</v>
      </c>
      <c r="C98" s="52" t="s">
        <v>19</v>
      </c>
      <c r="D98" s="52" t="s">
        <v>19</v>
      </c>
      <c r="E98" s="53" t="s">
        <v>19</v>
      </c>
      <c r="F98" t="s">
        <v>19</v>
      </c>
    </row>
    <row r="99" spans="2:6" x14ac:dyDescent="0.4">
      <c r="B99" s="54" t="s">
        <v>19</v>
      </c>
      <c r="C99" s="52" t="s">
        <v>19</v>
      </c>
      <c r="D99" s="52" t="s">
        <v>19</v>
      </c>
      <c r="E99" s="53" t="s">
        <v>19</v>
      </c>
      <c r="F99" t="s">
        <v>19</v>
      </c>
    </row>
    <row r="100" spans="2:6" x14ac:dyDescent="0.4">
      <c r="B100" s="54" t="s">
        <v>19</v>
      </c>
      <c r="C100" s="52" t="s">
        <v>19</v>
      </c>
      <c r="D100" s="52" t="s">
        <v>19</v>
      </c>
      <c r="E100" s="53" t="s">
        <v>19</v>
      </c>
      <c r="F100" t="s">
        <v>19</v>
      </c>
    </row>
    <row r="101" spans="2:6" x14ac:dyDescent="0.4">
      <c r="B101" s="54" t="s">
        <v>19</v>
      </c>
      <c r="C101" s="52" t="s">
        <v>19</v>
      </c>
      <c r="D101" s="52" t="s">
        <v>19</v>
      </c>
      <c r="E101" s="53" t="s">
        <v>19</v>
      </c>
      <c r="F101" t="s">
        <v>19</v>
      </c>
    </row>
    <row r="102" spans="2:6" x14ac:dyDescent="0.4">
      <c r="B102" s="54" t="s">
        <v>19</v>
      </c>
      <c r="C102" s="52" t="s">
        <v>19</v>
      </c>
      <c r="D102" s="52" t="s">
        <v>19</v>
      </c>
      <c r="E102" s="53" t="s">
        <v>19</v>
      </c>
      <c r="F102" t="s">
        <v>19</v>
      </c>
    </row>
    <row r="103" spans="2:6" x14ac:dyDescent="0.4">
      <c r="B103" s="54" t="s">
        <v>19</v>
      </c>
      <c r="C103" s="52" t="s">
        <v>19</v>
      </c>
      <c r="D103" s="52" t="s">
        <v>19</v>
      </c>
      <c r="E103" s="53" t="s">
        <v>19</v>
      </c>
      <c r="F103" t="s">
        <v>19</v>
      </c>
    </row>
    <row r="104" spans="2:6" x14ac:dyDescent="0.4">
      <c r="B104" s="54" t="s">
        <v>19</v>
      </c>
      <c r="C104" s="52" t="s">
        <v>19</v>
      </c>
      <c r="D104" s="52" t="s">
        <v>19</v>
      </c>
      <c r="E104" s="53" t="s">
        <v>19</v>
      </c>
      <c r="F104" t="s">
        <v>19</v>
      </c>
    </row>
    <row r="105" spans="2:6" x14ac:dyDescent="0.4">
      <c r="B105" s="54" t="s">
        <v>19</v>
      </c>
      <c r="C105" s="52" t="s">
        <v>19</v>
      </c>
      <c r="D105" s="52" t="s">
        <v>19</v>
      </c>
      <c r="E105" s="53" t="s">
        <v>19</v>
      </c>
      <c r="F105" t="s">
        <v>19</v>
      </c>
    </row>
    <row r="106" spans="2:6" x14ac:dyDescent="0.4">
      <c r="B106" s="54" t="s">
        <v>19</v>
      </c>
      <c r="C106" s="52" t="s">
        <v>19</v>
      </c>
      <c r="D106" s="52" t="s">
        <v>19</v>
      </c>
      <c r="E106" s="53" t="s">
        <v>19</v>
      </c>
      <c r="F106" t="s">
        <v>19</v>
      </c>
    </row>
    <row r="107" spans="2:6" x14ac:dyDescent="0.4">
      <c r="B107" s="54" t="s">
        <v>19</v>
      </c>
      <c r="C107" s="52" t="s">
        <v>19</v>
      </c>
      <c r="D107" s="52" t="s">
        <v>19</v>
      </c>
      <c r="E107" s="53" t="s">
        <v>19</v>
      </c>
      <c r="F107" t="s">
        <v>19</v>
      </c>
    </row>
    <row r="108" spans="2:6" x14ac:dyDescent="0.4">
      <c r="B108" s="54" t="s">
        <v>19</v>
      </c>
      <c r="C108" s="52" t="s">
        <v>19</v>
      </c>
      <c r="D108" s="52" t="s">
        <v>19</v>
      </c>
      <c r="E108" s="53" t="s">
        <v>19</v>
      </c>
      <c r="F108" t="s">
        <v>19</v>
      </c>
    </row>
    <row r="109" spans="2:6" x14ac:dyDescent="0.4">
      <c r="B109" s="54" t="s">
        <v>19</v>
      </c>
      <c r="C109" s="52" t="s">
        <v>19</v>
      </c>
      <c r="D109" s="52" t="s">
        <v>19</v>
      </c>
      <c r="E109" s="53" t="s">
        <v>19</v>
      </c>
      <c r="F109" t="s">
        <v>19</v>
      </c>
    </row>
    <row r="110" spans="2:6" x14ac:dyDescent="0.4">
      <c r="B110" s="54" t="s">
        <v>19</v>
      </c>
      <c r="C110" s="52" t="s">
        <v>19</v>
      </c>
      <c r="D110" s="52" t="s">
        <v>19</v>
      </c>
      <c r="E110" s="53" t="s">
        <v>19</v>
      </c>
      <c r="F110" t="s">
        <v>19</v>
      </c>
    </row>
    <row r="111" spans="2:6" x14ac:dyDescent="0.4">
      <c r="B111" s="54" t="s">
        <v>19</v>
      </c>
      <c r="C111" s="52" t="s">
        <v>19</v>
      </c>
      <c r="D111" s="52" t="s">
        <v>19</v>
      </c>
      <c r="E111" s="53" t="s">
        <v>19</v>
      </c>
      <c r="F111" t="s">
        <v>19</v>
      </c>
    </row>
    <row r="112" spans="2:6" x14ac:dyDescent="0.4">
      <c r="B112" s="54" t="s">
        <v>19</v>
      </c>
      <c r="C112" s="52" t="s">
        <v>19</v>
      </c>
      <c r="D112" s="52" t="s">
        <v>19</v>
      </c>
      <c r="E112" s="53" t="s">
        <v>19</v>
      </c>
      <c r="F112" t="s">
        <v>19</v>
      </c>
    </row>
    <row r="113" spans="2:6" x14ac:dyDescent="0.4">
      <c r="B113" s="54" t="s">
        <v>19</v>
      </c>
      <c r="C113" s="52" t="s">
        <v>19</v>
      </c>
      <c r="D113" s="52" t="s">
        <v>19</v>
      </c>
      <c r="E113" s="53" t="s">
        <v>19</v>
      </c>
      <c r="F113" t="s">
        <v>19</v>
      </c>
    </row>
    <row r="114" spans="2:6" x14ac:dyDescent="0.4">
      <c r="B114" s="54" t="s">
        <v>19</v>
      </c>
      <c r="C114" s="52" t="s">
        <v>19</v>
      </c>
      <c r="D114" s="52" t="s">
        <v>19</v>
      </c>
      <c r="E114" s="53" t="s">
        <v>19</v>
      </c>
      <c r="F114" t="s">
        <v>19</v>
      </c>
    </row>
    <row r="115" spans="2:6" x14ac:dyDescent="0.4">
      <c r="B115" s="54" t="s">
        <v>19</v>
      </c>
      <c r="C115" s="52" t="s">
        <v>19</v>
      </c>
      <c r="D115" s="52" t="s">
        <v>19</v>
      </c>
      <c r="E115" s="53" t="s">
        <v>19</v>
      </c>
      <c r="F115" t="s">
        <v>19</v>
      </c>
    </row>
    <row r="116" spans="2:6" x14ac:dyDescent="0.4">
      <c r="B116" s="54" t="s">
        <v>19</v>
      </c>
      <c r="C116" s="52" t="s">
        <v>19</v>
      </c>
      <c r="D116" s="52" t="s">
        <v>19</v>
      </c>
      <c r="E116" s="53" t="s">
        <v>19</v>
      </c>
      <c r="F116" t="s">
        <v>19</v>
      </c>
    </row>
    <row r="117" spans="2:6" x14ac:dyDescent="0.4">
      <c r="B117" s="54" t="s">
        <v>19</v>
      </c>
      <c r="C117" s="52" t="s">
        <v>19</v>
      </c>
      <c r="D117" s="52" t="s">
        <v>19</v>
      </c>
      <c r="E117" s="53" t="s">
        <v>19</v>
      </c>
      <c r="F117" t="s">
        <v>19</v>
      </c>
    </row>
    <row r="118" spans="2:6" x14ac:dyDescent="0.4">
      <c r="B118" s="54" t="s">
        <v>19</v>
      </c>
      <c r="C118" s="52" t="s">
        <v>19</v>
      </c>
      <c r="D118" s="52" t="s">
        <v>19</v>
      </c>
      <c r="E118" s="53" t="s">
        <v>19</v>
      </c>
      <c r="F118" t="s">
        <v>19</v>
      </c>
    </row>
    <row r="119" spans="2:6" x14ac:dyDescent="0.4">
      <c r="B119" s="54" t="s">
        <v>19</v>
      </c>
      <c r="C119" s="52" t="s">
        <v>19</v>
      </c>
      <c r="D119" s="52" t="s">
        <v>19</v>
      </c>
      <c r="E119" s="53" t="s">
        <v>19</v>
      </c>
      <c r="F119" t="s">
        <v>19</v>
      </c>
    </row>
    <row r="120" spans="2:6" x14ac:dyDescent="0.4">
      <c r="B120" s="54" t="s">
        <v>19</v>
      </c>
      <c r="C120" s="52" t="s">
        <v>19</v>
      </c>
      <c r="D120" s="52" t="s">
        <v>19</v>
      </c>
      <c r="E120" s="53" t="s">
        <v>19</v>
      </c>
      <c r="F120" t="s">
        <v>19</v>
      </c>
    </row>
    <row r="121" spans="2:6" x14ac:dyDescent="0.4">
      <c r="B121" s="54" t="s">
        <v>19</v>
      </c>
      <c r="C121" s="52" t="s">
        <v>19</v>
      </c>
      <c r="D121" s="52" t="s">
        <v>19</v>
      </c>
      <c r="E121" s="53" t="s">
        <v>19</v>
      </c>
      <c r="F121" t="s">
        <v>19</v>
      </c>
    </row>
    <row r="122" spans="2:6" x14ac:dyDescent="0.4">
      <c r="B122" s="54" t="s">
        <v>19</v>
      </c>
      <c r="C122" s="52" t="s">
        <v>19</v>
      </c>
      <c r="D122" s="52" t="s">
        <v>19</v>
      </c>
      <c r="E122" s="53" t="s">
        <v>19</v>
      </c>
      <c r="F122" t="s">
        <v>19</v>
      </c>
    </row>
    <row r="123" spans="2:6" x14ac:dyDescent="0.4">
      <c r="B123" s="54" t="s">
        <v>19</v>
      </c>
      <c r="C123" s="52" t="s">
        <v>19</v>
      </c>
      <c r="D123" s="52" t="s">
        <v>19</v>
      </c>
      <c r="E123" s="53" t="s">
        <v>19</v>
      </c>
      <c r="F123" t="s">
        <v>19</v>
      </c>
    </row>
    <row r="124" spans="2:6" x14ac:dyDescent="0.4">
      <c r="B124" s="54" t="s">
        <v>19</v>
      </c>
      <c r="C124" s="52" t="s">
        <v>19</v>
      </c>
      <c r="D124" s="52" t="s">
        <v>19</v>
      </c>
      <c r="E124" s="53" t="s">
        <v>19</v>
      </c>
      <c r="F124" t="s">
        <v>19</v>
      </c>
    </row>
    <row r="125" spans="2:6" x14ac:dyDescent="0.4">
      <c r="B125" s="54" t="s">
        <v>19</v>
      </c>
      <c r="C125" s="52" t="s">
        <v>19</v>
      </c>
      <c r="D125" s="52" t="s">
        <v>19</v>
      </c>
      <c r="E125" s="53" t="s">
        <v>19</v>
      </c>
      <c r="F125" t="s">
        <v>19</v>
      </c>
    </row>
    <row r="126" spans="2:6" x14ac:dyDescent="0.4">
      <c r="B126" s="54" t="s">
        <v>19</v>
      </c>
      <c r="C126" s="52" t="s">
        <v>19</v>
      </c>
      <c r="D126" s="52" t="s">
        <v>19</v>
      </c>
      <c r="E126" s="53" t="s">
        <v>19</v>
      </c>
      <c r="F126" t="s">
        <v>19</v>
      </c>
    </row>
    <row r="127" spans="2:6" x14ac:dyDescent="0.4">
      <c r="B127" s="54" t="s">
        <v>19</v>
      </c>
      <c r="C127" s="52" t="s">
        <v>19</v>
      </c>
      <c r="D127" s="52" t="s">
        <v>19</v>
      </c>
      <c r="E127" s="53" t="s">
        <v>19</v>
      </c>
      <c r="F127" t="s">
        <v>19</v>
      </c>
    </row>
    <row r="128" spans="2:6" x14ac:dyDescent="0.4">
      <c r="B128" s="54" t="s">
        <v>19</v>
      </c>
      <c r="C128" s="52" t="s">
        <v>19</v>
      </c>
      <c r="D128" s="52" t="s">
        <v>19</v>
      </c>
      <c r="E128" s="53" t="s">
        <v>19</v>
      </c>
      <c r="F128" t="s">
        <v>19</v>
      </c>
    </row>
    <row r="129" spans="2:6" x14ac:dyDescent="0.4">
      <c r="B129" s="54" t="s">
        <v>19</v>
      </c>
      <c r="C129" s="52" t="s">
        <v>19</v>
      </c>
      <c r="D129" s="52" t="s">
        <v>19</v>
      </c>
      <c r="E129" s="53" t="s">
        <v>19</v>
      </c>
      <c r="F129" t="s">
        <v>19</v>
      </c>
    </row>
    <row r="130" spans="2:6" x14ac:dyDescent="0.4">
      <c r="B130" s="54" t="s">
        <v>19</v>
      </c>
      <c r="C130" s="52" t="s">
        <v>19</v>
      </c>
      <c r="D130" s="52" t="s">
        <v>19</v>
      </c>
      <c r="E130" s="53" t="s">
        <v>19</v>
      </c>
      <c r="F130" t="s">
        <v>19</v>
      </c>
    </row>
    <row r="131" spans="2:6" x14ac:dyDescent="0.4">
      <c r="B131" s="54" t="s">
        <v>19</v>
      </c>
      <c r="C131" s="52" t="s">
        <v>19</v>
      </c>
      <c r="D131" s="52" t="s">
        <v>19</v>
      </c>
      <c r="E131" s="53" t="s">
        <v>19</v>
      </c>
      <c r="F131" t="s">
        <v>19</v>
      </c>
    </row>
    <row r="132" spans="2:6" x14ac:dyDescent="0.4">
      <c r="B132" s="54" t="s">
        <v>19</v>
      </c>
      <c r="C132" s="52" t="s">
        <v>19</v>
      </c>
      <c r="D132" s="52" t="s">
        <v>19</v>
      </c>
      <c r="E132" s="53" t="s">
        <v>19</v>
      </c>
      <c r="F132" t="s">
        <v>19</v>
      </c>
    </row>
    <row r="133" spans="2:6" x14ac:dyDescent="0.4">
      <c r="B133" s="54" t="s">
        <v>19</v>
      </c>
      <c r="C133" s="52" t="s">
        <v>19</v>
      </c>
      <c r="D133" s="52" t="s">
        <v>19</v>
      </c>
      <c r="E133" s="53" t="s">
        <v>19</v>
      </c>
      <c r="F133" t="s">
        <v>19</v>
      </c>
    </row>
    <row r="134" spans="2:6" x14ac:dyDescent="0.4">
      <c r="B134" s="54" t="s">
        <v>19</v>
      </c>
      <c r="C134" s="52" t="s">
        <v>19</v>
      </c>
      <c r="D134" s="52" t="s">
        <v>19</v>
      </c>
      <c r="E134" s="53" t="s">
        <v>19</v>
      </c>
      <c r="F134" t="s">
        <v>19</v>
      </c>
    </row>
    <row r="135" spans="2:6" x14ac:dyDescent="0.4">
      <c r="B135" s="54" t="s">
        <v>19</v>
      </c>
      <c r="C135" s="52" t="s">
        <v>19</v>
      </c>
      <c r="D135" s="52" t="s">
        <v>19</v>
      </c>
      <c r="E135" s="53" t="s">
        <v>19</v>
      </c>
      <c r="F135" t="s">
        <v>19</v>
      </c>
    </row>
    <row r="136" spans="2:6" x14ac:dyDescent="0.4">
      <c r="B136" s="54" t="s">
        <v>19</v>
      </c>
      <c r="C136" s="52" t="s">
        <v>19</v>
      </c>
      <c r="D136" s="52" t="s">
        <v>19</v>
      </c>
      <c r="E136" s="53" t="s">
        <v>19</v>
      </c>
      <c r="F136" t="s">
        <v>19</v>
      </c>
    </row>
    <row r="137" spans="2:6" x14ac:dyDescent="0.4">
      <c r="B137" s="54" t="s">
        <v>19</v>
      </c>
      <c r="C137" s="52" t="s">
        <v>19</v>
      </c>
      <c r="D137" s="52" t="s">
        <v>19</v>
      </c>
      <c r="E137" s="53" t="s">
        <v>19</v>
      </c>
      <c r="F137" t="s">
        <v>19</v>
      </c>
    </row>
    <row r="138" spans="2:6" x14ac:dyDescent="0.4">
      <c r="B138" s="54" t="s">
        <v>19</v>
      </c>
      <c r="C138" s="52" t="s">
        <v>19</v>
      </c>
      <c r="D138" s="52" t="s">
        <v>19</v>
      </c>
      <c r="E138" s="53" t="s">
        <v>19</v>
      </c>
      <c r="F138" t="s">
        <v>19</v>
      </c>
    </row>
    <row r="139" spans="2:6" x14ac:dyDescent="0.4">
      <c r="B139" s="54" t="s">
        <v>19</v>
      </c>
      <c r="C139" s="52" t="s">
        <v>19</v>
      </c>
      <c r="D139" s="52" t="s">
        <v>19</v>
      </c>
      <c r="E139" s="53" t="s">
        <v>19</v>
      </c>
      <c r="F139" t="s">
        <v>19</v>
      </c>
    </row>
    <row r="140" spans="2:6" x14ac:dyDescent="0.4">
      <c r="B140" s="54" t="s">
        <v>19</v>
      </c>
      <c r="C140" s="52" t="s">
        <v>19</v>
      </c>
      <c r="D140" s="52" t="s">
        <v>19</v>
      </c>
      <c r="E140" s="53" t="s">
        <v>19</v>
      </c>
      <c r="F140" t="s">
        <v>19</v>
      </c>
    </row>
    <row r="141" spans="2:6" x14ac:dyDescent="0.4">
      <c r="B141" s="54" t="s">
        <v>19</v>
      </c>
      <c r="C141" s="52" t="s">
        <v>19</v>
      </c>
      <c r="D141" s="52" t="s">
        <v>19</v>
      </c>
      <c r="E141" s="53" t="s">
        <v>19</v>
      </c>
      <c r="F141" t="s">
        <v>19</v>
      </c>
    </row>
    <row r="142" spans="2:6" x14ac:dyDescent="0.4">
      <c r="B142" s="54" t="s">
        <v>19</v>
      </c>
      <c r="C142" s="52" t="s">
        <v>19</v>
      </c>
      <c r="D142" s="52" t="s">
        <v>19</v>
      </c>
      <c r="E142" s="53" t="s">
        <v>19</v>
      </c>
      <c r="F142" t="s">
        <v>19</v>
      </c>
    </row>
    <row r="143" spans="2:6" x14ac:dyDescent="0.4">
      <c r="B143" s="54" t="s">
        <v>19</v>
      </c>
      <c r="C143" s="52" t="s">
        <v>19</v>
      </c>
      <c r="D143" s="52" t="s">
        <v>19</v>
      </c>
      <c r="E143" s="53" t="s">
        <v>19</v>
      </c>
      <c r="F143" t="s">
        <v>19</v>
      </c>
    </row>
    <row r="144" spans="2:6" x14ac:dyDescent="0.4">
      <c r="B144" s="54" t="s">
        <v>19</v>
      </c>
      <c r="C144" s="52" t="s">
        <v>19</v>
      </c>
      <c r="D144" s="52" t="s">
        <v>19</v>
      </c>
      <c r="E144" s="53" t="s">
        <v>19</v>
      </c>
      <c r="F144" t="s">
        <v>19</v>
      </c>
    </row>
    <row r="145" spans="2:6" x14ac:dyDescent="0.4">
      <c r="B145" s="54" t="s">
        <v>19</v>
      </c>
      <c r="C145" s="52" t="s">
        <v>19</v>
      </c>
      <c r="D145" s="52" t="s">
        <v>19</v>
      </c>
      <c r="E145" s="53" t="s">
        <v>19</v>
      </c>
      <c r="F145" t="s">
        <v>19</v>
      </c>
    </row>
    <row r="146" spans="2:6" x14ac:dyDescent="0.4">
      <c r="B146" s="54" t="s">
        <v>19</v>
      </c>
      <c r="C146" s="52" t="s">
        <v>19</v>
      </c>
      <c r="D146" s="52" t="s">
        <v>19</v>
      </c>
      <c r="E146" s="53" t="s">
        <v>19</v>
      </c>
      <c r="F146" t="s">
        <v>19</v>
      </c>
    </row>
    <row r="147" spans="2:6" x14ac:dyDescent="0.4">
      <c r="B147" s="54" t="s">
        <v>19</v>
      </c>
      <c r="C147" s="52" t="s">
        <v>19</v>
      </c>
      <c r="D147" s="52" t="s">
        <v>19</v>
      </c>
      <c r="E147" s="53" t="s">
        <v>19</v>
      </c>
      <c r="F147" t="s">
        <v>19</v>
      </c>
    </row>
    <row r="148" spans="2:6" x14ac:dyDescent="0.4">
      <c r="B148" s="54" t="s">
        <v>19</v>
      </c>
      <c r="C148" s="52" t="s">
        <v>19</v>
      </c>
      <c r="D148" s="52" t="s">
        <v>19</v>
      </c>
      <c r="E148" s="53" t="s">
        <v>19</v>
      </c>
      <c r="F148" t="s">
        <v>19</v>
      </c>
    </row>
    <row r="149" spans="2:6" x14ac:dyDescent="0.4">
      <c r="B149" s="54" t="s">
        <v>19</v>
      </c>
      <c r="C149" s="52" t="s">
        <v>19</v>
      </c>
      <c r="D149" s="52" t="s">
        <v>19</v>
      </c>
      <c r="E149" s="53" t="s">
        <v>19</v>
      </c>
      <c r="F149" t="s">
        <v>19</v>
      </c>
    </row>
    <row r="150" spans="2:6" x14ac:dyDescent="0.4">
      <c r="B150" s="54" t="s">
        <v>19</v>
      </c>
      <c r="C150" s="52" t="s">
        <v>19</v>
      </c>
      <c r="D150" s="52" t="s">
        <v>19</v>
      </c>
      <c r="E150" s="53" t="s">
        <v>19</v>
      </c>
      <c r="F150" t="s">
        <v>19</v>
      </c>
    </row>
    <row r="151" spans="2:6" x14ac:dyDescent="0.4">
      <c r="B151" s="54" t="s">
        <v>19</v>
      </c>
      <c r="C151" s="52" t="s">
        <v>19</v>
      </c>
      <c r="D151" s="52" t="s">
        <v>19</v>
      </c>
      <c r="E151" s="53" t="s">
        <v>19</v>
      </c>
      <c r="F151" t="s">
        <v>19</v>
      </c>
    </row>
    <row r="152" spans="2:6" x14ac:dyDescent="0.4">
      <c r="B152" s="54" t="s">
        <v>19</v>
      </c>
      <c r="C152" s="52" t="s">
        <v>19</v>
      </c>
      <c r="D152" s="52" t="s">
        <v>19</v>
      </c>
      <c r="E152" s="53" t="s">
        <v>19</v>
      </c>
      <c r="F152" t="s">
        <v>19</v>
      </c>
    </row>
    <row r="153" spans="2:6" x14ac:dyDescent="0.4">
      <c r="B153" s="54" t="s">
        <v>19</v>
      </c>
      <c r="C153" s="52" t="s">
        <v>19</v>
      </c>
      <c r="D153" s="52" t="s">
        <v>19</v>
      </c>
      <c r="E153" s="53" t="s">
        <v>19</v>
      </c>
      <c r="F153" t="s">
        <v>19</v>
      </c>
    </row>
    <row r="154" spans="2:6" x14ac:dyDescent="0.4">
      <c r="B154" s="54" t="s">
        <v>19</v>
      </c>
      <c r="C154" s="52" t="s">
        <v>19</v>
      </c>
      <c r="D154" s="52" t="s">
        <v>19</v>
      </c>
      <c r="E154" s="53" t="s">
        <v>19</v>
      </c>
      <c r="F154" t="s">
        <v>19</v>
      </c>
    </row>
    <row r="155" spans="2:6" x14ac:dyDescent="0.4">
      <c r="B155" s="54" t="s">
        <v>19</v>
      </c>
      <c r="C155" s="52" t="s">
        <v>19</v>
      </c>
      <c r="D155" s="52" t="s">
        <v>19</v>
      </c>
      <c r="E155" s="53" t="s">
        <v>19</v>
      </c>
      <c r="F155" t="s">
        <v>19</v>
      </c>
    </row>
    <row r="156" spans="2:6" x14ac:dyDescent="0.4">
      <c r="B156" s="54" t="s">
        <v>19</v>
      </c>
      <c r="C156" s="52" t="s">
        <v>19</v>
      </c>
      <c r="D156" s="52" t="s">
        <v>19</v>
      </c>
      <c r="E156" s="53" t="s">
        <v>19</v>
      </c>
      <c r="F156" t="s">
        <v>19</v>
      </c>
    </row>
    <row r="157" spans="2:6" x14ac:dyDescent="0.4">
      <c r="B157" s="54" t="s">
        <v>19</v>
      </c>
      <c r="C157" s="52" t="s">
        <v>19</v>
      </c>
      <c r="D157" s="52" t="s">
        <v>19</v>
      </c>
      <c r="E157" s="53" t="s">
        <v>19</v>
      </c>
      <c r="F157" t="s">
        <v>19</v>
      </c>
    </row>
    <row r="158" spans="2:6" x14ac:dyDescent="0.4">
      <c r="B158" s="54" t="s">
        <v>19</v>
      </c>
      <c r="C158" s="52" t="s">
        <v>19</v>
      </c>
      <c r="D158" s="52" t="s">
        <v>19</v>
      </c>
      <c r="E158" s="53" t="s">
        <v>19</v>
      </c>
      <c r="F158" t="s">
        <v>19</v>
      </c>
    </row>
    <row r="159" spans="2:6" x14ac:dyDescent="0.4">
      <c r="B159" s="54" t="s">
        <v>19</v>
      </c>
      <c r="C159" s="52" t="s">
        <v>19</v>
      </c>
      <c r="D159" s="52" t="s">
        <v>19</v>
      </c>
      <c r="E159" s="53" t="s">
        <v>19</v>
      </c>
      <c r="F159" t="s">
        <v>19</v>
      </c>
    </row>
    <row r="160" spans="2:6" x14ac:dyDescent="0.4">
      <c r="B160" s="54" t="s">
        <v>19</v>
      </c>
      <c r="C160" s="52" t="s">
        <v>19</v>
      </c>
      <c r="D160" s="52" t="s">
        <v>19</v>
      </c>
      <c r="E160" s="53" t="s">
        <v>19</v>
      </c>
      <c r="F160" t="s">
        <v>19</v>
      </c>
    </row>
    <row r="161" spans="2:6" x14ac:dyDescent="0.4">
      <c r="B161" s="54" t="s">
        <v>19</v>
      </c>
      <c r="C161" s="52" t="s">
        <v>19</v>
      </c>
      <c r="D161" s="52" t="s">
        <v>19</v>
      </c>
      <c r="E161" s="53" t="s">
        <v>19</v>
      </c>
      <c r="F161" t="s">
        <v>19</v>
      </c>
    </row>
    <row r="162" spans="2:6" x14ac:dyDescent="0.4">
      <c r="B162" s="54" t="s">
        <v>19</v>
      </c>
      <c r="C162" s="52" t="s">
        <v>19</v>
      </c>
      <c r="D162" s="52" t="s">
        <v>19</v>
      </c>
      <c r="E162" s="53" t="s">
        <v>19</v>
      </c>
      <c r="F162" t="s">
        <v>19</v>
      </c>
    </row>
    <row r="163" spans="2:6" x14ac:dyDescent="0.4">
      <c r="B163" s="54" t="s">
        <v>19</v>
      </c>
      <c r="C163" s="52" t="s">
        <v>19</v>
      </c>
      <c r="D163" s="52" t="s">
        <v>19</v>
      </c>
      <c r="E163" s="53" t="s">
        <v>19</v>
      </c>
      <c r="F163" t="s">
        <v>19</v>
      </c>
    </row>
    <row r="164" spans="2:6" x14ac:dyDescent="0.4">
      <c r="B164" s="54" t="s">
        <v>19</v>
      </c>
      <c r="C164" s="52" t="s">
        <v>19</v>
      </c>
      <c r="D164" s="52" t="s">
        <v>19</v>
      </c>
      <c r="E164" s="53" t="s">
        <v>19</v>
      </c>
      <c r="F164" t="s">
        <v>19</v>
      </c>
    </row>
    <row r="165" spans="2:6" x14ac:dyDescent="0.4">
      <c r="B165" s="54" t="s">
        <v>19</v>
      </c>
      <c r="C165" s="52" t="s">
        <v>19</v>
      </c>
      <c r="D165" s="52" t="s">
        <v>19</v>
      </c>
      <c r="E165" s="53" t="s">
        <v>19</v>
      </c>
      <c r="F165" t="s">
        <v>19</v>
      </c>
    </row>
    <row r="166" spans="2:6" x14ac:dyDescent="0.4">
      <c r="B166" s="54" t="s">
        <v>19</v>
      </c>
      <c r="C166" s="52" t="s">
        <v>19</v>
      </c>
      <c r="D166" s="52" t="s">
        <v>19</v>
      </c>
      <c r="E166" s="53" t="s">
        <v>19</v>
      </c>
      <c r="F166" t="s">
        <v>19</v>
      </c>
    </row>
    <row r="167" spans="2:6" x14ac:dyDescent="0.4">
      <c r="B167" s="54" t="s">
        <v>19</v>
      </c>
      <c r="C167" s="52" t="s">
        <v>19</v>
      </c>
      <c r="D167" s="52" t="s">
        <v>19</v>
      </c>
      <c r="E167" s="53" t="s">
        <v>19</v>
      </c>
      <c r="F167" t="s">
        <v>19</v>
      </c>
    </row>
    <row r="168" spans="2:6" x14ac:dyDescent="0.4">
      <c r="B168" s="54" t="s">
        <v>19</v>
      </c>
      <c r="C168" s="52" t="s">
        <v>19</v>
      </c>
      <c r="D168" s="52" t="s">
        <v>19</v>
      </c>
      <c r="E168" s="53" t="s">
        <v>19</v>
      </c>
      <c r="F168" t="s">
        <v>19</v>
      </c>
    </row>
    <row r="169" spans="2:6" x14ac:dyDescent="0.4">
      <c r="B169" s="54" t="s">
        <v>19</v>
      </c>
      <c r="C169" s="52" t="s">
        <v>19</v>
      </c>
      <c r="D169" s="52" t="s">
        <v>19</v>
      </c>
      <c r="E169" s="53" t="s">
        <v>19</v>
      </c>
      <c r="F169" t="s">
        <v>19</v>
      </c>
    </row>
    <row r="170" spans="2:6" x14ac:dyDescent="0.4">
      <c r="B170" s="54" t="s">
        <v>19</v>
      </c>
      <c r="C170" s="52" t="s">
        <v>19</v>
      </c>
      <c r="D170" s="52" t="s">
        <v>19</v>
      </c>
      <c r="E170" s="53" t="s">
        <v>19</v>
      </c>
      <c r="F170" t="s">
        <v>19</v>
      </c>
    </row>
    <row r="171" spans="2:6" x14ac:dyDescent="0.4">
      <c r="B171" s="54" t="s">
        <v>19</v>
      </c>
      <c r="C171" s="52" t="s">
        <v>19</v>
      </c>
      <c r="D171" s="52" t="s">
        <v>19</v>
      </c>
      <c r="E171" s="53" t="s">
        <v>19</v>
      </c>
      <c r="F171" t="s">
        <v>19</v>
      </c>
    </row>
    <row r="172" spans="2:6" x14ac:dyDescent="0.4">
      <c r="B172" s="54" t="s">
        <v>19</v>
      </c>
      <c r="C172" s="52" t="s">
        <v>19</v>
      </c>
      <c r="D172" s="52" t="s">
        <v>19</v>
      </c>
      <c r="E172" s="53" t="s">
        <v>19</v>
      </c>
      <c r="F172" t="s">
        <v>19</v>
      </c>
    </row>
    <row r="173" spans="2:6" x14ac:dyDescent="0.4">
      <c r="B173" s="54" t="s">
        <v>19</v>
      </c>
      <c r="C173" s="52" t="s">
        <v>19</v>
      </c>
      <c r="D173" s="52" t="s">
        <v>19</v>
      </c>
      <c r="E173" s="53" t="s">
        <v>19</v>
      </c>
      <c r="F173" t="s">
        <v>19</v>
      </c>
    </row>
    <row r="174" spans="2:6" x14ac:dyDescent="0.4">
      <c r="B174" s="54" t="s">
        <v>19</v>
      </c>
      <c r="C174" s="52" t="s">
        <v>19</v>
      </c>
      <c r="D174" s="52" t="s">
        <v>19</v>
      </c>
      <c r="E174" s="53" t="s">
        <v>19</v>
      </c>
      <c r="F174" t="s">
        <v>19</v>
      </c>
    </row>
    <row r="175" spans="2:6" x14ac:dyDescent="0.4">
      <c r="B175" s="54" t="s">
        <v>19</v>
      </c>
      <c r="C175" s="52" t="s">
        <v>19</v>
      </c>
      <c r="D175" s="52" t="s">
        <v>19</v>
      </c>
      <c r="E175" s="53" t="s">
        <v>19</v>
      </c>
      <c r="F175" t="s">
        <v>19</v>
      </c>
    </row>
    <row r="176" spans="2:6" x14ac:dyDescent="0.4">
      <c r="B176" s="54" t="s">
        <v>19</v>
      </c>
      <c r="C176" s="52" t="s">
        <v>19</v>
      </c>
      <c r="D176" s="52" t="s">
        <v>19</v>
      </c>
      <c r="E176" s="53" t="s">
        <v>19</v>
      </c>
      <c r="F176" t="s">
        <v>19</v>
      </c>
    </row>
    <row r="177" spans="2:6" x14ac:dyDescent="0.4">
      <c r="B177" s="54" t="s">
        <v>19</v>
      </c>
      <c r="C177" s="52" t="s">
        <v>19</v>
      </c>
      <c r="D177" s="52" t="s">
        <v>19</v>
      </c>
      <c r="E177" s="53" t="s">
        <v>19</v>
      </c>
      <c r="F177" t="s">
        <v>19</v>
      </c>
    </row>
    <row r="178" spans="2:6" x14ac:dyDescent="0.4">
      <c r="B178" s="54" t="s">
        <v>19</v>
      </c>
      <c r="C178" s="52" t="s">
        <v>19</v>
      </c>
      <c r="D178" s="52" t="s">
        <v>19</v>
      </c>
      <c r="E178" s="53" t="s">
        <v>19</v>
      </c>
      <c r="F178" t="s">
        <v>19</v>
      </c>
    </row>
    <row r="179" spans="2:6" x14ac:dyDescent="0.4">
      <c r="B179" s="54" t="s">
        <v>19</v>
      </c>
      <c r="C179" s="52" t="s">
        <v>19</v>
      </c>
      <c r="D179" s="52" t="s">
        <v>19</v>
      </c>
      <c r="E179" s="53" t="s">
        <v>19</v>
      </c>
      <c r="F179" t="s">
        <v>19</v>
      </c>
    </row>
    <row r="180" spans="2:6" x14ac:dyDescent="0.4">
      <c r="B180" s="54" t="s">
        <v>19</v>
      </c>
      <c r="C180" s="52" t="s">
        <v>19</v>
      </c>
      <c r="D180" s="52" t="s">
        <v>19</v>
      </c>
      <c r="E180" s="53" t="s">
        <v>19</v>
      </c>
      <c r="F180" t="s">
        <v>19</v>
      </c>
    </row>
    <row r="181" spans="2:6" x14ac:dyDescent="0.4">
      <c r="B181" s="54" t="s">
        <v>19</v>
      </c>
      <c r="C181" s="52" t="s">
        <v>19</v>
      </c>
      <c r="D181" s="52" t="s">
        <v>19</v>
      </c>
      <c r="E181" s="53" t="s">
        <v>19</v>
      </c>
      <c r="F181" t="s">
        <v>19</v>
      </c>
    </row>
    <row r="182" spans="2:6" x14ac:dyDescent="0.4">
      <c r="B182" s="54" t="s">
        <v>19</v>
      </c>
      <c r="C182" s="52" t="s">
        <v>19</v>
      </c>
      <c r="D182" s="52" t="s">
        <v>19</v>
      </c>
      <c r="E182" s="53" t="s">
        <v>19</v>
      </c>
      <c r="F182" t="s">
        <v>19</v>
      </c>
    </row>
    <row r="183" spans="2:6" x14ac:dyDescent="0.4">
      <c r="B183" s="54" t="s">
        <v>19</v>
      </c>
      <c r="C183" s="52" t="s">
        <v>19</v>
      </c>
      <c r="D183" s="52" t="s">
        <v>19</v>
      </c>
      <c r="E183" s="53" t="s">
        <v>19</v>
      </c>
      <c r="F183" t="s">
        <v>19</v>
      </c>
    </row>
    <row r="184" spans="2:6" x14ac:dyDescent="0.4">
      <c r="B184" s="54" t="s">
        <v>19</v>
      </c>
      <c r="C184" s="52" t="s">
        <v>19</v>
      </c>
      <c r="D184" s="52" t="s">
        <v>19</v>
      </c>
      <c r="E184" s="53" t="s">
        <v>19</v>
      </c>
      <c r="F184" t="s">
        <v>19</v>
      </c>
    </row>
    <row r="185" spans="2:6" x14ac:dyDescent="0.4">
      <c r="B185" s="54" t="s">
        <v>19</v>
      </c>
      <c r="C185" s="52" t="s">
        <v>19</v>
      </c>
      <c r="D185" s="52" t="s">
        <v>19</v>
      </c>
      <c r="E185" s="53" t="s">
        <v>19</v>
      </c>
      <c r="F185" t="s">
        <v>19</v>
      </c>
    </row>
    <row r="186" spans="2:6" x14ac:dyDescent="0.4">
      <c r="B186" s="54" t="s">
        <v>19</v>
      </c>
      <c r="C186" s="52" t="s">
        <v>19</v>
      </c>
      <c r="D186" s="52" t="s">
        <v>19</v>
      </c>
      <c r="E186" s="53" t="s">
        <v>19</v>
      </c>
      <c r="F186" t="s">
        <v>19</v>
      </c>
    </row>
    <row r="187" spans="2:6" x14ac:dyDescent="0.4">
      <c r="B187" s="54" t="s">
        <v>19</v>
      </c>
      <c r="C187" s="52" t="s">
        <v>19</v>
      </c>
      <c r="D187" s="52" t="s">
        <v>19</v>
      </c>
      <c r="E187" s="53" t="s">
        <v>19</v>
      </c>
      <c r="F187" t="s">
        <v>19</v>
      </c>
    </row>
    <row r="188" spans="2:6" x14ac:dyDescent="0.4">
      <c r="B188" s="54" t="s">
        <v>19</v>
      </c>
      <c r="C188" s="52" t="s">
        <v>19</v>
      </c>
      <c r="D188" s="52" t="s">
        <v>19</v>
      </c>
      <c r="E188" s="53" t="s">
        <v>19</v>
      </c>
      <c r="F188" t="s">
        <v>19</v>
      </c>
    </row>
    <row r="189" spans="2:6" x14ac:dyDescent="0.4">
      <c r="B189" s="54" t="s">
        <v>19</v>
      </c>
      <c r="C189" s="52" t="s">
        <v>19</v>
      </c>
      <c r="D189" s="52" t="s">
        <v>19</v>
      </c>
      <c r="E189" s="53" t="s">
        <v>19</v>
      </c>
      <c r="F189" t="s">
        <v>19</v>
      </c>
    </row>
    <row r="190" spans="2:6" x14ac:dyDescent="0.4">
      <c r="B190" s="54" t="s">
        <v>19</v>
      </c>
      <c r="C190" s="52" t="s">
        <v>19</v>
      </c>
      <c r="D190" s="52" t="s">
        <v>19</v>
      </c>
      <c r="E190" s="53" t="s">
        <v>19</v>
      </c>
      <c r="F190" t="s">
        <v>19</v>
      </c>
    </row>
    <row r="191" spans="2:6" x14ac:dyDescent="0.4">
      <c r="B191" s="54" t="s">
        <v>19</v>
      </c>
      <c r="C191" s="52" t="s">
        <v>19</v>
      </c>
      <c r="D191" s="52" t="s">
        <v>19</v>
      </c>
      <c r="E191" s="53" t="s">
        <v>19</v>
      </c>
      <c r="F191" t="s">
        <v>19</v>
      </c>
    </row>
    <row r="192" spans="2:6" x14ac:dyDescent="0.4">
      <c r="B192" s="54" t="s">
        <v>19</v>
      </c>
      <c r="C192" s="52" t="s">
        <v>19</v>
      </c>
      <c r="D192" s="52" t="s">
        <v>19</v>
      </c>
      <c r="E192" s="53" t="s">
        <v>19</v>
      </c>
      <c r="F192" t="s">
        <v>19</v>
      </c>
    </row>
    <row r="193" spans="2:6" x14ac:dyDescent="0.4">
      <c r="B193" s="54" t="s">
        <v>19</v>
      </c>
      <c r="C193" s="52" t="s">
        <v>19</v>
      </c>
      <c r="D193" s="52" t="s">
        <v>19</v>
      </c>
      <c r="E193" s="53" t="s">
        <v>19</v>
      </c>
      <c r="F193" t="s">
        <v>19</v>
      </c>
    </row>
    <row r="194" spans="2:6" x14ac:dyDescent="0.4">
      <c r="B194" s="54" t="s">
        <v>19</v>
      </c>
      <c r="C194" s="52" t="s">
        <v>19</v>
      </c>
      <c r="D194" s="52" t="s">
        <v>19</v>
      </c>
      <c r="E194" s="53" t="s">
        <v>19</v>
      </c>
      <c r="F194" t="s">
        <v>19</v>
      </c>
    </row>
    <row r="195" spans="2:6" x14ac:dyDescent="0.4">
      <c r="B195" s="54" t="s">
        <v>19</v>
      </c>
      <c r="C195" s="52" t="s">
        <v>19</v>
      </c>
      <c r="D195" s="52" t="s">
        <v>19</v>
      </c>
      <c r="E195" s="53" t="s">
        <v>19</v>
      </c>
      <c r="F195" t="s">
        <v>19</v>
      </c>
    </row>
    <row r="196" spans="2:6" x14ac:dyDescent="0.4">
      <c r="B196" s="54" t="s">
        <v>19</v>
      </c>
      <c r="C196" s="52" t="s">
        <v>19</v>
      </c>
      <c r="D196" s="52" t="s">
        <v>19</v>
      </c>
      <c r="E196" s="53" t="s">
        <v>19</v>
      </c>
      <c r="F196" t="s">
        <v>19</v>
      </c>
    </row>
    <row r="197" spans="2:6" x14ac:dyDescent="0.4">
      <c r="B197" s="54" t="s">
        <v>19</v>
      </c>
      <c r="C197" s="52" t="s">
        <v>19</v>
      </c>
      <c r="D197" s="52" t="s">
        <v>19</v>
      </c>
      <c r="E197" s="53" t="s">
        <v>19</v>
      </c>
      <c r="F197" t="s">
        <v>19</v>
      </c>
    </row>
    <row r="198" spans="2:6" x14ac:dyDescent="0.4">
      <c r="B198" s="54" t="s">
        <v>19</v>
      </c>
      <c r="C198" s="52" t="s">
        <v>19</v>
      </c>
      <c r="D198" s="52" t="s">
        <v>19</v>
      </c>
      <c r="E198" s="53" t="s">
        <v>19</v>
      </c>
      <c r="F198" t="s">
        <v>19</v>
      </c>
    </row>
    <row r="199" spans="2:6" x14ac:dyDescent="0.4">
      <c r="B199" s="54" t="s">
        <v>19</v>
      </c>
      <c r="C199" s="52" t="s">
        <v>19</v>
      </c>
      <c r="D199" s="52" t="s">
        <v>19</v>
      </c>
      <c r="E199" s="53" t="s">
        <v>19</v>
      </c>
      <c r="F199" t="s">
        <v>19</v>
      </c>
    </row>
    <row r="200" spans="2:6" x14ac:dyDescent="0.4">
      <c r="B200" s="54" t="s">
        <v>19</v>
      </c>
      <c r="C200" s="52" t="s">
        <v>19</v>
      </c>
      <c r="D200" s="52" t="s">
        <v>19</v>
      </c>
      <c r="E200" s="53" t="s">
        <v>19</v>
      </c>
      <c r="F200" t="s">
        <v>19</v>
      </c>
    </row>
    <row r="201" spans="2:6" x14ac:dyDescent="0.4">
      <c r="B201" s="54" t="s">
        <v>19</v>
      </c>
      <c r="C201" s="52" t="s">
        <v>19</v>
      </c>
      <c r="D201" s="52" t="s">
        <v>19</v>
      </c>
      <c r="E201" s="53" t="s">
        <v>19</v>
      </c>
      <c r="F201" t="s">
        <v>19</v>
      </c>
    </row>
    <row r="202" spans="2:6" x14ac:dyDescent="0.4">
      <c r="B202" s="54" t="s">
        <v>19</v>
      </c>
      <c r="C202" s="52" t="s">
        <v>19</v>
      </c>
      <c r="D202" s="52" t="s">
        <v>19</v>
      </c>
      <c r="E202" s="53" t="s">
        <v>19</v>
      </c>
      <c r="F202" t="s">
        <v>19</v>
      </c>
    </row>
    <row r="203" spans="2:6" x14ac:dyDescent="0.4">
      <c r="B203" s="54" t="s">
        <v>19</v>
      </c>
      <c r="C203" s="52" t="s">
        <v>19</v>
      </c>
      <c r="D203" s="52" t="s">
        <v>19</v>
      </c>
      <c r="E203" s="53" t="s">
        <v>19</v>
      </c>
      <c r="F203" t="s">
        <v>19</v>
      </c>
    </row>
    <row r="204" spans="2:6" x14ac:dyDescent="0.4">
      <c r="B204" s="54" t="s">
        <v>19</v>
      </c>
      <c r="C204" s="52" t="s">
        <v>19</v>
      </c>
      <c r="D204" s="52" t="s">
        <v>19</v>
      </c>
      <c r="E204" s="53" t="s">
        <v>19</v>
      </c>
      <c r="F204" t="s">
        <v>19</v>
      </c>
    </row>
    <row r="205" spans="2:6" x14ac:dyDescent="0.4">
      <c r="B205" s="54" t="s">
        <v>19</v>
      </c>
      <c r="C205" s="52" t="s">
        <v>19</v>
      </c>
      <c r="D205" s="52" t="s">
        <v>19</v>
      </c>
      <c r="E205" s="53" t="s">
        <v>19</v>
      </c>
      <c r="F205" t="s">
        <v>19</v>
      </c>
    </row>
    <row r="206" spans="2:6" x14ac:dyDescent="0.4">
      <c r="B206" s="54" t="s">
        <v>19</v>
      </c>
      <c r="C206" s="52" t="s">
        <v>19</v>
      </c>
      <c r="D206" s="52" t="s">
        <v>19</v>
      </c>
      <c r="E206" s="53" t="s">
        <v>19</v>
      </c>
      <c r="F206" t="s">
        <v>19</v>
      </c>
    </row>
    <row r="207" spans="2:6" x14ac:dyDescent="0.4">
      <c r="B207" s="54" t="s">
        <v>19</v>
      </c>
      <c r="C207" s="52" t="s">
        <v>19</v>
      </c>
      <c r="D207" s="52" t="s">
        <v>19</v>
      </c>
      <c r="E207" s="53" t="s">
        <v>19</v>
      </c>
      <c r="F207" t="s">
        <v>19</v>
      </c>
    </row>
    <row r="208" spans="2:6" x14ac:dyDescent="0.4">
      <c r="B208" s="54" t="s">
        <v>19</v>
      </c>
      <c r="C208" s="52" t="s">
        <v>19</v>
      </c>
      <c r="D208" s="52" t="s">
        <v>19</v>
      </c>
      <c r="E208" s="53" t="s">
        <v>19</v>
      </c>
      <c r="F208" t="s">
        <v>19</v>
      </c>
    </row>
    <row r="209" spans="2:6" x14ac:dyDescent="0.4">
      <c r="B209" s="54" t="s">
        <v>19</v>
      </c>
      <c r="C209" s="52" t="s">
        <v>19</v>
      </c>
      <c r="D209" s="52" t="s">
        <v>19</v>
      </c>
      <c r="E209" s="53" t="s">
        <v>19</v>
      </c>
      <c r="F209" t="s">
        <v>19</v>
      </c>
    </row>
    <row r="210" spans="2:6" x14ac:dyDescent="0.4">
      <c r="B210" s="54" t="s">
        <v>19</v>
      </c>
      <c r="C210" s="52" t="s">
        <v>19</v>
      </c>
      <c r="D210" s="52" t="s">
        <v>19</v>
      </c>
      <c r="E210" s="53" t="s">
        <v>19</v>
      </c>
      <c r="F210" t="s">
        <v>19</v>
      </c>
    </row>
    <row r="211" spans="2:6" x14ac:dyDescent="0.4">
      <c r="B211" s="54" t="s">
        <v>19</v>
      </c>
      <c r="C211" s="52" t="s">
        <v>19</v>
      </c>
      <c r="D211" s="52" t="s">
        <v>19</v>
      </c>
      <c r="E211" s="53" t="s">
        <v>19</v>
      </c>
      <c r="F211" t="s">
        <v>19</v>
      </c>
    </row>
    <row r="212" spans="2:6" x14ac:dyDescent="0.4">
      <c r="B212" s="54" t="s">
        <v>19</v>
      </c>
      <c r="C212" s="52" t="s">
        <v>19</v>
      </c>
      <c r="D212" s="52" t="s">
        <v>19</v>
      </c>
      <c r="E212" s="53" t="s">
        <v>19</v>
      </c>
      <c r="F212" t="s">
        <v>19</v>
      </c>
    </row>
    <row r="213" spans="2:6" x14ac:dyDescent="0.4">
      <c r="B213" s="54" t="s">
        <v>19</v>
      </c>
      <c r="C213" s="52" t="s">
        <v>19</v>
      </c>
      <c r="D213" s="52" t="s">
        <v>19</v>
      </c>
      <c r="E213" s="53" t="s">
        <v>19</v>
      </c>
      <c r="F213" t="s">
        <v>19</v>
      </c>
    </row>
    <row r="214" spans="2:6" x14ac:dyDescent="0.4">
      <c r="B214" s="54" t="s">
        <v>19</v>
      </c>
      <c r="C214" s="52" t="s">
        <v>19</v>
      </c>
      <c r="D214" s="52" t="s">
        <v>19</v>
      </c>
      <c r="E214" s="53" t="s">
        <v>19</v>
      </c>
      <c r="F214" t="s">
        <v>19</v>
      </c>
    </row>
    <row r="215" spans="2:6" x14ac:dyDescent="0.4">
      <c r="B215" s="54" t="s">
        <v>19</v>
      </c>
      <c r="C215" s="52" t="s">
        <v>19</v>
      </c>
      <c r="D215" s="52" t="s">
        <v>19</v>
      </c>
      <c r="E215" s="53" t="s">
        <v>19</v>
      </c>
      <c r="F215" t="s">
        <v>19</v>
      </c>
    </row>
    <row r="216" spans="2:6" x14ac:dyDescent="0.4">
      <c r="B216" s="54" t="s">
        <v>19</v>
      </c>
      <c r="C216" s="52" t="s">
        <v>19</v>
      </c>
      <c r="D216" s="52" t="s">
        <v>19</v>
      </c>
      <c r="E216" s="53" t="s">
        <v>19</v>
      </c>
      <c r="F216" t="s">
        <v>19</v>
      </c>
    </row>
    <row r="217" spans="2:6" x14ac:dyDescent="0.4">
      <c r="B217" s="54" t="s">
        <v>19</v>
      </c>
      <c r="C217" s="52" t="s">
        <v>19</v>
      </c>
      <c r="D217" s="52" t="s">
        <v>19</v>
      </c>
      <c r="E217" s="53" t="s">
        <v>19</v>
      </c>
      <c r="F217" t="s">
        <v>19</v>
      </c>
    </row>
    <row r="218" spans="2:6" x14ac:dyDescent="0.4">
      <c r="B218" s="54" t="s">
        <v>19</v>
      </c>
      <c r="C218" s="52" t="s">
        <v>19</v>
      </c>
      <c r="D218" s="52" t="s">
        <v>19</v>
      </c>
      <c r="E218" s="53" t="s">
        <v>19</v>
      </c>
      <c r="F218" t="s">
        <v>19</v>
      </c>
    </row>
    <row r="219" spans="2:6" x14ac:dyDescent="0.4">
      <c r="B219" s="54" t="s">
        <v>19</v>
      </c>
      <c r="C219" s="52" t="s">
        <v>19</v>
      </c>
      <c r="D219" s="52" t="s">
        <v>19</v>
      </c>
      <c r="E219" s="53" t="s">
        <v>19</v>
      </c>
      <c r="F219" t="s">
        <v>19</v>
      </c>
    </row>
    <row r="220" spans="2:6" x14ac:dyDescent="0.4">
      <c r="B220" s="54" t="s">
        <v>19</v>
      </c>
      <c r="C220" s="52" t="s">
        <v>19</v>
      </c>
      <c r="D220" s="52" t="s">
        <v>19</v>
      </c>
      <c r="E220" s="53" t="s">
        <v>19</v>
      </c>
      <c r="F220" t="s">
        <v>19</v>
      </c>
    </row>
    <row r="221" spans="2:6" x14ac:dyDescent="0.4">
      <c r="B221" s="54" t="s">
        <v>19</v>
      </c>
      <c r="C221" s="52" t="s">
        <v>19</v>
      </c>
      <c r="D221" s="52" t="s">
        <v>19</v>
      </c>
      <c r="E221" s="53" t="s">
        <v>19</v>
      </c>
      <c r="F221" t="s">
        <v>19</v>
      </c>
    </row>
    <row r="222" spans="2:6" x14ac:dyDescent="0.4">
      <c r="B222" s="54" t="s">
        <v>19</v>
      </c>
      <c r="C222" s="52" t="s">
        <v>19</v>
      </c>
      <c r="D222" s="52" t="s">
        <v>19</v>
      </c>
      <c r="E222" s="53" t="s">
        <v>19</v>
      </c>
      <c r="F222" t="s">
        <v>19</v>
      </c>
    </row>
    <row r="223" spans="2:6" x14ac:dyDescent="0.4">
      <c r="B223" s="54" t="s">
        <v>19</v>
      </c>
      <c r="C223" s="52" t="s">
        <v>19</v>
      </c>
      <c r="D223" s="52" t="s">
        <v>19</v>
      </c>
      <c r="E223" s="53" t="s">
        <v>19</v>
      </c>
      <c r="F223" t="s">
        <v>19</v>
      </c>
    </row>
    <row r="224" spans="2:6" x14ac:dyDescent="0.4">
      <c r="B224" s="54" t="s">
        <v>19</v>
      </c>
      <c r="C224" s="52" t="s">
        <v>19</v>
      </c>
      <c r="D224" s="52" t="s">
        <v>19</v>
      </c>
      <c r="E224" s="53" t="s">
        <v>19</v>
      </c>
      <c r="F224" t="s">
        <v>19</v>
      </c>
    </row>
    <row r="225" spans="2:6" x14ac:dyDescent="0.4">
      <c r="B225" s="54" t="s">
        <v>19</v>
      </c>
      <c r="C225" s="52" t="s">
        <v>19</v>
      </c>
      <c r="D225" s="52" t="s">
        <v>19</v>
      </c>
      <c r="E225" s="53" t="s">
        <v>19</v>
      </c>
      <c r="F225" t="s">
        <v>19</v>
      </c>
    </row>
    <row r="226" spans="2:6" x14ac:dyDescent="0.4">
      <c r="B226" s="54" t="s">
        <v>19</v>
      </c>
      <c r="C226" s="52" t="s">
        <v>19</v>
      </c>
      <c r="D226" s="52" t="s">
        <v>19</v>
      </c>
      <c r="E226" s="53" t="s">
        <v>19</v>
      </c>
      <c r="F226" t="s">
        <v>19</v>
      </c>
    </row>
    <row r="227" spans="2:6" x14ac:dyDescent="0.4">
      <c r="B227" s="54" t="s">
        <v>19</v>
      </c>
      <c r="C227" s="52" t="s">
        <v>19</v>
      </c>
      <c r="D227" s="52" t="s">
        <v>19</v>
      </c>
      <c r="E227" s="53" t="s">
        <v>19</v>
      </c>
      <c r="F227" t="s">
        <v>19</v>
      </c>
    </row>
    <row r="228" spans="2:6" x14ac:dyDescent="0.4">
      <c r="B228" s="54" t="s">
        <v>19</v>
      </c>
      <c r="C228" s="52" t="s">
        <v>19</v>
      </c>
      <c r="D228" s="52" t="s">
        <v>19</v>
      </c>
      <c r="E228" s="53" t="s">
        <v>19</v>
      </c>
      <c r="F228" t="s">
        <v>19</v>
      </c>
    </row>
    <row r="229" spans="2:6" x14ac:dyDescent="0.4">
      <c r="B229" s="54" t="s">
        <v>19</v>
      </c>
      <c r="C229" s="52" t="s">
        <v>19</v>
      </c>
      <c r="D229" s="52" t="s">
        <v>19</v>
      </c>
      <c r="E229" s="53" t="s">
        <v>19</v>
      </c>
      <c r="F229" t="s">
        <v>19</v>
      </c>
    </row>
    <row r="230" spans="2:6" x14ac:dyDescent="0.4">
      <c r="B230" s="54" t="s">
        <v>19</v>
      </c>
      <c r="C230" s="52" t="s">
        <v>19</v>
      </c>
      <c r="D230" s="52" t="s">
        <v>19</v>
      </c>
      <c r="E230" s="53" t="s">
        <v>19</v>
      </c>
      <c r="F230" t="s">
        <v>19</v>
      </c>
    </row>
    <row r="231" spans="2:6" x14ac:dyDescent="0.4">
      <c r="B231" s="54" t="s">
        <v>19</v>
      </c>
      <c r="C231" s="52" t="s">
        <v>19</v>
      </c>
      <c r="D231" s="52" t="s">
        <v>19</v>
      </c>
      <c r="E231" s="53" t="s">
        <v>19</v>
      </c>
      <c r="F231" t="s">
        <v>19</v>
      </c>
    </row>
    <row r="232" spans="2:6" x14ac:dyDescent="0.4">
      <c r="B232" s="54" t="s">
        <v>19</v>
      </c>
      <c r="C232" s="52" t="s">
        <v>19</v>
      </c>
      <c r="D232" s="52" t="s">
        <v>19</v>
      </c>
      <c r="E232" s="53" t="s">
        <v>19</v>
      </c>
      <c r="F232" t="s">
        <v>19</v>
      </c>
    </row>
    <row r="233" spans="2:6" x14ac:dyDescent="0.4">
      <c r="B233" s="54" t="s">
        <v>19</v>
      </c>
      <c r="C233" s="52" t="s">
        <v>19</v>
      </c>
      <c r="D233" s="52" t="s">
        <v>19</v>
      </c>
      <c r="E233" s="53" t="s">
        <v>19</v>
      </c>
      <c r="F233" t="s">
        <v>19</v>
      </c>
    </row>
    <row r="234" spans="2:6" x14ac:dyDescent="0.4">
      <c r="B234" s="54" t="s">
        <v>19</v>
      </c>
      <c r="C234" s="52" t="s">
        <v>19</v>
      </c>
      <c r="D234" s="52" t="s">
        <v>19</v>
      </c>
      <c r="E234" s="53" t="s">
        <v>19</v>
      </c>
      <c r="F234" t="s">
        <v>19</v>
      </c>
    </row>
    <row r="235" spans="2:6" x14ac:dyDescent="0.4">
      <c r="B235" s="54" t="s">
        <v>19</v>
      </c>
      <c r="C235" s="52" t="s">
        <v>19</v>
      </c>
      <c r="D235" s="52" t="s">
        <v>19</v>
      </c>
      <c r="E235" s="53" t="s">
        <v>19</v>
      </c>
      <c r="F235" t="s">
        <v>19</v>
      </c>
    </row>
    <row r="236" spans="2:6" x14ac:dyDescent="0.4">
      <c r="B236" s="54" t="s">
        <v>19</v>
      </c>
      <c r="C236" s="52" t="s">
        <v>19</v>
      </c>
      <c r="D236" s="52" t="s">
        <v>19</v>
      </c>
      <c r="E236" s="53" t="s">
        <v>19</v>
      </c>
      <c r="F236" t="s">
        <v>19</v>
      </c>
    </row>
    <row r="237" spans="2:6" x14ac:dyDescent="0.4">
      <c r="B237" s="54" t="s">
        <v>19</v>
      </c>
      <c r="C237" s="52" t="s">
        <v>19</v>
      </c>
      <c r="D237" s="52" t="s">
        <v>19</v>
      </c>
      <c r="E237" s="53" t="s">
        <v>19</v>
      </c>
      <c r="F237" t="s">
        <v>19</v>
      </c>
    </row>
    <row r="238" spans="2:6" x14ac:dyDescent="0.4">
      <c r="B238" s="54" t="s">
        <v>19</v>
      </c>
      <c r="C238" s="52" t="s">
        <v>19</v>
      </c>
      <c r="D238" s="52" t="s">
        <v>19</v>
      </c>
      <c r="E238" s="53" t="s">
        <v>19</v>
      </c>
      <c r="F238" t="s">
        <v>19</v>
      </c>
    </row>
    <row r="239" spans="2:6" x14ac:dyDescent="0.4">
      <c r="B239" s="54" t="s">
        <v>19</v>
      </c>
      <c r="C239" s="52" t="s">
        <v>19</v>
      </c>
      <c r="D239" s="52" t="s">
        <v>19</v>
      </c>
      <c r="E239" s="53" t="s">
        <v>19</v>
      </c>
      <c r="F239" t="s">
        <v>19</v>
      </c>
    </row>
    <row r="240" spans="2:6" x14ac:dyDescent="0.4">
      <c r="B240" s="54" t="s">
        <v>19</v>
      </c>
      <c r="C240" s="52" t="s">
        <v>19</v>
      </c>
      <c r="D240" s="52" t="s">
        <v>19</v>
      </c>
      <c r="E240" s="53" t="s">
        <v>19</v>
      </c>
      <c r="F240" t="s">
        <v>19</v>
      </c>
    </row>
    <row r="241" spans="2:6" x14ac:dyDescent="0.4">
      <c r="B241" s="54" t="s">
        <v>19</v>
      </c>
      <c r="C241" s="52" t="s">
        <v>19</v>
      </c>
      <c r="D241" s="52" t="s">
        <v>19</v>
      </c>
      <c r="E241" s="53" t="s">
        <v>19</v>
      </c>
      <c r="F241" t="s">
        <v>19</v>
      </c>
    </row>
    <row r="242" spans="2:6" x14ac:dyDescent="0.4">
      <c r="B242" s="54" t="s">
        <v>19</v>
      </c>
      <c r="C242" s="52" t="s">
        <v>19</v>
      </c>
      <c r="D242" s="52" t="s">
        <v>19</v>
      </c>
      <c r="E242" s="53" t="s">
        <v>19</v>
      </c>
      <c r="F242" t="s">
        <v>19</v>
      </c>
    </row>
    <row r="243" spans="2:6" x14ac:dyDescent="0.4">
      <c r="B243" s="54" t="s">
        <v>19</v>
      </c>
      <c r="C243" s="52" t="s">
        <v>19</v>
      </c>
      <c r="D243" s="52" t="s">
        <v>19</v>
      </c>
      <c r="E243" s="53" t="s">
        <v>19</v>
      </c>
      <c r="F243" t="s">
        <v>19</v>
      </c>
    </row>
    <row r="244" spans="2:6" x14ac:dyDescent="0.4">
      <c r="B244" s="54" t="s">
        <v>19</v>
      </c>
      <c r="C244" s="52" t="s">
        <v>19</v>
      </c>
      <c r="D244" s="52" t="s">
        <v>19</v>
      </c>
      <c r="E244" s="53" t="s">
        <v>19</v>
      </c>
      <c r="F244" t="s">
        <v>19</v>
      </c>
    </row>
    <row r="245" spans="2:6" x14ac:dyDescent="0.4">
      <c r="B245" s="54" t="s">
        <v>19</v>
      </c>
      <c r="C245" s="52" t="s">
        <v>19</v>
      </c>
      <c r="D245" s="52" t="s">
        <v>19</v>
      </c>
      <c r="E245" s="53" t="s">
        <v>19</v>
      </c>
      <c r="F245" t="s">
        <v>19</v>
      </c>
    </row>
    <row r="246" spans="2:6" x14ac:dyDescent="0.4">
      <c r="B246" s="54" t="s">
        <v>19</v>
      </c>
      <c r="C246" s="52" t="s">
        <v>19</v>
      </c>
      <c r="D246" s="52" t="s">
        <v>19</v>
      </c>
      <c r="E246" s="53" t="s">
        <v>19</v>
      </c>
      <c r="F246" t="s">
        <v>19</v>
      </c>
    </row>
    <row r="247" spans="2:6" x14ac:dyDescent="0.4">
      <c r="B247" s="54" t="s">
        <v>19</v>
      </c>
      <c r="C247" s="52" t="s">
        <v>19</v>
      </c>
      <c r="D247" s="52" t="s">
        <v>19</v>
      </c>
      <c r="E247" s="53" t="s">
        <v>19</v>
      </c>
      <c r="F247" t="s">
        <v>19</v>
      </c>
    </row>
    <row r="248" spans="2:6" x14ac:dyDescent="0.4">
      <c r="B248" s="54" t="s">
        <v>19</v>
      </c>
      <c r="C248" s="52" t="s">
        <v>19</v>
      </c>
      <c r="D248" s="52" t="s">
        <v>19</v>
      </c>
      <c r="E248" s="53" t="s">
        <v>19</v>
      </c>
      <c r="F248" t="s">
        <v>19</v>
      </c>
    </row>
    <row r="249" spans="2:6" x14ac:dyDescent="0.4">
      <c r="B249" s="54" t="s">
        <v>19</v>
      </c>
      <c r="C249" s="52" t="s">
        <v>19</v>
      </c>
      <c r="D249" s="52" t="s">
        <v>19</v>
      </c>
      <c r="E249" s="53" t="s">
        <v>19</v>
      </c>
      <c r="F249" t="s">
        <v>19</v>
      </c>
    </row>
    <row r="250" spans="2:6" x14ac:dyDescent="0.4">
      <c r="B250" s="54" t="s">
        <v>19</v>
      </c>
      <c r="C250" s="52" t="s">
        <v>19</v>
      </c>
      <c r="D250" s="52" t="s">
        <v>19</v>
      </c>
      <c r="E250" s="53" t="s">
        <v>19</v>
      </c>
      <c r="F250" t="s">
        <v>19</v>
      </c>
    </row>
    <row r="251" spans="2:6" x14ac:dyDescent="0.4">
      <c r="B251" s="54" t="s">
        <v>19</v>
      </c>
      <c r="C251" s="52" t="s">
        <v>19</v>
      </c>
      <c r="D251" s="52" t="s">
        <v>19</v>
      </c>
      <c r="E251" s="53" t="s">
        <v>19</v>
      </c>
      <c r="F251" t="s">
        <v>19</v>
      </c>
    </row>
    <row r="252" spans="2:6" x14ac:dyDescent="0.4">
      <c r="B252" s="54" t="s">
        <v>19</v>
      </c>
      <c r="C252" s="52" t="s">
        <v>19</v>
      </c>
      <c r="D252" s="52" t="s">
        <v>19</v>
      </c>
      <c r="E252" s="53" t="s">
        <v>19</v>
      </c>
      <c r="F252" t="s">
        <v>19</v>
      </c>
    </row>
    <row r="253" spans="2:6" x14ac:dyDescent="0.4">
      <c r="B253" s="54" t="s">
        <v>19</v>
      </c>
      <c r="C253" s="52" t="s">
        <v>19</v>
      </c>
      <c r="D253" s="52" t="s">
        <v>19</v>
      </c>
      <c r="E253" s="53" t="s">
        <v>19</v>
      </c>
      <c r="F253" t="s">
        <v>19</v>
      </c>
    </row>
    <row r="254" spans="2:6" x14ac:dyDescent="0.4">
      <c r="B254" s="54" t="s">
        <v>19</v>
      </c>
      <c r="C254" s="52" t="s">
        <v>19</v>
      </c>
      <c r="D254" s="52" t="s">
        <v>19</v>
      </c>
      <c r="E254" s="53" t="s">
        <v>19</v>
      </c>
      <c r="F254" t="s">
        <v>19</v>
      </c>
    </row>
    <row r="255" spans="2:6" x14ac:dyDescent="0.4">
      <c r="B255" s="54" t="s">
        <v>19</v>
      </c>
      <c r="C255" s="52" t="s">
        <v>19</v>
      </c>
      <c r="D255" s="52" t="s">
        <v>19</v>
      </c>
      <c r="E255" s="53" t="s">
        <v>19</v>
      </c>
      <c r="F255" t="s">
        <v>19</v>
      </c>
    </row>
    <row r="256" spans="2:6" x14ac:dyDescent="0.4">
      <c r="B256" s="54" t="s">
        <v>19</v>
      </c>
      <c r="C256" s="52" t="s">
        <v>19</v>
      </c>
      <c r="D256" s="52" t="s">
        <v>19</v>
      </c>
      <c r="E256" s="53" t="s">
        <v>19</v>
      </c>
      <c r="F256" t="s">
        <v>19</v>
      </c>
    </row>
    <row r="257" spans="2:6" x14ac:dyDescent="0.4">
      <c r="B257" s="54" t="s">
        <v>19</v>
      </c>
      <c r="C257" s="52" t="s">
        <v>19</v>
      </c>
      <c r="D257" s="52" t="s">
        <v>19</v>
      </c>
      <c r="E257" s="53" t="s">
        <v>19</v>
      </c>
      <c r="F257" t="s">
        <v>19</v>
      </c>
    </row>
    <row r="258" spans="2:6" x14ac:dyDescent="0.4">
      <c r="B258" s="54" t="s">
        <v>19</v>
      </c>
      <c r="C258" s="52" t="s">
        <v>19</v>
      </c>
      <c r="D258" s="52" t="s">
        <v>19</v>
      </c>
      <c r="E258" s="53" t="s">
        <v>19</v>
      </c>
      <c r="F258" t="s">
        <v>19</v>
      </c>
    </row>
    <row r="259" spans="2:6" x14ac:dyDescent="0.4">
      <c r="B259" s="54" t="s">
        <v>19</v>
      </c>
      <c r="C259" s="52" t="s">
        <v>19</v>
      </c>
      <c r="D259" s="52" t="s">
        <v>19</v>
      </c>
      <c r="E259" s="53" t="s">
        <v>19</v>
      </c>
      <c r="F259" t="s">
        <v>19</v>
      </c>
    </row>
    <row r="260" spans="2:6" x14ac:dyDescent="0.4">
      <c r="B260" s="54" t="s">
        <v>19</v>
      </c>
      <c r="C260" s="52" t="s">
        <v>19</v>
      </c>
      <c r="D260" s="52" t="s">
        <v>19</v>
      </c>
      <c r="E260" s="53" t="s">
        <v>19</v>
      </c>
      <c r="F260" t="s">
        <v>19</v>
      </c>
    </row>
    <row r="261" spans="2:6" x14ac:dyDescent="0.4">
      <c r="B261" s="54" t="s">
        <v>19</v>
      </c>
      <c r="C261" s="52" t="s">
        <v>19</v>
      </c>
      <c r="D261" s="52" t="s">
        <v>19</v>
      </c>
      <c r="E261" s="53" t="s">
        <v>19</v>
      </c>
      <c r="F261" t="s">
        <v>19</v>
      </c>
    </row>
    <row r="262" spans="2:6" x14ac:dyDescent="0.4">
      <c r="B262" s="54" t="s">
        <v>19</v>
      </c>
      <c r="C262" s="52" t="s">
        <v>19</v>
      </c>
      <c r="D262" s="52" t="s">
        <v>19</v>
      </c>
      <c r="E262" s="53" t="s">
        <v>19</v>
      </c>
      <c r="F262" t="s">
        <v>19</v>
      </c>
    </row>
    <row r="263" spans="2:6" x14ac:dyDescent="0.4">
      <c r="B263" s="54" t="s">
        <v>19</v>
      </c>
      <c r="C263" s="52" t="s">
        <v>19</v>
      </c>
      <c r="D263" s="52" t="s">
        <v>19</v>
      </c>
      <c r="E263" s="53" t="s">
        <v>19</v>
      </c>
      <c r="F263" t="s">
        <v>19</v>
      </c>
    </row>
    <row r="264" spans="2:6" x14ac:dyDescent="0.4">
      <c r="B264" s="54" t="s">
        <v>19</v>
      </c>
      <c r="C264" s="52" t="s">
        <v>19</v>
      </c>
      <c r="D264" s="52" t="s">
        <v>19</v>
      </c>
      <c r="E264" s="53" t="s">
        <v>19</v>
      </c>
      <c r="F264" t="s">
        <v>19</v>
      </c>
    </row>
    <row r="265" spans="2:6" x14ac:dyDescent="0.4">
      <c r="B265" s="54" t="s">
        <v>19</v>
      </c>
      <c r="C265" s="52" t="s">
        <v>19</v>
      </c>
      <c r="D265" s="52" t="s">
        <v>19</v>
      </c>
      <c r="E265" s="53" t="s">
        <v>19</v>
      </c>
      <c r="F265" t="s">
        <v>19</v>
      </c>
    </row>
    <row r="266" spans="2:6" x14ac:dyDescent="0.4">
      <c r="B266" s="54" t="s">
        <v>19</v>
      </c>
      <c r="C266" s="52" t="s">
        <v>19</v>
      </c>
      <c r="D266" s="52" t="s">
        <v>19</v>
      </c>
      <c r="E266" s="53" t="s">
        <v>19</v>
      </c>
      <c r="F266" t="s">
        <v>19</v>
      </c>
    </row>
    <row r="267" spans="2:6" x14ac:dyDescent="0.4">
      <c r="B267" s="54" t="s">
        <v>19</v>
      </c>
      <c r="C267" s="52" t="s">
        <v>19</v>
      </c>
      <c r="D267" s="52" t="s">
        <v>19</v>
      </c>
      <c r="E267" s="53" t="s">
        <v>19</v>
      </c>
      <c r="F267" t="s">
        <v>19</v>
      </c>
    </row>
    <row r="268" spans="2:6" x14ac:dyDescent="0.4">
      <c r="B268" s="54" t="s">
        <v>19</v>
      </c>
      <c r="C268" s="52" t="s">
        <v>19</v>
      </c>
      <c r="D268" s="52" t="s">
        <v>19</v>
      </c>
      <c r="E268" s="53" t="s">
        <v>19</v>
      </c>
      <c r="F268" t="s">
        <v>19</v>
      </c>
    </row>
    <row r="269" spans="2:6" x14ac:dyDescent="0.4">
      <c r="B269" s="54" t="s">
        <v>19</v>
      </c>
      <c r="C269" s="52" t="s">
        <v>19</v>
      </c>
      <c r="D269" s="52" t="s">
        <v>19</v>
      </c>
      <c r="E269" s="53" t="s">
        <v>19</v>
      </c>
      <c r="F269" t="s">
        <v>19</v>
      </c>
    </row>
    <row r="270" spans="2:6" x14ac:dyDescent="0.4">
      <c r="B270" s="54" t="s">
        <v>19</v>
      </c>
      <c r="C270" s="52" t="s">
        <v>19</v>
      </c>
      <c r="D270" s="52" t="s">
        <v>19</v>
      </c>
      <c r="E270" s="53" t="s">
        <v>19</v>
      </c>
      <c r="F270" t="s">
        <v>19</v>
      </c>
    </row>
    <row r="271" spans="2:6" x14ac:dyDescent="0.4">
      <c r="B271" s="54" t="s">
        <v>19</v>
      </c>
      <c r="C271" s="52" t="s">
        <v>19</v>
      </c>
      <c r="D271" s="52" t="s">
        <v>19</v>
      </c>
      <c r="E271" s="53" t="s">
        <v>19</v>
      </c>
      <c r="F271" t="s">
        <v>19</v>
      </c>
    </row>
    <row r="272" spans="2:6" x14ac:dyDescent="0.4">
      <c r="B272" s="54" t="s">
        <v>19</v>
      </c>
      <c r="C272" s="52" t="s">
        <v>19</v>
      </c>
      <c r="D272" s="52" t="s">
        <v>19</v>
      </c>
      <c r="E272" s="53" t="s">
        <v>19</v>
      </c>
      <c r="F272" t="s">
        <v>19</v>
      </c>
    </row>
    <row r="273" spans="2:6" x14ac:dyDescent="0.4">
      <c r="B273" s="54" t="s">
        <v>19</v>
      </c>
      <c r="C273" s="52" t="s">
        <v>19</v>
      </c>
      <c r="D273" s="52" t="s">
        <v>19</v>
      </c>
      <c r="E273" s="53" t="s">
        <v>19</v>
      </c>
      <c r="F273" t="s">
        <v>19</v>
      </c>
    </row>
    <row r="274" spans="2:6" x14ac:dyDescent="0.4">
      <c r="B274" s="54" t="s">
        <v>19</v>
      </c>
      <c r="C274" s="52" t="s">
        <v>19</v>
      </c>
      <c r="D274" s="52" t="s">
        <v>19</v>
      </c>
      <c r="E274" s="53" t="s">
        <v>19</v>
      </c>
      <c r="F274" t="s">
        <v>19</v>
      </c>
    </row>
    <row r="275" spans="2:6" x14ac:dyDescent="0.4">
      <c r="B275" s="54" t="s">
        <v>19</v>
      </c>
      <c r="C275" s="52" t="s">
        <v>19</v>
      </c>
      <c r="D275" s="52" t="s">
        <v>19</v>
      </c>
      <c r="E275" s="53" t="s">
        <v>19</v>
      </c>
      <c r="F275" t="s">
        <v>19</v>
      </c>
    </row>
    <row r="276" spans="2:6" x14ac:dyDescent="0.4">
      <c r="B276" s="54" t="s">
        <v>19</v>
      </c>
      <c r="C276" s="52" t="s">
        <v>19</v>
      </c>
      <c r="D276" s="52" t="s">
        <v>19</v>
      </c>
      <c r="E276" s="53" t="s">
        <v>19</v>
      </c>
      <c r="F276" t="s">
        <v>19</v>
      </c>
    </row>
    <row r="277" spans="2:6" x14ac:dyDescent="0.4">
      <c r="B277" s="54" t="s">
        <v>19</v>
      </c>
      <c r="C277" s="52" t="s">
        <v>19</v>
      </c>
      <c r="D277" s="52" t="s">
        <v>19</v>
      </c>
      <c r="E277" s="53" t="s">
        <v>19</v>
      </c>
      <c r="F277" t="s">
        <v>19</v>
      </c>
    </row>
    <row r="278" spans="2:6" x14ac:dyDescent="0.4">
      <c r="B278" s="54" t="s">
        <v>19</v>
      </c>
      <c r="C278" s="52" t="s">
        <v>19</v>
      </c>
      <c r="D278" s="52" t="s">
        <v>19</v>
      </c>
      <c r="E278" s="53" t="s">
        <v>19</v>
      </c>
      <c r="F278" t="s">
        <v>19</v>
      </c>
    </row>
    <row r="279" spans="2:6" x14ac:dyDescent="0.4">
      <c r="B279" s="54" t="s">
        <v>19</v>
      </c>
      <c r="C279" s="52" t="s">
        <v>19</v>
      </c>
      <c r="D279" s="52" t="s">
        <v>19</v>
      </c>
      <c r="E279" s="53" t="s">
        <v>19</v>
      </c>
      <c r="F279" t="s">
        <v>19</v>
      </c>
    </row>
    <row r="280" spans="2:6" x14ac:dyDescent="0.4">
      <c r="B280" s="54" t="s">
        <v>19</v>
      </c>
      <c r="C280" s="52" t="s">
        <v>19</v>
      </c>
      <c r="D280" s="52" t="s">
        <v>19</v>
      </c>
      <c r="E280" s="53" t="s">
        <v>19</v>
      </c>
      <c r="F280" t="s">
        <v>19</v>
      </c>
    </row>
    <row r="281" spans="2:6" x14ac:dyDescent="0.4">
      <c r="B281" s="54" t="s">
        <v>19</v>
      </c>
      <c r="C281" s="52" t="s">
        <v>19</v>
      </c>
      <c r="D281" s="52" t="s">
        <v>19</v>
      </c>
      <c r="E281" s="53" t="s">
        <v>19</v>
      </c>
      <c r="F281" t="s">
        <v>19</v>
      </c>
    </row>
    <row r="282" spans="2:6" x14ac:dyDescent="0.4">
      <c r="B282" s="54" t="s">
        <v>19</v>
      </c>
      <c r="C282" s="52" t="s">
        <v>19</v>
      </c>
      <c r="D282" s="52" t="s">
        <v>19</v>
      </c>
      <c r="E282" s="53" t="s">
        <v>19</v>
      </c>
      <c r="F282" t="s">
        <v>19</v>
      </c>
    </row>
    <row r="283" spans="2:6" x14ac:dyDescent="0.4">
      <c r="B283" s="54" t="s">
        <v>19</v>
      </c>
      <c r="C283" s="52" t="s">
        <v>19</v>
      </c>
      <c r="D283" s="52" t="s">
        <v>19</v>
      </c>
      <c r="E283" s="53" t="s">
        <v>19</v>
      </c>
      <c r="F283" t="s">
        <v>19</v>
      </c>
    </row>
    <row r="284" spans="2:6" x14ac:dyDescent="0.4">
      <c r="B284" s="54" t="s">
        <v>19</v>
      </c>
      <c r="C284" s="52" t="s">
        <v>19</v>
      </c>
      <c r="D284" s="52" t="s">
        <v>19</v>
      </c>
      <c r="E284" s="53" t="s">
        <v>19</v>
      </c>
      <c r="F284" t="s">
        <v>19</v>
      </c>
    </row>
    <row r="285" spans="2:6" x14ac:dyDescent="0.4">
      <c r="B285" s="54" t="s">
        <v>19</v>
      </c>
      <c r="C285" s="52" t="s">
        <v>19</v>
      </c>
      <c r="D285" s="52" t="s">
        <v>19</v>
      </c>
      <c r="E285" s="53" t="s">
        <v>19</v>
      </c>
      <c r="F285" t="s">
        <v>19</v>
      </c>
    </row>
    <row r="286" spans="2:6" x14ac:dyDescent="0.4">
      <c r="B286" s="54" t="s">
        <v>19</v>
      </c>
      <c r="C286" s="52" t="s">
        <v>19</v>
      </c>
      <c r="D286" s="52" t="s">
        <v>19</v>
      </c>
      <c r="E286" s="53" t="s">
        <v>19</v>
      </c>
      <c r="F286" t="s">
        <v>19</v>
      </c>
    </row>
    <row r="287" spans="2:6" x14ac:dyDescent="0.4">
      <c r="B287" s="54" t="s">
        <v>19</v>
      </c>
      <c r="C287" s="52" t="s">
        <v>19</v>
      </c>
      <c r="D287" s="52" t="s">
        <v>19</v>
      </c>
      <c r="E287" s="53" t="s">
        <v>19</v>
      </c>
      <c r="F287" t="s">
        <v>19</v>
      </c>
    </row>
    <row r="288" spans="2:6" x14ac:dyDescent="0.4">
      <c r="B288" s="54" t="s">
        <v>19</v>
      </c>
      <c r="C288" s="52" t="s">
        <v>19</v>
      </c>
      <c r="D288" s="52" t="s">
        <v>19</v>
      </c>
      <c r="E288" s="53" t="s">
        <v>19</v>
      </c>
      <c r="F288" t="s">
        <v>19</v>
      </c>
    </row>
    <row r="289" spans="2:6" x14ac:dyDescent="0.4">
      <c r="B289" s="54" t="s">
        <v>19</v>
      </c>
      <c r="C289" s="52" t="s">
        <v>19</v>
      </c>
      <c r="D289" s="52" t="s">
        <v>19</v>
      </c>
      <c r="E289" s="53" t="s">
        <v>19</v>
      </c>
      <c r="F289" t="s">
        <v>19</v>
      </c>
    </row>
    <row r="290" spans="2:6" x14ac:dyDescent="0.4">
      <c r="B290" s="54" t="s">
        <v>19</v>
      </c>
      <c r="C290" s="52" t="s">
        <v>19</v>
      </c>
      <c r="D290" s="52" t="s">
        <v>19</v>
      </c>
      <c r="E290" s="53" t="s">
        <v>19</v>
      </c>
      <c r="F290" t="s">
        <v>19</v>
      </c>
    </row>
    <row r="291" spans="2:6" x14ac:dyDescent="0.4">
      <c r="B291" s="54" t="s">
        <v>19</v>
      </c>
      <c r="C291" s="52" t="s">
        <v>19</v>
      </c>
      <c r="D291" s="52" t="s">
        <v>19</v>
      </c>
      <c r="E291" s="53" t="s">
        <v>19</v>
      </c>
      <c r="F291" t="s">
        <v>19</v>
      </c>
    </row>
    <row r="292" spans="2:6" x14ac:dyDescent="0.4">
      <c r="B292" s="54" t="s">
        <v>19</v>
      </c>
      <c r="C292" s="52" t="s">
        <v>19</v>
      </c>
      <c r="D292" s="52" t="s">
        <v>19</v>
      </c>
      <c r="E292" s="53" t="s">
        <v>19</v>
      </c>
      <c r="F292" t="s">
        <v>19</v>
      </c>
    </row>
    <row r="293" spans="2:6" x14ac:dyDescent="0.4">
      <c r="B293" s="54" t="s">
        <v>19</v>
      </c>
      <c r="C293" s="52" t="s">
        <v>19</v>
      </c>
      <c r="D293" s="52" t="s">
        <v>19</v>
      </c>
      <c r="E293" s="53" t="s">
        <v>19</v>
      </c>
      <c r="F293" t="s">
        <v>19</v>
      </c>
    </row>
    <row r="294" spans="2:6" x14ac:dyDescent="0.4">
      <c r="B294" s="54" t="s">
        <v>19</v>
      </c>
      <c r="C294" s="52" t="s">
        <v>19</v>
      </c>
      <c r="D294" s="52" t="s">
        <v>19</v>
      </c>
      <c r="E294" s="53" t="s">
        <v>19</v>
      </c>
      <c r="F294" t="s">
        <v>19</v>
      </c>
    </row>
    <row r="295" spans="2:6" x14ac:dyDescent="0.4">
      <c r="B295" s="54" t="s">
        <v>19</v>
      </c>
      <c r="C295" s="52" t="s">
        <v>19</v>
      </c>
      <c r="D295" s="52" t="s">
        <v>19</v>
      </c>
      <c r="E295" s="53" t="s">
        <v>19</v>
      </c>
      <c r="F295" t="s">
        <v>19</v>
      </c>
    </row>
    <row r="296" spans="2:6" x14ac:dyDescent="0.4">
      <c r="B296" s="54" t="s">
        <v>19</v>
      </c>
      <c r="C296" s="52" t="s">
        <v>19</v>
      </c>
      <c r="D296" s="52" t="s">
        <v>19</v>
      </c>
      <c r="E296" s="53" t="s">
        <v>19</v>
      </c>
      <c r="F296" t="s">
        <v>19</v>
      </c>
    </row>
    <row r="297" spans="2:6" x14ac:dyDescent="0.4">
      <c r="B297" s="54" t="s">
        <v>19</v>
      </c>
      <c r="C297" s="52" t="s">
        <v>19</v>
      </c>
      <c r="D297" s="52" t="s">
        <v>19</v>
      </c>
      <c r="E297" s="53" t="s">
        <v>19</v>
      </c>
      <c r="F297" t="s">
        <v>19</v>
      </c>
    </row>
    <row r="298" spans="2:6" x14ac:dyDescent="0.4">
      <c r="B298" s="54" t="s">
        <v>19</v>
      </c>
      <c r="C298" s="52" t="s">
        <v>19</v>
      </c>
      <c r="D298" s="52" t="s">
        <v>19</v>
      </c>
      <c r="E298" s="53" t="s">
        <v>19</v>
      </c>
      <c r="F298" t="s">
        <v>19</v>
      </c>
    </row>
    <row r="299" spans="2:6" x14ac:dyDescent="0.4">
      <c r="B299" s="54" t="s">
        <v>19</v>
      </c>
      <c r="C299" s="52" t="s">
        <v>19</v>
      </c>
      <c r="D299" s="52" t="s">
        <v>19</v>
      </c>
      <c r="E299" s="53" t="s">
        <v>19</v>
      </c>
      <c r="F299" t="s">
        <v>19</v>
      </c>
    </row>
    <row r="300" spans="2:6" x14ac:dyDescent="0.4">
      <c r="B300" s="54" t="s">
        <v>19</v>
      </c>
      <c r="C300" s="52" t="s">
        <v>19</v>
      </c>
      <c r="D300" s="52" t="s">
        <v>19</v>
      </c>
      <c r="E300" s="53" t="s">
        <v>19</v>
      </c>
      <c r="F300" t="s">
        <v>19</v>
      </c>
    </row>
    <row r="301" spans="2:6" x14ac:dyDescent="0.4">
      <c r="B301" s="54" t="s">
        <v>19</v>
      </c>
      <c r="C301" s="52" t="s">
        <v>19</v>
      </c>
      <c r="D301" s="52" t="s">
        <v>19</v>
      </c>
      <c r="E301" s="53" t="s">
        <v>19</v>
      </c>
      <c r="F301" t="s">
        <v>19</v>
      </c>
    </row>
    <row r="302" spans="2:6" x14ac:dyDescent="0.4">
      <c r="B302" s="54" t="s">
        <v>19</v>
      </c>
      <c r="C302" s="52" t="s">
        <v>19</v>
      </c>
      <c r="D302" s="52" t="s">
        <v>19</v>
      </c>
      <c r="E302" s="53" t="s">
        <v>19</v>
      </c>
      <c r="F302" t="s">
        <v>19</v>
      </c>
    </row>
    <row r="303" spans="2:6" x14ac:dyDescent="0.4">
      <c r="B303" s="54" t="s">
        <v>19</v>
      </c>
      <c r="C303" s="52" t="s">
        <v>19</v>
      </c>
      <c r="D303" s="52" t="s">
        <v>19</v>
      </c>
      <c r="E303" s="53" t="s">
        <v>19</v>
      </c>
      <c r="F303" t="s">
        <v>19</v>
      </c>
    </row>
    <row r="304" spans="2:6" x14ac:dyDescent="0.4">
      <c r="B304" s="54" t="s">
        <v>19</v>
      </c>
      <c r="C304" s="52" t="s">
        <v>19</v>
      </c>
      <c r="D304" s="52" t="s">
        <v>19</v>
      </c>
      <c r="E304" s="53" t="s">
        <v>19</v>
      </c>
      <c r="F304" t="s">
        <v>19</v>
      </c>
    </row>
    <row r="305" spans="2:6" x14ac:dyDescent="0.4">
      <c r="B305" s="54" t="s">
        <v>19</v>
      </c>
      <c r="C305" s="52" t="s">
        <v>19</v>
      </c>
      <c r="D305" s="52" t="s">
        <v>19</v>
      </c>
      <c r="E305" s="53" t="s">
        <v>19</v>
      </c>
      <c r="F305" t="s">
        <v>19</v>
      </c>
    </row>
    <row r="306" spans="2:6" x14ac:dyDescent="0.4">
      <c r="B306" s="54" t="s">
        <v>19</v>
      </c>
      <c r="C306" s="52" t="s">
        <v>19</v>
      </c>
      <c r="D306" s="52" t="s">
        <v>19</v>
      </c>
      <c r="E306" s="53" t="s">
        <v>19</v>
      </c>
      <c r="F306" t="s">
        <v>19</v>
      </c>
    </row>
    <row r="307" spans="2:6" x14ac:dyDescent="0.4">
      <c r="B307" s="54" t="s">
        <v>19</v>
      </c>
      <c r="C307" s="52" t="s">
        <v>19</v>
      </c>
      <c r="D307" s="52" t="s">
        <v>19</v>
      </c>
      <c r="E307" s="53" t="s">
        <v>19</v>
      </c>
      <c r="F307" t="s">
        <v>19</v>
      </c>
    </row>
    <row r="308" spans="2:6" x14ac:dyDescent="0.4">
      <c r="B308" s="54" t="s">
        <v>19</v>
      </c>
      <c r="C308" s="52" t="s">
        <v>19</v>
      </c>
      <c r="D308" s="52" t="s">
        <v>19</v>
      </c>
      <c r="E308" s="53" t="s">
        <v>19</v>
      </c>
      <c r="F308" t="s">
        <v>19</v>
      </c>
    </row>
    <row r="309" spans="2:6" x14ac:dyDescent="0.4">
      <c r="B309" s="54" t="s">
        <v>19</v>
      </c>
      <c r="C309" s="52" t="s">
        <v>19</v>
      </c>
      <c r="D309" s="52" t="s">
        <v>19</v>
      </c>
      <c r="E309" s="53" t="s">
        <v>19</v>
      </c>
      <c r="F309" t="s">
        <v>19</v>
      </c>
    </row>
    <row r="310" spans="2:6" x14ac:dyDescent="0.4">
      <c r="B310" s="54" t="s">
        <v>19</v>
      </c>
      <c r="C310" s="52" t="s">
        <v>19</v>
      </c>
      <c r="D310" s="52" t="s">
        <v>19</v>
      </c>
      <c r="E310" s="53" t="s">
        <v>19</v>
      </c>
      <c r="F310" t="s">
        <v>19</v>
      </c>
    </row>
    <row r="311" spans="2:6" x14ac:dyDescent="0.4">
      <c r="B311" s="54" t="s">
        <v>19</v>
      </c>
      <c r="C311" s="52" t="s">
        <v>19</v>
      </c>
      <c r="D311" s="52" t="s">
        <v>19</v>
      </c>
      <c r="E311" s="53" t="s">
        <v>19</v>
      </c>
      <c r="F311" t="s">
        <v>19</v>
      </c>
    </row>
    <row r="312" spans="2:6" x14ac:dyDescent="0.4">
      <c r="B312" s="54" t="s">
        <v>19</v>
      </c>
      <c r="C312" s="52" t="s">
        <v>19</v>
      </c>
      <c r="D312" s="52" t="s">
        <v>19</v>
      </c>
      <c r="E312" s="53" t="s">
        <v>19</v>
      </c>
      <c r="F312" t="s">
        <v>19</v>
      </c>
    </row>
    <row r="313" spans="2:6" x14ac:dyDescent="0.4">
      <c r="B313" s="54" t="s">
        <v>19</v>
      </c>
      <c r="C313" s="52" t="s">
        <v>19</v>
      </c>
      <c r="D313" s="52" t="s">
        <v>19</v>
      </c>
      <c r="E313" s="53" t="s">
        <v>19</v>
      </c>
      <c r="F313" t="s">
        <v>19</v>
      </c>
    </row>
    <row r="314" spans="2:6" x14ac:dyDescent="0.4">
      <c r="B314" s="54" t="s">
        <v>19</v>
      </c>
      <c r="C314" s="52" t="s">
        <v>19</v>
      </c>
      <c r="D314" s="52" t="s">
        <v>19</v>
      </c>
      <c r="E314" s="53" t="s">
        <v>19</v>
      </c>
      <c r="F314" t="s">
        <v>19</v>
      </c>
    </row>
    <row r="315" spans="2:6" x14ac:dyDescent="0.4">
      <c r="B315" s="54" t="s">
        <v>19</v>
      </c>
      <c r="C315" s="52" t="s">
        <v>19</v>
      </c>
      <c r="D315" s="52" t="s">
        <v>19</v>
      </c>
      <c r="E315" s="53" t="s">
        <v>19</v>
      </c>
      <c r="F315" t="s">
        <v>19</v>
      </c>
    </row>
    <row r="316" spans="2:6" x14ac:dyDescent="0.4">
      <c r="B316" s="54" t="s">
        <v>19</v>
      </c>
      <c r="C316" s="52" t="s">
        <v>19</v>
      </c>
      <c r="D316" s="52" t="s">
        <v>19</v>
      </c>
      <c r="E316" s="53" t="s">
        <v>19</v>
      </c>
      <c r="F316" t="s">
        <v>19</v>
      </c>
    </row>
    <row r="317" spans="2:6" x14ac:dyDescent="0.4">
      <c r="B317" s="54" t="s">
        <v>19</v>
      </c>
      <c r="C317" s="52" t="s">
        <v>19</v>
      </c>
      <c r="D317" s="52" t="s">
        <v>19</v>
      </c>
      <c r="E317" s="53" t="s">
        <v>19</v>
      </c>
      <c r="F317" t="s">
        <v>19</v>
      </c>
    </row>
    <row r="318" spans="2:6" x14ac:dyDescent="0.4">
      <c r="B318" s="54" t="s">
        <v>19</v>
      </c>
      <c r="C318" s="52" t="s">
        <v>19</v>
      </c>
      <c r="D318" s="52" t="s">
        <v>19</v>
      </c>
      <c r="E318" s="53" t="s">
        <v>19</v>
      </c>
      <c r="F318" t="s">
        <v>19</v>
      </c>
    </row>
    <row r="319" spans="2:6" x14ac:dyDescent="0.4">
      <c r="B319" s="54" t="s">
        <v>19</v>
      </c>
      <c r="C319" s="52" t="s">
        <v>19</v>
      </c>
      <c r="D319" s="52" t="s">
        <v>19</v>
      </c>
      <c r="E319" s="53" t="s">
        <v>19</v>
      </c>
      <c r="F319" t="s">
        <v>19</v>
      </c>
    </row>
    <row r="320" spans="2:6" x14ac:dyDescent="0.4">
      <c r="B320" s="54" t="s">
        <v>19</v>
      </c>
      <c r="C320" s="52" t="s">
        <v>19</v>
      </c>
      <c r="D320" s="52" t="s">
        <v>19</v>
      </c>
      <c r="E320" s="53" t="s">
        <v>19</v>
      </c>
      <c r="F320" t="s">
        <v>19</v>
      </c>
    </row>
    <row r="321" spans="2:6" x14ac:dyDescent="0.4">
      <c r="B321" s="54" t="s">
        <v>19</v>
      </c>
      <c r="C321" s="52" t="s">
        <v>19</v>
      </c>
      <c r="D321" s="52" t="s">
        <v>19</v>
      </c>
      <c r="E321" s="53" t="s">
        <v>19</v>
      </c>
      <c r="F321" t="s">
        <v>19</v>
      </c>
    </row>
    <row r="322" spans="2:6" x14ac:dyDescent="0.4">
      <c r="B322" s="54" t="s">
        <v>19</v>
      </c>
      <c r="C322" s="52" t="s">
        <v>19</v>
      </c>
      <c r="D322" s="52" t="s">
        <v>19</v>
      </c>
      <c r="E322" s="53" t="s">
        <v>19</v>
      </c>
      <c r="F322" t="s">
        <v>19</v>
      </c>
    </row>
    <row r="323" spans="2:6" x14ac:dyDescent="0.4">
      <c r="B323" s="54" t="s">
        <v>19</v>
      </c>
      <c r="C323" s="52" t="s">
        <v>19</v>
      </c>
      <c r="D323" s="52" t="s">
        <v>19</v>
      </c>
      <c r="E323" s="53" t="s">
        <v>19</v>
      </c>
      <c r="F323" t="s">
        <v>19</v>
      </c>
    </row>
    <row r="324" spans="2:6" x14ac:dyDescent="0.4">
      <c r="B324" s="54" t="s">
        <v>19</v>
      </c>
      <c r="C324" s="52" t="s">
        <v>19</v>
      </c>
      <c r="D324" s="52" t="s">
        <v>19</v>
      </c>
      <c r="E324" s="53" t="s">
        <v>19</v>
      </c>
      <c r="F324" t="s">
        <v>19</v>
      </c>
    </row>
    <row r="325" spans="2:6" x14ac:dyDescent="0.4">
      <c r="B325" s="54" t="s">
        <v>19</v>
      </c>
      <c r="C325" s="52" t="s">
        <v>19</v>
      </c>
      <c r="D325" s="52" t="s">
        <v>19</v>
      </c>
      <c r="E325" s="53" t="s">
        <v>19</v>
      </c>
      <c r="F325" t="s">
        <v>19</v>
      </c>
    </row>
    <row r="326" spans="2:6" x14ac:dyDescent="0.4">
      <c r="B326" s="54" t="s">
        <v>19</v>
      </c>
      <c r="C326" s="52" t="s">
        <v>19</v>
      </c>
      <c r="D326" s="52" t="s">
        <v>19</v>
      </c>
      <c r="E326" s="53" t="s">
        <v>19</v>
      </c>
      <c r="F326" t="s">
        <v>19</v>
      </c>
    </row>
    <row r="327" spans="2:6" x14ac:dyDescent="0.4">
      <c r="B327" s="54" t="s">
        <v>19</v>
      </c>
      <c r="C327" s="52" t="s">
        <v>19</v>
      </c>
      <c r="D327" s="52" t="s">
        <v>19</v>
      </c>
      <c r="E327" s="53" t="s">
        <v>19</v>
      </c>
      <c r="F327" t="s">
        <v>19</v>
      </c>
    </row>
    <row r="328" spans="2:6" x14ac:dyDescent="0.4">
      <c r="B328" s="54" t="s">
        <v>19</v>
      </c>
      <c r="C328" s="52" t="s">
        <v>19</v>
      </c>
      <c r="D328" s="52" t="s">
        <v>19</v>
      </c>
      <c r="E328" s="53" t="s">
        <v>19</v>
      </c>
      <c r="F328" t="s">
        <v>19</v>
      </c>
    </row>
    <row r="329" spans="2:6" x14ac:dyDescent="0.4">
      <c r="B329" s="54" t="s">
        <v>19</v>
      </c>
      <c r="C329" s="52" t="s">
        <v>19</v>
      </c>
      <c r="D329" s="52" t="s">
        <v>19</v>
      </c>
      <c r="E329" s="53" t="s">
        <v>19</v>
      </c>
      <c r="F329" t="s">
        <v>19</v>
      </c>
    </row>
    <row r="330" spans="2:6" x14ac:dyDescent="0.4">
      <c r="B330" s="54" t="s">
        <v>19</v>
      </c>
      <c r="C330" s="52" t="s">
        <v>19</v>
      </c>
      <c r="D330" s="52" t="s">
        <v>19</v>
      </c>
      <c r="E330" s="53" t="s">
        <v>19</v>
      </c>
      <c r="F330" t="s">
        <v>19</v>
      </c>
    </row>
    <row r="331" spans="2:6" x14ac:dyDescent="0.4">
      <c r="B331" s="54" t="s">
        <v>19</v>
      </c>
      <c r="C331" s="52" t="s">
        <v>19</v>
      </c>
      <c r="D331" s="52" t="s">
        <v>19</v>
      </c>
      <c r="E331" s="53" t="s">
        <v>19</v>
      </c>
      <c r="F331" t="s">
        <v>19</v>
      </c>
    </row>
    <row r="332" spans="2:6" x14ac:dyDescent="0.4">
      <c r="B332" s="54" t="s">
        <v>19</v>
      </c>
      <c r="C332" s="52" t="s">
        <v>19</v>
      </c>
      <c r="D332" s="52" t="s">
        <v>19</v>
      </c>
      <c r="E332" s="53" t="s">
        <v>19</v>
      </c>
      <c r="F332" t="s">
        <v>19</v>
      </c>
    </row>
    <row r="333" spans="2:6" x14ac:dyDescent="0.4">
      <c r="B333" s="54" t="s">
        <v>19</v>
      </c>
      <c r="C333" s="52" t="s">
        <v>19</v>
      </c>
      <c r="D333" s="52" t="s">
        <v>19</v>
      </c>
      <c r="E333" s="53" t="s">
        <v>19</v>
      </c>
      <c r="F333" t="s">
        <v>19</v>
      </c>
    </row>
    <row r="334" spans="2:6" x14ac:dyDescent="0.4">
      <c r="B334" s="54" t="s">
        <v>19</v>
      </c>
      <c r="C334" s="52" t="s">
        <v>19</v>
      </c>
      <c r="D334" s="52" t="s">
        <v>19</v>
      </c>
      <c r="E334" s="53" t="s">
        <v>19</v>
      </c>
      <c r="F334" t="s">
        <v>19</v>
      </c>
    </row>
    <row r="335" spans="2:6" x14ac:dyDescent="0.4">
      <c r="B335" s="54" t="s">
        <v>19</v>
      </c>
      <c r="C335" s="52" t="s">
        <v>19</v>
      </c>
      <c r="D335" s="52" t="s">
        <v>19</v>
      </c>
      <c r="E335" s="53" t="s">
        <v>19</v>
      </c>
      <c r="F335" t="s">
        <v>19</v>
      </c>
    </row>
    <row r="336" spans="2:6" x14ac:dyDescent="0.4">
      <c r="B336" s="54" t="s">
        <v>19</v>
      </c>
      <c r="C336" s="52" t="s">
        <v>19</v>
      </c>
      <c r="D336" s="52" t="s">
        <v>19</v>
      </c>
      <c r="E336" s="53" t="s">
        <v>19</v>
      </c>
      <c r="F336" t="s">
        <v>19</v>
      </c>
    </row>
    <row r="337" spans="2:6" x14ac:dyDescent="0.4">
      <c r="B337" s="54" t="s">
        <v>19</v>
      </c>
      <c r="C337" s="52" t="s">
        <v>19</v>
      </c>
      <c r="D337" s="52" t="s">
        <v>19</v>
      </c>
      <c r="E337" s="53" t="s">
        <v>19</v>
      </c>
      <c r="F337" t="s">
        <v>19</v>
      </c>
    </row>
    <row r="338" spans="2:6" x14ac:dyDescent="0.4">
      <c r="B338" s="54" t="s">
        <v>19</v>
      </c>
      <c r="C338" s="52" t="s">
        <v>19</v>
      </c>
      <c r="D338" s="52" t="s">
        <v>19</v>
      </c>
      <c r="E338" s="53" t="s">
        <v>19</v>
      </c>
      <c r="F338" t="s">
        <v>19</v>
      </c>
    </row>
    <row r="339" spans="2:6" x14ac:dyDescent="0.4">
      <c r="B339" s="54" t="s">
        <v>19</v>
      </c>
      <c r="C339" s="52" t="s">
        <v>19</v>
      </c>
      <c r="D339" s="52" t="s">
        <v>19</v>
      </c>
      <c r="E339" s="53" t="s">
        <v>19</v>
      </c>
      <c r="F339" t="s">
        <v>19</v>
      </c>
    </row>
    <row r="340" spans="2:6" x14ac:dyDescent="0.4">
      <c r="B340" s="54" t="s">
        <v>19</v>
      </c>
      <c r="C340" s="52" t="s">
        <v>19</v>
      </c>
      <c r="D340" s="52" t="s">
        <v>19</v>
      </c>
      <c r="E340" s="53" t="s">
        <v>19</v>
      </c>
      <c r="F340" t="s">
        <v>19</v>
      </c>
    </row>
    <row r="341" spans="2:6" x14ac:dyDescent="0.4">
      <c r="B341" s="54" t="s">
        <v>19</v>
      </c>
      <c r="C341" s="52" t="s">
        <v>19</v>
      </c>
      <c r="D341" s="52" t="s">
        <v>19</v>
      </c>
      <c r="E341" s="53" t="s">
        <v>19</v>
      </c>
      <c r="F341" t="s">
        <v>19</v>
      </c>
    </row>
    <row r="342" spans="2:6" x14ac:dyDescent="0.4">
      <c r="B342" s="54" t="s">
        <v>19</v>
      </c>
      <c r="C342" s="52" t="s">
        <v>19</v>
      </c>
      <c r="D342" s="52" t="s">
        <v>19</v>
      </c>
      <c r="E342" s="53" t="s">
        <v>19</v>
      </c>
      <c r="F342" t="s">
        <v>19</v>
      </c>
    </row>
    <row r="343" spans="2:6" x14ac:dyDescent="0.4">
      <c r="B343" s="54" t="s">
        <v>19</v>
      </c>
      <c r="C343" s="52" t="s">
        <v>19</v>
      </c>
      <c r="D343" s="52" t="s">
        <v>19</v>
      </c>
      <c r="E343" s="53" t="s">
        <v>19</v>
      </c>
      <c r="F343" t="s">
        <v>19</v>
      </c>
    </row>
    <row r="344" spans="2:6" x14ac:dyDescent="0.4">
      <c r="B344" s="54" t="s">
        <v>19</v>
      </c>
      <c r="C344" s="52" t="s">
        <v>19</v>
      </c>
      <c r="D344" s="52" t="s">
        <v>19</v>
      </c>
      <c r="E344" s="53" t="s">
        <v>19</v>
      </c>
      <c r="F344" t="s">
        <v>19</v>
      </c>
    </row>
    <row r="345" spans="2:6" x14ac:dyDescent="0.4">
      <c r="B345" s="54" t="s">
        <v>19</v>
      </c>
      <c r="C345" s="52" t="s">
        <v>19</v>
      </c>
      <c r="D345" s="52" t="s">
        <v>19</v>
      </c>
      <c r="E345" s="53" t="s">
        <v>19</v>
      </c>
      <c r="F345" t="s">
        <v>19</v>
      </c>
    </row>
    <row r="346" spans="2:6" x14ac:dyDescent="0.4">
      <c r="B346" s="54" t="s">
        <v>19</v>
      </c>
      <c r="C346" s="52" t="s">
        <v>19</v>
      </c>
      <c r="D346" s="52" t="s">
        <v>19</v>
      </c>
      <c r="E346" s="53" t="s">
        <v>19</v>
      </c>
      <c r="F346" t="s">
        <v>19</v>
      </c>
    </row>
    <row r="347" spans="2:6" x14ac:dyDescent="0.4">
      <c r="B347" s="54" t="s">
        <v>19</v>
      </c>
      <c r="C347" s="52" t="s">
        <v>19</v>
      </c>
      <c r="D347" s="52" t="s">
        <v>19</v>
      </c>
      <c r="E347" s="53" t="s">
        <v>19</v>
      </c>
      <c r="F347" t="s">
        <v>19</v>
      </c>
    </row>
    <row r="348" spans="2:6" x14ac:dyDescent="0.4">
      <c r="B348" s="54" t="s">
        <v>19</v>
      </c>
      <c r="C348" s="52" t="s">
        <v>19</v>
      </c>
      <c r="D348" s="52" t="s">
        <v>19</v>
      </c>
      <c r="E348" s="53" t="s">
        <v>19</v>
      </c>
      <c r="F348" t="s">
        <v>19</v>
      </c>
    </row>
    <row r="349" spans="2:6" x14ac:dyDescent="0.4">
      <c r="B349" s="54" t="s">
        <v>19</v>
      </c>
      <c r="C349" s="52" t="s">
        <v>19</v>
      </c>
      <c r="D349" s="52" t="s">
        <v>19</v>
      </c>
      <c r="E349" s="53" t="s">
        <v>19</v>
      </c>
      <c r="F349" t="s">
        <v>19</v>
      </c>
    </row>
    <row r="350" spans="2:6" x14ac:dyDescent="0.4">
      <c r="B350" s="54" t="s">
        <v>19</v>
      </c>
      <c r="C350" s="52" t="s">
        <v>19</v>
      </c>
      <c r="D350" s="52" t="s">
        <v>19</v>
      </c>
      <c r="E350" s="53" t="s">
        <v>19</v>
      </c>
      <c r="F350" t="s">
        <v>19</v>
      </c>
    </row>
    <row r="351" spans="2:6" x14ac:dyDescent="0.4">
      <c r="B351" s="54" t="s">
        <v>19</v>
      </c>
      <c r="C351" s="52" t="s">
        <v>19</v>
      </c>
      <c r="D351" s="52" t="s">
        <v>19</v>
      </c>
      <c r="E351" s="53" t="s">
        <v>19</v>
      </c>
      <c r="F351" t="s">
        <v>19</v>
      </c>
    </row>
    <row r="352" spans="2:6" x14ac:dyDescent="0.4">
      <c r="B352" s="54" t="s">
        <v>19</v>
      </c>
      <c r="C352" s="52" t="s">
        <v>19</v>
      </c>
      <c r="D352" s="52" t="s">
        <v>19</v>
      </c>
      <c r="E352" s="53" t="s">
        <v>19</v>
      </c>
      <c r="F352" t="s">
        <v>19</v>
      </c>
    </row>
    <row r="353" spans="2:6" x14ac:dyDescent="0.4">
      <c r="B353" s="54" t="s">
        <v>19</v>
      </c>
      <c r="C353" s="52" t="s">
        <v>19</v>
      </c>
      <c r="D353" s="52" t="s">
        <v>19</v>
      </c>
      <c r="E353" s="53" t="s">
        <v>19</v>
      </c>
      <c r="F353" t="s">
        <v>19</v>
      </c>
    </row>
    <row r="354" spans="2:6" x14ac:dyDescent="0.4">
      <c r="B354" s="54" t="s">
        <v>19</v>
      </c>
      <c r="C354" s="52" t="s">
        <v>19</v>
      </c>
      <c r="D354" s="52" t="s">
        <v>19</v>
      </c>
      <c r="E354" s="53" t="s">
        <v>19</v>
      </c>
      <c r="F354" t="s">
        <v>19</v>
      </c>
    </row>
    <row r="355" spans="2:6" x14ac:dyDescent="0.4">
      <c r="B355" s="54" t="s">
        <v>19</v>
      </c>
      <c r="C355" s="52" t="s">
        <v>19</v>
      </c>
      <c r="D355" s="52" t="s">
        <v>19</v>
      </c>
      <c r="E355" s="53" t="s">
        <v>19</v>
      </c>
      <c r="F355" t="s">
        <v>19</v>
      </c>
    </row>
    <row r="356" spans="2:6" x14ac:dyDescent="0.4">
      <c r="B356" s="54" t="s">
        <v>19</v>
      </c>
      <c r="C356" s="52" t="s">
        <v>19</v>
      </c>
      <c r="D356" s="52" t="s">
        <v>19</v>
      </c>
      <c r="E356" s="53" t="s">
        <v>19</v>
      </c>
      <c r="F356" t="s">
        <v>19</v>
      </c>
    </row>
    <row r="357" spans="2:6" x14ac:dyDescent="0.4">
      <c r="B357" s="54" t="s">
        <v>19</v>
      </c>
      <c r="C357" s="52" t="s">
        <v>19</v>
      </c>
      <c r="D357" s="52" t="s">
        <v>19</v>
      </c>
      <c r="E357" s="53" t="s">
        <v>19</v>
      </c>
      <c r="F357" t="s">
        <v>19</v>
      </c>
    </row>
    <row r="358" spans="2:6" x14ac:dyDescent="0.4">
      <c r="B358" s="54" t="s">
        <v>19</v>
      </c>
      <c r="C358" s="52" t="s">
        <v>19</v>
      </c>
      <c r="D358" s="52" t="s">
        <v>19</v>
      </c>
      <c r="E358" s="53" t="s">
        <v>19</v>
      </c>
      <c r="F358" t="s">
        <v>19</v>
      </c>
    </row>
    <row r="359" spans="2:6" x14ac:dyDescent="0.4">
      <c r="B359" s="54" t="s">
        <v>19</v>
      </c>
      <c r="C359" s="52" t="s">
        <v>19</v>
      </c>
      <c r="D359" s="52" t="s">
        <v>19</v>
      </c>
      <c r="E359" s="53" t="s">
        <v>19</v>
      </c>
      <c r="F359" t="s">
        <v>19</v>
      </c>
    </row>
    <row r="360" spans="2:6" x14ac:dyDescent="0.4">
      <c r="B360" s="54" t="s">
        <v>19</v>
      </c>
      <c r="C360" s="52" t="s">
        <v>19</v>
      </c>
      <c r="D360" s="52" t="s">
        <v>19</v>
      </c>
      <c r="E360" s="53" t="s">
        <v>19</v>
      </c>
      <c r="F360" t="s">
        <v>19</v>
      </c>
    </row>
    <row r="361" spans="2:6" x14ac:dyDescent="0.4">
      <c r="B361" s="54" t="s">
        <v>19</v>
      </c>
      <c r="C361" s="52" t="s">
        <v>19</v>
      </c>
      <c r="D361" s="52" t="s">
        <v>19</v>
      </c>
      <c r="E361" s="53" t="s">
        <v>19</v>
      </c>
      <c r="F361" t="s">
        <v>19</v>
      </c>
    </row>
    <row r="362" spans="2:6" x14ac:dyDescent="0.4">
      <c r="B362" s="54" t="s">
        <v>19</v>
      </c>
      <c r="C362" s="52" t="s">
        <v>19</v>
      </c>
      <c r="D362" s="52" t="s">
        <v>19</v>
      </c>
      <c r="E362" s="53" t="s">
        <v>19</v>
      </c>
      <c r="F362" t="s">
        <v>19</v>
      </c>
    </row>
    <row r="363" spans="2:6" x14ac:dyDescent="0.4">
      <c r="B363" s="54" t="s">
        <v>19</v>
      </c>
      <c r="C363" s="52" t="s">
        <v>19</v>
      </c>
      <c r="D363" s="52" t="s">
        <v>19</v>
      </c>
      <c r="E363" s="53" t="s">
        <v>19</v>
      </c>
      <c r="F363" t="s">
        <v>19</v>
      </c>
    </row>
    <row r="364" spans="2:6" x14ac:dyDescent="0.4">
      <c r="B364" s="54" t="s">
        <v>19</v>
      </c>
      <c r="C364" s="52" t="s">
        <v>19</v>
      </c>
      <c r="D364" s="52" t="s">
        <v>19</v>
      </c>
      <c r="E364" s="53" t="s">
        <v>19</v>
      </c>
      <c r="F364" t="s">
        <v>19</v>
      </c>
    </row>
    <row r="365" spans="2:6" x14ac:dyDescent="0.4">
      <c r="B365" s="54" t="s">
        <v>19</v>
      </c>
      <c r="C365" s="52" t="s">
        <v>19</v>
      </c>
      <c r="D365" s="52" t="s">
        <v>19</v>
      </c>
      <c r="E365" s="53" t="s">
        <v>19</v>
      </c>
      <c r="F365" t="s">
        <v>19</v>
      </c>
    </row>
    <row r="366" spans="2:6" x14ac:dyDescent="0.4">
      <c r="B366" s="54" t="s">
        <v>19</v>
      </c>
      <c r="C366" s="52" t="s">
        <v>19</v>
      </c>
      <c r="D366" s="52" t="s">
        <v>19</v>
      </c>
      <c r="E366" s="53" t="s">
        <v>19</v>
      </c>
      <c r="F366" t="s">
        <v>19</v>
      </c>
    </row>
    <row r="367" spans="2:6" x14ac:dyDescent="0.4">
      <c r="B367" s="54" t="s">
        <v>19</v>
      </c>
      <c r="C367" s="52" t="s">
        <v>19</v>
      </c>
      <c r="D367" s="52" t="s">
        <v>19</v>
      </c>
      <c r="E367" s="53" t="s">
        <v>19</v>
      </c>
      <c r="F367" t="s">
        <v>19</v>
      </c>
    </row>
    <row r="368" spans="2:6" x14ac:dyDescent="0.4">
      <c r="B368" s="54" t="s">
        <v>19</v>
      </c>
      <c r="C368" s="52" t="s">
        <v>19</v>
      </c>
      <c r="D368" s="52" t="s">
        <v>19</v>
      </c>
      <c r="E368" s="53" t="s">
        <v>19</v>
      </c>
      <c r="F368" t="s">
        <v>19</v>
      </c>
    </row>
    <row r="369" spans="2:6" x14ac:dyDescent="0.4">
      <c r="B369" s="54" t="s">
        <v>19</v>
      </c>
      <c r="C369" s="52" t="s">
        <v>19</v>
      </c>
      <c r="D369" s="52" t="s">
        <v>19</v>
      </c>
      <c r="E369" s="53" t="s">
        <v>19</v>
      </c>
      <c r="F369" t="s">
        <v>19</v>
      </c>
    </row>
    <row r="370" spans="2:6" x14ac:dyDescent="0.4">
      <c r="B370" s="54" t="s">
        <v>19</v>
      </c>
      <c r="C370" s="52" t="s">
        <v>19</v>
      </c>
      <c r="D370" s="52" t="s">
        <v>19</v>
      </c>
      <c r="E370" s="53" t="s">
        <v>19</v>
      </c>
      <c r="F370" t="s">
        <v>19</v>
      </c>
    </row>
    <row r="371" spans="2:6" x14ac:dyDescent="0.4">
      <c r="B371" s="54" t="s">
        <v>19</v>
      </c>
      <c r="C371" s="52" t="s">
        <v>19</v>
      </c>
      <c r="D371" s="52" t="s">
        <v>19</v>
      </c>
      <c r="E371" s="53" t="s">
        <v>19</v>
      </c>
      <c r="F371" t="s">
        <v>19</v>
      </c>
    </row>
    <row r="372" spans="2:6" x14ac:dyDescent="0.4">
      <c r="B372" s="54" t="s">
        <v>19</v>
      </c>
      <c r="C372" s="52" t="s">
        <v>19</v>
      </c>
      <c r="D372" s="52" t="s">
        <v>19</v>
      </c>
      <c r="E372" s="53" t="s">
        <v>19</v>
      </c>
      <c r="F372" t="s">
        <v>19</v>
      </c>
    </row>
    <row r="373" spans="2:6" x14ac:dyDescent="0.4">
      <c r="B373" s="54" t="s">
        <v>19</v>
      </c>
      <c r="C373" s="52" t="s">
        <v>19</v>
      </c>
      <c r="D373" s="52" t="s">
        <v>19</v>
      </c>
      <c r="E373" s="53" t="s">
        <v>19</v>
      </c>
      <c r="F373" t="s">
        <v>19</v>
      </c>
    </row>
    <row r="374" spans="2:6" x14ac:dyDescent="0.4">
      <c r="B374" s="54" t="s">
        <v>19</v>
      </c>
      <c r="C374" s="52" t="s">
        <v>19</v>
      </c>
      <c r="D374" s="52" t="s">
        <v>19</v>
      </c>
      <c r="E374" s="53" t="s">
        <v>19</v>
      </c>
      <c r="F374" t="s">
        <v>19</v>
      </c>
    </row>
    <row r="375" spans="2:6" x14ac:dyDescent="0.4">
      <c r="B375" s="54" t="s">
        <v>19</v>
      </c>
      <c r="C375" s="52" t="s">
        <v>19</v>
      </c>
      <c r="D375" s="52" t="s">
        <v>19</v>
      </c>
      <c r="E375" s="53" t="s">
        <v>19</v>
      </c>
      <c r="F375" t="s">
        <v>19</v>
      </c>
    </row>
    <row r="376" spans="2:6" x14ac:dyDescent="0.4">
      <c r="B376" s="54" t="s">
        <v>19</v>
      </c>
      <c r="C376" s="52" t="s">
        <v>19</v>
      </c>
      <c r="D376" s="52" t="s">
        <v>19</v>
      </c>
      <c r="E376" s="53" t="s">
        <v>19</v>
      </c>
      <c r="F376" t="s">
        <v>19</v>
      </c>
    </row>
    <row r="377" spans="2:6" x14ac:dyDescent="0.4">
      <c r="B377" s="54" t="s">
        <v>19</v>
      </c>
      <c r="C377" s="52" t="s">
        <v>19</v>
      </c>
      <c r="D377" s="52" t="s">
        <v>19</v>
      </c>
      <c r="E377" s="53" t="s">
        <v>19</v>
      </c>
      <c r="F377" t="s">
        <v>19</v>
      </c>
    </row>
    <row r="378" spans="2:6" x14ac:dyDescent="0.4">
      <c r="B378" s="54" t="s">
        <v>19</v>
      </c>
      <c r="C378" s="52" t="s">
        <v>19</v>
      </c>
      <c r="D378" s="52" t="s">
        <v>19</v>
      </c>
      <c r="E378" s="53" t="s">
        <v>19</v>
      </c>
      <c r="F378" t="s">
        <v>19</v>
      </c>
    </row>
    <row r="379" spans="2:6" x14ac:dyDescent="0.4">
      <c r="B379" s="54" t="s">
        <v>19</v>
      </c>
      <c r="C379" s="52" t="s">
        <v>19</v>
      </c>
      <c r="D379" s="52" t="s">
        <v>19</v>
      </c>
      <c r="E379" s="53" t="s">
        <v>19</v>
      </c>
      <c r="F379" t="s">
        <v>19</v>
      </c>
    </row>
    <row r="380" spans="2:6" x14ac:dyDescent="0.4">
      <c r="B380" s="54" t="s">
        <v>19</v>
      </c>
      <c r="C380" s="52" t="s">
        <v>19</v>
      </c>
      <c r="D380" s="52" t="s">
        <v>19</v>
      </c>
      <c r="E380" s="53" t="s">
        <v>19</v>
      </c>
      <c r="F380" t="s">
        <v>19</v>
      </c>
    </row>
    <row r="381" spans="2:6" x14ac:dyDescent="0.4">
      <c r="B381" s="54" t="s">
        <v>19</v>
      </c>
      <c r="C381" s="52" t="s">
        <v>19</v>
      </c>
      <c r="D381" s="52" t="s">
        <v>19</v>
      </c>
      <c r="E381" s="53" t="s">
        <v>19</v>
      </c>
      <c r="F381" t="s">
        <v>19</v>
      </c>
    </row>
    <row r="382" spans="2:6" x14ac:dyDescent="0.4">
      <c r="B382" s="54" t="s">
        <v>19</v>
      </c>
      <c r="C382" s="52" t="s">
        <v>19</v>
      </c>
      <c r="D382" s="52" t="s">
        <v>19</v>
      </c>
      <c r="E382" s="53" t="s">
        <v>19</v>
      </c>
      <c r="F382" t="s">
        <v>19</v>
      </c>
    </row>
    <row r="383" spans="2:6" x14ac:dyDescent="0.4">
      <c r="B383" s="54" t="s">
        <v>19</v>
      </c>
      <c r="C383" s="52" t="s">
        <v>19</v>
      </c>
      <c r="D383" s="52" t="s">
        <v>19</v>
      </c>
      <c r="E383" s="53" t="s">
        <v>19</v>
      </c>
      <c r="F383" t="s">
        <v>19</v>
      </c>
    </row>
    <row r="384" spans="2:6" x14ac:dyDescent="0.4">
      <c r="B384" s="54" t="s">
        <v>19</v>
      </c>
      <c r="C384" s="52" t="s">
        <v>19</v>
      </c>
      <c r="D384" s="52" t="s">
        <v>19</v>
      </c>
      <c r="E384" s="53" t="s">
        <v>19</v>
      </c>
      <c r="F384" t="s">
        <v>19</v>
      </c>
    </row>
    <row r="385" spans="2:6" x14ac:dyDescent="0.4">
      <c r="B385" s="54" t="s">
        <v>19</v>
      </c>
      <c r="C385" s="52" t="s">
        <v>19</v>
      </c>
      <c r="D385" s="52" t="s">
        <v>19</v>
      </c>
      <c r="E385" s="53" t="s">
        <v>19</v>
      </c>
      <c r="F385" t="s">
        <v>19</v>
      </c>
    </row>
    <row r="386" spans="2:6" x14ac:dyDescent="0.4">
      <c r="B386" s="54" t="s">
        <v>19</v>
      </c>
      <c r="C386" s="52" t="s">
        <v>19</v>
      </c>
      <c r="D386" s="52" t="s">
        <v>19</v>
      </c>
      <c r="E386" s="53" t="s">
        <v>19</v>
      </c>
      <c r="F386" t="s">
        <v>19</v>
      </c>
    </row>
    <row r="387" spans="2:6" x14ac:dyDescent="0.4">
      <c r="B387" s="54" t="s">
        <v>19</v>
      </c>
      <c r="C387" s="52" t="s">
        <v>19</v>
      </c>
      <c r="D387" s="52" t="s">
        <v>19</v>
      </c>
      <c r="E387" s="53" t="s">
        <v>19</v>
      </c>
      <c r="F387" t="s">
        <v>19</v>
      </c>
    </row>
    <row r="388" spans="2:6" x14ac:dyDescent="0.4">
      <c r="B388" s="54" t="s">
        <v>19</v>
      </c>
      <c r="C388" s="52" t="s">
        <v>19</v>
      </c>
      <c r="D388" s="52" t="s">
        <v>19</v>
      </c>
      <c r="E388" s="53" t="s">
        <v>19</v>
      </c>
      <c r="F388" t="s">
        <v>19</v>
      </c>
    </row>
    <row r="389" spans="2:6" x14ac:dyDescent="0.4">
      <c r="B389" s="54" t="s">
        <v>19</v>
      </c>
      <c r="C389" s="52" t="s">
        <v>19</v>
      </c>
      <c r="D389" s="52" t="s">
        <v>19</v>
      </c>
      <c r="E389" s="53" t="s">
        <v>19</v>
      </c>
      <c r="F389" t="s">
        <v>19</v>
      </c>
    </row>
    <row r="390" spans="2:6" x14ac:dyDescent="0.4">
      <c r="B390" s="54" t="s">
        <v>19</v>
      </c>
      <c r="C390" s="52" t="s">
        <v>19</v>
      </c>
      <c r="D390" s="52" t="s">
        <v>19</v>
      </c>
      <c r="E390" s="53" t="s">
        <v>19</v>
      </c>
      <c r="F390" t="s">
        <v>19</v>
      </c>
    </row>
    <row r="391" spans="2:6" x14ac:dyDescent="0.4">
      <c r="B391" s="54" t="s">
        <v>19</v>
      </c>
      <c r="C391" s="52" t="s">
        <v>19</v>
      </c>
      <c r="D391" s="52" t="s">
        <v>19</v>
      </c>
      <c r="E391" s="53" t="s">
        <v>19</v>
      </c>
      <c r="F391" t="s">
        <v>19</v>
      </c>
    </row>
    <row r="392" spans="2:6" x14ac:dyDescent="0.4">
      <c r="B392" s="54" t="s">
        <v>19</v>
      </c>
      <c r="C392" s="52" t="s">
        <v>19</v>
      </c>
      <c r="D392" s="52" t="s">
        <v>19</v>
      </c>
      <c r="E392" s="53" t="s">
        <v>19</v>
      </c>
      <c r="F392" t="s">
        <v>19</v>
      </c>
    </row>
    <row r="393" spans="2:6" x14ac:dyDescent="0.4">
      <c r="B393" s="54" t="s">
        <v>19</v>
      </c>
      <c r="C393" s="52" t="s">
        <v>19</v>
      </c>
      <c r="D393" s="52" t="s">
        <v>19</v>
      </c>
      <c r="E393" s="53" t="s">
        <v>19</v>
      </c>
      <c r="F393" t="s">
        <v>19</v>
      </c>
    </row>
    <row r="394" spans="2:6" x14ac:dyDescent="0.4">
      <c r="B394" s="54" t="s">
        <v>19</v>
      </c>
      <c r="C394" s="52" t="s">
        <v>19</v>
      </c>
      <c r="D394" s="52" t="s">
        <v>19</v>
      </c>
      <c r="E394" s="53" t="s">
        <v>19</v>
      </c>
      <c r="F394" t="s">
        <v>19</v>
      </c>
    </row>
    <row r="395" spans="2:6" x14ac:dyDescent="0.4">
      <c r="B395" s="54" t="s">
        <v>19</v>
      </c>
      <c r="C395" s="52" t="s">
        <v>19</v>
      </c>
      <c r="D395" s="52" t="s">
        <v>19</v>
      </c>
      <c r="E395" s="53" t="s">
        <v>19</v>
      </c>
      <c r="F395" t="s">
        <v>19</v>
      </c>
    </row>
    <row r="396" spans="2:6" x14ac:dyDescent="0.4">
      <c r="B396" s="54" t="s">
        <v>19</v>
      </c>
      <c r="C396" s="52" t="s">
        <v>19</v>
      </c>
      <c r="D396" s="52" t="s">
        <v>19</v>
      </c>
      <c r="E396" s="53" t="s">
        <v>19</v>
      </c>
      <c r="F396" t="s">
        <v>19</v>
      </c>
    </row>
    <row r="397" spans="2:6" x14ac:dyDescent="0.4">
      <c r="B397" s="54" t="s">
        <v>19</v>
      </c>
      <c r="C397" s="52" t="s">
        <v>19</v>
      </c>
      <c r="D397" s="52" t="s">
        <v>19</v>
      </c>
      <c r="E397" s="53" t="s">
        <v>19</v>
      </c>
      <c r="F397" t="s">
        <v>19</v>
      </c>
    </row>
    <row r="398" spans="2:6" x14ac:dyDescent="0.4">
      <c r="B398" s="54" t="s">
        <v>19</v>
      </c>
      <c r="C398" s="52" t="s">
        <v>19</v>
      </c>
      <c r="D398" s="52" t="s">
        <v>19</v>
      </c>
      <c r="E398" s="53" t="s">
        <v>19</v>
      </c>
      <c r="F398" t="s">
        <v>19</v>
      </c>
    </row>
    <row r="399" spans="2:6" x14ac:dyDescent="0.4">
      <c r="B399" s="54" t="s">
        <v>19</v>
      </c>
      <c r="C399" s="52" t="s">
        <v>19</v>
      </c>
      <c r="D399" s="52" t="s">
        <v>19</v>
      </c>
      <c r="E399" s="53" t="s">
        <v>19</v>
      </c>
      <c r="F399" t="s">
        <v>19</v>
      </c>
    </row>
    <row r="400" spans="2:6" x14ac:dyDescent="0.4">
      <c r="B400" s="54" t="s">
        <v>19</v>
      </c>
      <c r="C400" s="52" t="s">
        <v>19</v>
      </c>
      <c r="D400" s="52" t="s">
        <v>19</v>
      </c>
      <c r="E400" s="53" t="s">
        <v>19</v>
      </c>
      <c r="F400" t="s">
        <v>19</v>
      </c>
    </row>
    <row r="401" spans="2:6" x14ac:dyDescent="0.4">
      <c r="B401" s="54" t="s">
        <v>19</v>
      </c>
      <c r="C401" s="52" t="s">
        <v>19</v>
      </c>
      <c r="D401" s="52" t="s">
        <v>19</v>
      </c>
      <c r="E401" s="53" t="s">
        <v>19</v>
      </c>
      <c r="F401" t="s">
        <v>19</v>
      </c>
    </row>
    <row r="402" spans="2:6" x14ac:dyDescent="0.4">
      <c r="B402" s="54" t="s">
        <v>19</v>
      </c>
      <c r="C402" s="52" t="s">
        <v>19</v>
      </c>
      <c r="D402" s="52" t="s">
        <v>19</v>
      </c>
      <c r="E402" s="53" t="s">
        <v>19</v>
      </c>
      <c r="F402" t="s">
        <v>19</v>
      </c>
    </row>
    <row r="403" spans="2:6" x14ac:dyDescent="0.4">
      <c r="B403" s="54" t="s">
        <v>19</v>
      </c>
      <c r="C403" s="52" t="s">
        <v>19</v>
      </c>
      <c r="D403" s="52" t="s">
        <v>19</v>
      </c>
      <c r="E403" s="53" t="s">
        <v>19</v>
      </c>
      <c r="F403" t="s">
        <v>19</v>
      </c>
    </row>
    <row r="404" spans="2:6" x14ac:dyDescent="0.4">
      <c r="B404" s="54" t="s">
        <v>19</v>
      </c>
      <c r="C404" s="52" t="s">
        <v>19</v>
      </c>
      <c r="D404" s="52" t="s">
        <v>19</v>
      </c>
      <c r="E404" s="53" t="s">
        <v>19</v>
      </c>
      <c r="F404" t="s">
        <v>19</v>
      </c>
    </row>
    <row r="405" spans="2:6" x14ac:dyDescent="0.4">
      <c r="B405" s="54" t="s">
        <v>19</v>
      </c>
      <c r="C405" s="52" t="s">
        <v>19</v>
      </c>
      <c r="D405" s="52" t="s">
        <v>19</v>
      </c>
      <c r="E405" s="53" t="s">
        <v>19</v>
      </c>
      <c r="F405" t="s">
        <v>19</v>
      </c>
    </row>
    <row r="406" spans="2:6" x14ac:dyDescent="0.4">
      <c r="B406" s="54" t="s">
        <v>19</v>
      </c>
      <c r="C406" s="52" t="s">
        <v>19</v>
      </c>
      <c r="D406" s="52" t="s">
        <v>19</v>
      </c>
      <c r="E406" s="53" t="s">
        <v>19</v>
      </c>
      <c r="F406" t="s">
        <v>19</v>
      </c>
    </row>
    <row r="407" spans="2:6" x14ac:dyDescent="0.4">
      <c r="B407" s="54" t="s">
        <v>19</v>
      </c>
      <c r="C407" s="52" t="s">
        <v>19</v>
      </c>
      <c r="D407" s="52" t="s">
        <v>19</v>
      </c>
      <c r="E407" s="53" t="s">
        <v>19</v>
      </c>
      <c r="F407" t="s">
        <v>19</v>
      </c>
    </row>
    <row r="408" spans="2:6" x14ac:dyDescent="0.4">
      <c r="B408" s="54" t="s">
        <v>19</v>
      </c>
      <c r="C408" s="52" t="s">
        <v>19</v>
      </c>
      <c r="D408" s="52" t="s">
        <v>19</v>
      </c>
      <c r="E408" s="53" t="s">
        <v>19</v>
      </c>
      <c r="F408" t="s">
        <v>19</v>
      </c>
    </row>
    <row r="409" spans="2:6" x14ac:dyDescent="0.4">
      <c r="B409" s="54" t="s">
        <v>19</v>
      </c>
      <c r="C409" s="52" t="s">
        <v>19</v>
      </c>
      <c r="D409" s="52" t="s">
        <v>19</v>
      </c>
      <c r="E409" s="53" t="s">
        <v>19</v>
      </c>
      <c r="F409" t="s">
        <v>19</v>
      </c>
    </row>
    <row r="410" spans="2:6" x14ac:dyDescent="0.4">
      <c r="B410" s="54" t="s">
        <v>19</v>
      </c>
      <c r="C410" s="52" t="s">
        <v>19</v>
      </c>
      <c r="D410" s="52" t="s">
        <v>19</v>
      </c>
      <c r="E410" s="53" t="s">
        <v>19</v>
      </c>
      <c r="F410" t="s">
        <v>19</v>
      </c>
    </row>
    <row r="411" spans="2:6" x14ac:dyDescent="0.4">
      <c r="B411" s="54" t="s">
        <v>19</v>
      </c>
      <c r="C411" s="52" t="s">
        <v>19</v>
      </c>
      <c r="D411" s="52" t="s">
        <v>19</v>
      </c>
      <c r="E411" s="53" t="s">
        <v>19</v>
      </c>
      <c r="F411" t="s">
        <v>19</v>
      </c>
    </row>
    <row r="412" spans="2:6" x14ac:dyDescent="0.4">
      <c r="B412" s="54" t="s">
        <v>19</v>
      </c>
      <c r="C412" s="52" t="s">
        <v>19</v>
      </c>
      <c r="D412" s="52" t="s">
        <v>19</v>
      </c>
      <c r="E412" s="53" t="s">
        <v>19</v>
      </c>
      <c r="F412" t="s">
        <v>19</v>
      </c>
    </row>
    <row r="413" spans="2:6" x14ac:dyDescent="0.4">
      <c r="B413" s="54" t="s">
        <v>19</v>
      </c>
      <c r="C413" s="52" t="s">
        <v>19</v>
      </c>
      <c r="D413" s="52" t="s">
        <v>19</v>
      </c>
      <c r="E413" s="53" t="s">
        <v>19</v>
      </c>
      <c r="F413" t="s">
        <v>19</v>
      </c>
    </row>
    <row r="414" spans="2:6" x14ac:dyDescent="0.4">
      <c r="B414" s="54" t="s">
        <v>19</v>
      </c>
      <c r="C414" s="52" t="s">
        <v>19</v>
      </c>
      <c r="D414" s="52" t="s">
        <v>19</v>
      </c>
      <c r="E414" s="53" t="s">
        <v>19</v>
      </c>
      <c r="F414" t="s">
        <v>19</v>
      </c>
    </row>
    <row r="415" spans="2:6" x14ac:dyDescent="0.4">
      <c r="B415" s="54" t="s">
        <v>19</v>
      </c>
      <c r="C415" s="52" t="s">
        <v>19</v>
      </c>
      <c r="D415" s="52" t="s">
        <v>19</v>
      </c>
      <c r="E415" s="53" t="s">
        <v>19</v>
      </c>
      <c r="F415" t="s">
        <v>19</v>
      </c>
    </row>
    <row r="416" spans="2:6" x14ac:dyDescent="0.4">
      <c r="B416" s="54" t="s">
        <v>19</v>
      </c>
      <c r="C416" s="52" t="s">
        <v>19</v>
      </c>
      <c r="D416" s="52" t="s">
        <v>19</v>
      </c>
      <c r="E416" s="53" t="s">
        <v>19</v>
      </c>
      <c r="F416" t="s">
        <v>19</v>
      </c>
    </row>
    <row r="417" spans="2:6" x14ac:dyDescent="0.4">
      <c r="B417" s="54" t="s">
        <v>19</v>
      </c>
      <c r="C417" s="52" t="s">
        <v>19</v>
      </c>
      <c r="D417" s="52" t="s">
        <v>19</v>
      </c>
      <c r="E417" s="53" t="s">
        <v>19</v>
      </c>
      <c r="F417" t="s">
        <v>19</v>
      </c>
    </row>
    <row r="418" spans="2:6" x14ac:dyDescent="0.4">
      <c r="B418" s="54" t="s">
        <v>19</v>
      </c>
      <c r="C418" s="52" t="s">
        <v>19</v>
      </c>
      <c r="D418" s="52" t="s">
        <v>19</v>
      </c>
      <c r="E418" s="53" t="s">
        <v>19</v>
      </c>
      <c r="F418" t="s">
        <v>19</v>
      </c>
    </row>
    <row r="419" spans="2:6" x14ac:dyDescent="0.4">
      <c r="B419" s="54" t="s">
        <v>19</v>
      </c>
      <c r="C419" s="52" t="s">
        <v>19</v>
      </c>
      <c r="D419" s="52" t="s">
        <v>19</v>
      </c>
      <c r="E419" s="53" t="s">
        <v>19</v>
      </c>
      <c r="F419" t="s">
        <v>19</v>
      </c>
    </row>
    <row r="420" spans="2:6" x14ac:dyDescent="0.4">
      <c r="B420" s="54" t="s">
        <v>19</v>
      </c>
      <c r="C420" s="52" t="s">
        <v>19</v>
      </c>
      <c r="D420" s="52" t="s">
        <v>19</v>
      </c>
      <c r="E420" s="53" t="s">
        <v>19</v>
      </c>
      <c r="F420" t="s">
        <v>19</v>
      </c>
    </row>
    <row r="421" spans="2:6" x14ac:dyDescent="0.4">
      <c r="B421" s="54" t="s">
        <v>19</v>
      </c>
      <c r="C421" s="52" t="s">
        <v>19</v>
      </c>
      <c r="D421" s="52" t="s">
        <v>19</v>
      </c>
      <c r="E421" s="53" t="s">
        <v>19</v>
      </c>
      <c r="F421" t="s">
        <v>19</v>
      </c>
    </row>
    <row r="422" spans="2:6" x14ac:dyDescent="0.4">
      <c r="B422" s="54" t="s">
        <v>19</v>
      </c>
      <c r="C422" s="52" t="s">
        <v>19</v>
      </c>
      <c r="D422" s="52" t="s">
        <v>19</v>
      </c>
      <c r="E422" s="53" t="s">
        <v>19</v>
      </c>
      <c r="F422" t="s">
        <v>19</v>
      </c>
    </row>
    <row r="423" spans="2:6" x14ac:dyDescent="0.4">
      <c r="B423" s="54" t="s">
        <v>19</v>
      </c>
      <c r="C423" s="52" t="s">
        <v>19</v>
      </c>
      <c r="D423" s="52" t="s">
        <v>19</v>
      </c>
      <c r="E423" s="53" t="s">
        <v>19</v>
      </c>
      <c r="F423" t="s">
        <v>19</v>
      </c>
    </row>
    <row r="424" spans="2:6" x14ac:dyDescent="0.4">
      <c r="B424" s="54" t="s">
        <v>19</v>
      </c>
      <c r="C424" s="52" t="s">
        <v>19</v>
      </c>
      <c r="D424" s="52" t="s">
        <v>19</v>
      </c>
      <c r="E424" s="53" t="s">
        <v>19</v>
      </c>
      <c r="F424" t="s">
        <v>19</v>
      </c>
    </row>
    <row r="425" spans="2:6" x14ac:dyDescent="0.4">
      <c r="B425" s="54" t="s">
        <v>19</v>
      </c>
      <c r="C425" s="52" t="s">
        <v>19</v>
      </c>
      <c r="D425" s="52" t="s">
        <v>19</v>
      </c>
      <c r="E425" s="53" t="s">
        <v>19</v>
      </c>
      <c r="F425" t="s">
        <v>19</v>
      </c>
    </row>
    <row r="426" spans="2:6" x14ac:dyDescent="0.4">
      <c r="B426" s="54" t="s">
        <v>19</v>
      </c>
      <c r="C426" s="52" t="s">
        <v>19</v>
      </c>
      <c r="D426" s="52" t="s">
        <v>19</v>
      </c>
      <c r="E426" s="53" t="s">
        <v>19</v>
      </c>
      <c r="F426" t="s">
        <v>19</v>
      </c>
    </row>
    <row r="427" spans="2:6" x14ac:dyDescent="0.4">
      <c r="B427" s="54" t="s">
        <v>19</v>
      </c>
      <c r="C427" s="52" t="s">
        <v>19</v>
      </c>
      <c r="D427" s="52" t="s">
        <v>19</v>
      </c>
      <c r="E427" s="53" t="s">
        <v>19</v>
      </c>
      <c r="F427" t="s">
        <v>19</v>
      </c>
    </row>
    <row r="428" spans="2:6" x14ac:dyDescent="0.4">
      <c r="B428" s="54" t="s">
        <v>19</v>
      </c>
      <c r="C428" s="52" t="s">
        <v>19</v>
      </c>
      <c r="D428" s="52" t="s">
        <v>19</v>
      </c>
      <c r="E428" s="53" t="s">
        <v>19</v>
      </c>
      <c r="F428" t="s">
        <v>19</v>
      </c>
    </row>
    <row r="429" spans="2:6" x14ac:dyDescent="0.4">
      <c r="B429" s="54" t="s">
        <v>19</v>
      </c>
      <c r="C429" s="52" t="s">
        <v>19</v>
      </c>
      <c r="D429" s="52" t="s">
        <v>19</v>
      </c>
      <c r="E429" s="53" t="s">
        <v>19</v>
      </c>
      <c r="F429" t="s">
        <v>19</v>
      </c>
    </row>
    <row r="430" spans="2:6" x14ac:dyDescent="0.4">
      <c r="B430" s="54" t="s">
        <v>19</v>
      </c>
      <c r="C430" s="52" t="s">
        <v>19</v>
      </c>
      <c r="D430" s="52" t="s">
        <v>19</v>
      </c>
      <c r="E430" s="53" t="s">
        <v>19</v>
      </c>
      <c r="F430" t="s">
        <v>19</v>
      </c>
    </row>
    <row r="431" spans="2:6" x14ac:dyDescent="0.4">
      <c r="B431" s="54" t="s">
        <v>19</v>
      </c>
      <c r="C431" s="52" t="s">
        <v>19</v>
      </c>
      <c r="D431" s="52" t="s">
        <v>19</v>
      </c>
      <c r="E431" s="53" t="s">
        <v>19</v>
      </c>
      <c r="F431" t="s">
        <v>19</v>
      </c>
    </row>
    <row r="432" spans="2:6" x14ac:dyDescent="0.4">
      <c r="B432" s="54" t="s">
        <v>19</v>
      </c>
      <c r="C432" s="52" t="s">
        <v>19</v>
      </c>
      <c r="D432" s="52" t="s">
        <v>19</v>
      </c>
      <c r="E432" s="53" t="s">
        <v>19</v>
      </c>
      <c r="F432" t="s">
        <v>19</v>
      </c>
    </row>
    <row r="433" spans="2:6" x14ac:dyDescent="0.4">
      <c r="B433" s="54" t="s">
        <v>19</v>
      </c>
      <c r="C433" s="52" t="s">
        <v>19</v>
      </c>
      <c r="D433" s="52" t="s">
        <v>19</v>
      </c>
      <c r="E433" s="53" t="s">
        <v>19</v>
      </c>
      <c r="F433" t="s">
        <v>19</v>
      </c>
    </row>
    <row r="434" spans="2:6" x14ac:dyDescent="0.4">
      <c r="B434" s="54" t="s">
        <v>19</v>
      </c>
      <c r="C434" s="52" t="s">
        <v>19</v>
      </c>
      <c r="D434" s="52" t="s">
        <v>19</v>
      </c>
      <c r="E434" s="53" t="s">
        <v>19</v>
      </c>
      <c r="F434" t="s">
        <v>19</v>
      </c>
    </row>
    <row r="435" spans="2:6" x14ac:dyDescent="0.4">
      <c r="B435" s="54" t="s">
        <v>19</v>
      </c>
      <c r="C435" s="52" t="s">
        <v>19</v>
      </c>
      <c r="D435" s="52" t="s">
        <v>19</v>
      </c>
      <c r="E435" s="53" t="s">
        <v>19</v>
      </c>
      <c r="F435" t="s">
        <v>19</v>
      </c>
    </row>
    <row r="436" spans="2:6" x14ac:dyDescent="0.4">
      <c r="B436" s="54" t="s">
        <v>19</v>
      </c>
      <c r="C436" s="52" t="s">
        <v>19</v>
      </c>
      <c r="D436" s="52" t="s">
        <v>19</v>
      </c>
      <c r="E436" s="53" t="s">
        <v>19</v>
      </c>
      <c r="F436" t="s">
        <v>19</v>
      </c>
    </row>
    <row r="437" spans="2:6" x14ac:dyDescent="0.4">
      <c r="B437" s="54" t="s">
        <v>19</v>
      </c>
      <c r="C437" s="52" t="s">
        <v>19</v>
      </c>
      <c r="D437" s="52" t="s">
        <v>19</v>
      </c>
      <c r="E437" s="53" t="s">
        <v>19</v>
      </c>
      <c r="F437" t="s">
        <v>19</v>
      </c>
    </row>
    <row r="438" spans="2:6" x14ac:dyDescent="0.4">
      <c r="B438" s="54" t="s">
        <v>19</v>
      </c>
      <c r="C438" s="52" t="s">
        <v>19</v>
      </c>
      <c r="D438" s="52" t="s">
        <v>19</v>
      </c>
      <c r="E438" s="53" t="s">
        <v>19</v>
      </c>
      <c r="F438" t="s">
        <v>19</v>
      </c>
    </row>
    <row r="439" spans="2:6" x14ac:dyDescent="0.4">
      <c r="B439" s="54" t="s">
        <v>19</v>
      </c>
      <c r="C439" s="52" t="s">
        <v>19</v>
      </c>
      <c r="D439" s="52" t="s">
        <v>19</v>
      </c>
      <c r="E439" s="53" t="s">
        <v>19</v>
      </c>
      <c r="F439" t="s">
        <v>19</v>
      </c>
    </row>
    <row r="440" spans="2:6" x14ac:dyDescent="0.4">
      <c r="B440" s="54" t="s">
        <v>19</v>
      </c>
      <c r="C440" s="52" t="s">
        <v>19</v>
      </c>
      <c r="D440" s="52" t="s">
        <v>19</v>
      </c>
      <c r="E440" s="53" t="s">
        <v>19</v>
      </c>
      <c r="F440" t="s">
        <v>19</v>
      </c>
    </row>
    <row r="441" spans="2:6" x14ac:dyDescent="0.4">
      <c r="B441" s="54" t="s">
        <v>19</v>
      </c>
      <c r="C441" s="52" t="s">
        <v>19</v>
      </c>
      <c r="D441" s="52" t="s">
        <v>19</v>
      </c>
      <c r="E441" s="53" t="s">
        <v>19</v>
      </c>
      <c r="F441" t="s">
        <v>19</v>
      </c>
    </row>
    <row r="442" spans="2:6" x14ac:dyDescent="0.4">
      <c r="B442" s="54" t="s">
        <v>19</v>
      </c>
      <c r="C442" s="52" t="s">
        <v>19</v>
      </c>
      <c r="D442" s="52" t="s">
        <v>19</v>
      </c>
      <c r="E442" s="53" t="s">
        <v>19</v>
      </c>
      <c r="F442" t="s">
        <v>19</v>
      </c>
    </row>
    <row r="443" spans="2:6" x14ac:dyDescent="0.4">
      <c r="B443" s="54" t="s">
        <v>19</v>
      </c>
      <c r="C443" s="52" t="s">
        <v>19</v>
      </c>
      <c r="D443" s="52" t="s">
        <v>19</v>
      </c>
      <c r="E443" s="53" t="s">
        <v>19</v>
      </c>
      <c r="F443" t="s">
        <v>19</v>
      </c>
    </row>
    <row r="444" spans="2:6" x14ac:dyDescent="0.4">
      <c r="B444" s="54" t="s">
        <v>19</v>
      </c>
      <c r="C444" s="52" t="s">
        <v>19</v>
      </c>
      <c r="D444" s="52" t="s">
        <v>19</v>
      </c>
      <c r="E444" s="53" t="s">
        <v>19</v>
      </c>
      <c r="F444" t="s">
        <v>19</v>
      </c>
    </row>
    <row r="445" spans="2:6" x14ac:dyDescent="0.4">
      <c r="B445" s="54" t="s">
        <v>19</v>
      </c>
      <c r="C445" s="52" t="s">
        <v>19</v>
      </c>
      <c r="D445" s="52" t="s">
        <v>19</v>
      </c>
      <c r="E445" s="53" t="s">
        <v>19</v>
      </c>
      <c r="F445" t="s">
        <v>19</v>
      </c>
    </row>
    <row r="446" spans="2:6" x14ac:dyDescent="0.4">
      <c r="B446" s="54" t="s">
        <v>19</v>
      </c>
      <c r="C446" s="52" t="s">
        <v>19</v>
      </c>
      <c r="D446" s="52" t="s">
        <v>19</v>
      </c>
      <c r="E446" s="53" t="s">
        <v>19</v>
      </c>
      <c r="F446" t="s">
        <v>19</v>
      </c>
    </row>
    <row r="447" spans="2:6" x14ac:dyDescent="0.4">
      <c r="B447" s="54" t="s">
        <v>19</v>
      </c>
      <c r="C447" s="52" t="s">
        <v>19</v>
      </c>
      <c r="D447" s="52" t="s">
        <v>19</v>
      </c>
      <c r="E447" s="53" t="s">
        <v>19</v>
      </c>
      <c r="F447" t="s">
        <v>19</v>
      </c>
    </row>
    <row r="448" spans="2:6" x14ac:dyDescent="0.4">
      <c r="B448" s="54" t="s">
        <v>19</v>
      </c>
      <c r="C448" s="52" t="s">
        <v>19</v>
      </c>
      <c r="D448" s="52" t="s">
        <v>19</v>
      </c>
      <c r="E448" s="53" t="s">
        <v>19</v>
      </c>
      <c r="F448" t="s">
        <v>19</v>
      </c>
    </row>
    <row r="449" spans="2:6" x14ac:dyDescent="0.4">
      <c r="B449" s="54" t="s">
        <v>19</v>
      </c>
      <c r="C449" s="52" t="s">
        <v>19</v>
      </c>
      <c r="D449" s="52" t="s">
        <v>19</v>
      </c>
      <c r="E449" s="53" t="s">
        <v>19</v>
      </c>
      <c r="F449" t="s">
        <v>19</v>
      </c>
    </row>
    <row r="450" spans="2:6" x14ac:dyDescent="0.4">
      <c r="B450" s="54" t="s">
        <v>19</v>
      </c>
      <c r="C450" s="52" t="s">
        <v>19</v>
      </c>
      <c r="D450" s="52" t="s">
        <v>19</v>
      </c>
      <c r="E450" s="53" t="s">
        <v>19</v>
      </c>
      <c r="F450" t="s">
        <v>19</v>
      </c>
    </row>
    <row r="451" spans="2:6" x14ac:dyDescent="0.4">
      <c r="B451" s="54" t="s">
        <v>19</v>
      </c>
      <c r="C451" s="52" t="s">
        <v>19</v>
      </c>
      <c r="D451" s="52" t="s">
        <v>19</v>
      </c>
      <c r="E451" s="53" t="s">
        <v>19</v>
      </c>
      <c r="F451" t="s">
        <v>19</v>
      </c>
    </row>
    <row r="452" spans="2:6" x14ac:dyDescent="0.4">
      <c r="B452" s="54" t="s">
        <v>19</v>
      </c>
      <c r="C452" s="52" t="s">
        <v>19</v>
      </c>
      <c r="D452" s="52" t="s">
        <v>19</v>
      </c>
      <c r="E452" s="53" t="s">
        <v>19</v>
      </c>
      <c r="F452" t="s">
        <v>19</v>
      </c>
    </row>
    <row r="453" spans="2:6" x14ac:dyDescent="0.4">
      <c r="B453" s="54" t="s">
        <v>19</v>
      </c>
      <c r="C453" s="52" t="s">
        <v>19</v>
      </c>
      <c r="D453" s="52" t="s">
        <v>19</v>
      </c>
      <c r="E453" s="53" t="s">
        <v>19</v>
      </c>
      <c r="F453" t="s">
        <v>19</v>
      </c>
    </row>
    <row r="454" spans="2:6" x14ac:dyDescent="0.4">
      <c r="B454" s="54" t="s">
        <v>19</v>
      </c>
      <c r="C454" s="52" t="s">
        <v>19</v>
      </c>
      <c r="D454" s="52" t="s">
        <v>19</v>
      </c>
      <c r="E454" s="53" t="s">
        <v>19</v>
      </c>
      <c r="F454" t="s">
        <v>19</v>
      </c>
    </row>
    <row r="455" spans="2:6" x14ac:dyDescent="0.4">
      <c r="B455" s="54" t="s">
        <v>19</v>
      </c>
      <c r="C455" s="52" t="s">
        <v>19</v>
      </c>
      <c r="D455" s="52" t="s">
        <v>19</v>
      </c>
      <c r="E455" s="53" t="s">
        <v>19</v>
      </c>
      <c r="F455" t="s">
        <v>19</v>
      </c>
    </row>
    <row r="456" spans="2:6" x14ac:dyDescent="0.4">
      <c r="B456" s="54" t="s">
        <v>19</v>
      </c>
      <c r="C456" s="52" t="s">
        <v>19</v>
      </c>
      <c r="D456" s="52" t="s">
        <v>19</v>
      </c>
      <c r="E456" s="53" t="s">
        <v>19</v>
      </c>
      <c r="F456" t="s">
        <v>19</v>
      </c>
    </row>
    <row r="457" spans="2:6" x14ac:dyDescent="0.4">
      <c r="B457" s="54" t="s">
        <v>19</v>
      </c>
      <c r="C457" s="52" t="s">
        <v>19</v>
      </c>
      <c r="D457" s="52" t="s">
        <v>19</v>
      </c>
      <c r="E457" s="53" t="s">
        <v>19</v>
      </c>
      <c r="F457" t="s">
        <v>19</v>
      </c>
    </row>
    <row r="458" spans="2:6" x14ac:dyDescent="0.4">
      <c r="B458" s="54" t="s">
        <v>19</v>
      </c>
      <c r="C458" s="52" t="s">
        <v>19</v>
      </c>
      <c r="D458" s="52" t="s">
        <v>19</v>
      </c>
      <c r="E458" s="53" t="s">
        <v>19</v>
      </c>
      <c r="F458" t="s">
        <v>19</v>
      </c>
    </row>
    <row r="459" spans="2:6" x14ac:dyDescent="0.4">
      <c r="B459" s="54" t="s">
        <v>19</v>
      </c>
      <c r="C459" s="52" t="s">
        <v>19</v>
      </c>
      <c r="D459" s="52" t="s">
        <v>19</v>
      </c>
      <c r="E459" s="53" t="s">
        <v>19</v>
      </c>
      <c r="F459" t="s">
        <v>19</v>
      </c>
    </row>
    <row r="460" spans="2:6" x14ac:dyDescent="0.4">
      <c r="B460" s="54" t="s">
        <v>19</v>
      </c>
      <c r="C460" s="52" t="s">
        <v>19</v>
      </c>
      <c r="D460" s="52" t="s">
        <v>19</v>
      </c>
      <c r="E460" s="53" t="s">
        <v>19</v>
      </c>
      <c r="F460" t="s">
        <v>19</v>
      </c>
    </row>
    <row r="461" spans="2:6" x14ac:dyDescent="0.4">
      <c r="B461" s="54" t="s">
        <v>19</v>
      </c>
      <c r="C461" s="52" t="s">
        <v>19</v>
      </c>
      <c r="D461" s="52" t="s">
        <v>19</v>
      </c>
      <c r="E461" s="53" t="s">
        <v>19</v>
      </c>
      <c r="F461" t="s">
        <v>19</v>
      </c>
    </row>
    <row r="462" spans="2:6" x14ac:dyDescent="0.4">
      <c r="B462" s="54" t="s">
        <v>19</v>
      </c>
      <c r="C462" s="52" t="s">
        <v>19</v>
      </c>
      <c r="D462" s="52" t="s">
        <v>19</v>
      </c>
      <c r="E462" s="53" t="s">
        <v>19</v>
      </c>
      <c r="F462" t="s">
        <v>19</v>
      </c>
    </row>
    <row r="463" spans="2:6" x14ac:dyDescent="0.4">
      <c r="B463" s="54" t="s">
        <v>19</v>
      </c>
      <c r="C463" s="52" t="s">
        <v>19</v>
      </c>
      <c r="D463" s="52" t="s">
        <v>19</v>
      </c>
      <c r="E463" s="53" t="s">
        <v>19</v>
      </c>
      <c r="F463" t="s">
        <v>19</v>
      </c>
    </row>
    <row r="464" spans="2:6" x14ac:dyDescent="0.4">
      <c r="B464" s="54" t="s">
        <v>19</v>
      </c>
      <c r="C464" s="52" t="s">
        <v>19</v>
      </c>
      <c r="D464" s="52" t="s">
        <v>19</v>
      </c>
      <c r="E464" s="53" t="s">
        <v>19</v>
      </c>
      <c r="F464" t="s">
        <v>19</v>
      </c>
    </row>
    <row r="465" spans="2:6" x14ac:dyDescent="0.4">
      <c r="B465" s="54" t="s">
        <v>19</v>
      </c>
      <c r="C465" s="52" t="s">
        <v>19</v>
      </c>
      <c r="D465" s="52" t="s">
        <v>19</v>
      </c>
      <c r="E465" s="53" t="s">
        <v>19</v>
      </c>
      <c r="F465" t="s">
        <v>19</v>
      </c>
    </row>
    <row r="466" spans="2:6" x14ac:dyDescent="0.4">
      <c r="B466" s="54" t="s">
        <v>19</v>
      </c>
      <c r="C466" s="52" t="s">
        <v>19</v>
      </c>
      <c r="D466" s="52" t="s">
        <v>19</v>
      </c>
      <c r="E466" s="53" t="s">
        <v>19</v>
      </c>
      <c r="F466" t="s">
        <v>19</v>
      </c>
    </row>
    <row r="467" spans="2:6" x14ac:dyDescent="0.4">
      <c r="B467" s="54" t="s">
        <v>19</v>
      </c>
      <c r="C467" s="52" t="s">
        <v>19</v>
      </c>
      <c r="D467" s="52" t="s">
        <v>19</v>
      </c>
      <c r="E467" s="53" t="s">
        <v>19</v>
      </c>
      <c r="F467" t="s">
        <v>19</v>
      </c>
    </row>
    <row r="468" spans="2:6" x14ac:dyDescent="0.4">
      <c r="B468" s="54" t="s">
        <v>19</v>
      </c>
      <c r="C468" s="52" t="s">
        <v>19</v>
      </c>
      <c r="D468" s="52" t="s">
        <v>19</v>
      </c>
      <c r="E468" s="53" t="s">
        <v>19</v>
      </c>
      <c r="F468" t="s">
        <v>19</v>
      </c>
    </row>
    <row r="469" spans="2:6" x14ac:dyDescent="0.4">
      <c r="B469" s="54" t="s">
        <v>19</v>
      </c>
      <c r="C469" s="52" t="s">
        <v>19</v>
      </c>
      <c r="D469" s="52" t="s">
        <v>19</v>
      </c>
      <c r="E469" s="53" t="s">
        <v>19</v>
      </c>
      <c r="F469" t="s">
        <v>19</v>
      </c>
    </row>
    <row r="470" spans="2:6" x14ac:dyDescent="0.4">
      <c r="B470" s="54" t="s">
        <v>19</v>
      </c>
      <c r="C470" s="52" t="s">
        <v>19</v>
      </c>
      <c r="D470" s="52" t="s">
        <v>19</v>
      </c>
      <c r="E470" s="53" t="s">
        <v>19</v>
      </c>
      <c r="F470" t="s">
        <v>19</v>
      </c>
    </row>
    <row r="471" spans="2:6" x14ac:dyDescent="0.4">
      <c r="B471" s="54" t="s">
        <v>19</v>
      </c>
      <c r="C471" s="52" t="s">
        <v>19</v>
      </c>
      <c r="D471" s="52" t="s">
        <v>19</v>
      </c>
      <c r="E471" s="53" t="s">
        <v>19</v>
      </c>
      <c r="F471" t="s">
        <v>19</v>
      </c>
    </row>
    <row r="472" spans="2:6" x14ac:dyDescent="0.4">
      <c r="B472" s="54" t="s">
        <v>19</v>
      </c>
      <c r="C472" s="52" t="s">
        <v>19</v>
      </c>
      <c r="D472" s="52" t="s">
        <v>19</v>
      </c>
      <c r="E472" s="53" t="s">
        <v>19</v>
      </c>
      <c r="F472" t="s">
        <v>19</v>
      </c>
    </row>
    <row r="473" spans="2:6" x14ac:dyDescent="0.4">
      <c r="B473" s="54" t="s">
        <v>19</v>
      </c>
      <c r="C473" s="52" t="s">
        <v>19</v>
      </c>
      <c r="D473" s="52" t="s">
        <v>19</v>
      </c>
      <c r="E473" s="53" t="s">
        <v>19</v>
      </c>
      <c r="F473" t="s">
        <v>19</v>
      </c>
    </row>
    <row r="474" spans="2:6" x14ac:dyDescent="0.4">
      <c r="B474" s="54" t="s">
        <v>19</v>
      </c>
      <c r="C474" s="52" t="s">
        <v>19</v>
      </c>
      <c r="D474" s="52" t="s">
        <v>19</v>
      </c>
      <c r="E474" s="53" t="s">
        <v>19</v>
      </c>
      <c r="F474" t="s">
        <v>19</v>
      </c>
    </row>
    <row r="475" spans="2:6" x14ac:dyDescent="0.4">
      <c r="B475" s="54" t="s">
        <v>19</v>
      </c>
      <c r="C475" s="52" t="s">
        <v>19</v>
      </c>
      <c r="D475" s="52" t="s">
        <v>19</v>
      </c>
      <c r="E475" s="53" t="s">
        <v>19</v>
      </c>
      <c r="F475" t="s">
        <v>19</v>
      </c>
    </row>
    <row r="476" spans="2:6" x14ac:dyDescent="0.4">
      <c r="B476" s="54" t="s">
        <v>19</v>
      </c>
      <c r="C476" s="52" t="s">
        <v>19</v>
      </c>
      <c r="D476" s="52" t="s">
        <v>19</v>
      </c>
      <c r="E476" s="53" t="s">
        <v>19</v>
      </c>
      <c r="F476" t="s">
        <v>19</v>
      </c>
    </row>
    <row r="477" spans="2:6" x14ac:dyDescent="0.4">
      <c r="B477" s="54" t="s">
        <v>19</v>
      </c>
      <c r="C477" s="52" t="s">
        <v>19</v>
      </c>
      <c r="D477" s="52" t="s">
        <v>19</v>
      </c>
      <c r="E477" s="53" t="s">
        <v>19</v>
      </c>
      <c r="F477" t="s">
        <v>19</v>
      </c>
    </row>
    <row r="478" spans="2:6" x14ac:dyDescent="0.4">
      <c r="B478" s="54" t="s">
        <v>19</v>
      </c>
      <c r="C478" s="52" t="s">
        <v>19</v>
      </c>
      <c r="D478" s="52" t="s">
        <v>19</v>
      </c>
      <c r="E478" s="53" t="s">
        <v>19</v>
      </c>
      <c r="F478" t="s">
        <v>19</v>
      </c>
    </row>
    <row r="479" spans="2:6" x14ac:dyDescent="0.4">
      <c r="B479" s="54" t="s">
        <v>19</v>
      </c>
      <c r="C479" s="52" t="s">
        <v>19</v>
      </c>
      <c r="D479" s="52" t="s">
        <v>19</v>
      </c>
      <c r="E479" s="53" t="s">
        <v>19</v>
      </c>
      <c r="F479" t="s">
        <v>19</v>
      </c>
    </row>
    <row r="480" spans="2:6" x14ac:dyDescent="0.4">
      <c r="B480" s="54" t="s">
        <v>19</v>
      </c>
      <c r="C480" s="52" t="s">
        <v>19</v>
      </c>
      <c r="D480" s="52" t="s">
        <v>19</v>
      </c>
      <c r="E480" s="53" t="s">
        <v>19</v>
      </c>
      <c r="F480" t="s">
        <v>19</v>
      </c>
    </row>
    <row r="481" spans="2:6" x14ac:dyDescent="0.4">
      <c r="B481" s="54" t="s">
        <v>19</v>
      </c>
      <c r="C481" s="52" t="s">
        <v>19</v>
      </c>
      <c r="D481" s="52" t="s">
        <v>19</v>
      </c>
      <c r="E481" s="53" t="s">
        <v>19</v>
      </c>
      <c r="F481" t="s">
        <v>19</v>
      </c>
    </row>
    <row r="482" spans="2:6" x14ac:dyDescent="0.4">
      <c r="B482" s="54" t="s">
        <v>19</v>
      </c>
      <c r="C482" s="52" t="s">
        <v>19</v>
      </c>
      <c r="D482" s="52" t="s">
        <v>19</v>
      </c>
      <c r="E482" s="53" t="s">
        <v>19</v>
      </c>
      <c r="F482" t="s">
        <v>19</v>
      </c>
    </row>
    <row r="483" spans="2:6" x14ac:dyDescent="0.4">
      <c r="B483" s="54" t="s">
        <v>19</v>
      </c>
      <c r="C483" s="52" t="s">
        <v>19</v>
      </c>
      <c r="D483" s="52" t="s">
        <v>19</v>
      </c>
      <c r="E483" s="53" t="s">
        <v>19</v>
      </c>
      <c r="F483" t="s">
        <v>19</v>
      </c>
    </row>
    <row r="484" spans="2:6" x14ac:dyDescent="0.4">
      <c r="B484" s="54" t="s">
        <v>19</v>
      </c>
      <c r="C484" s="52" t="s">
        <v>19</v>
      </c>
      <c r="D484" s="52" t="s">
        <v>19</v>
      </c>
      <c r="E484" s="53" t="s">
        <v>19</v>
      </c>
      <c r="F484" t="s">
        <v>19</v>
      </c>
    </row>
    <row r="485" spans="2:6" x14ac:dyDescent="0.4">
      <c r="B485" s="54" t="s">
        <v>19</v>
      </c>
      <c r="C485" s="52" t="s">
        <v>19</v>
      </c>
      <c r="D485" s="52" t="s">
        <v>19</v>
      </c>
      <c r="E485" s="53" t="s">
        <v>19</v>
      </c>
      <c r="F485" t="s">
        <v>19</v>
      </c>
    </row>
    <row r="486" spans="2:6" x14ac:dyDescent="0.4">
      <c r="B486" s="54" t="s">
        <v>19</v>
      </c>
      <c r="C486" s="52" t="s">
        <v>19</v>
      </c>
      <c r="D486" s="52" t="s">
        <v>19</v>
      </c>
      <c r="E486" s="53" t="s">
        <v>19</v>
      </c>
      <c r="F486" t="s">
        <v>19</v>
      </c>
    </row>
    <row r="487" spans="2:6" x14ac:dyDescent="0.4">
      <c r="B487" s="54" t="s">
        <v>19</v>
      </c>
      <c r="C487" s="52" t="s">
        <v>19</v>
      </c>
      <c r="D487" s="52" t="s">
        <v>19</v>
      </c>
      <c r="E487" s="53" t="s">
        <v>19</v>
      </c>
      <c r="F487" t="s">
        <v>19</v>
      </c>
    </row>
    <row r="488" spans="2:6" x14ac:dyDescent="0.4">
      <c r="B488" s="54" t="s">
        <v>19</v>
      </c>
      <c r="C488" s="52" t="s">
        <v>19</v>
      </c>
      <c r="D488" s="52" t="s">
        <v>19</v>
      </c>
      <c r="E488" s="53" t="s">
        <v>19</v>
      </c>
      <c r="F488" t="s">
        <v>19</v>
      </c>
    </row>
    <row r="489" spans="2:6" x14ac:dyDescent="0.4">
      <c r="B489" s="54" t="s">
        <v>19</v>
      </c>
      <c r="C489" s="52" t="s">
        <v>19</v>
      </c>
      <c r="D489" s="52" t="s">
        <v>19</v>
      </c>
      <c r="E489" s="53" t="s">
        <v>19</v>
      </c>
      <c r="F489" t="s">
        <v>19</v>
      </c>
    </row>
    <row r="490" spans="2:6" x14ac:dyDescent="0.4">
      <c r="B490" s="54" t="s">
        <v>19</v>
      </c>
      <c r="C490" s="52" t="s">
        <v>19</v>
      </c>
      <c r="D490" s="52" t="s">
        <v>19</v>
      </c>
      <c r="E490" s="53" t="s">
        <v>19</v>
      </c>
      <c r="F490" t="s">
        <v>19</v>
      </c>
    </row>
    <row r="491" spans="2:6" x14ac:dyDescent="0.4">
      <c r="B491" s="54" t="s">
        <v>19</v>
      </c>
      <c r="C491" s="52" t="s">
        <v>19</v>
      </c>
      <c r="D491" s="52" t="s">
        <v>19</v>
      </c>
      <c r="E491" s="53" t="s">
        <v>19</v>
      </c>
      <c r="F491" t="s">
        <v>19</v>
      </c>
    </row>
    <row r="492" spans="2:6" x14ac:dyDescent="0.4">
      <c r="B492" s="54" t="s">
        <v>19</v>
      </c>
      <c r="C492" s="52" t="s">
        <v>19</v>
      </c>
      <c r="D492" s="52" t="s">
        <v>19</v>
      </c>
      <c r="E492" s="53" t="s">
        <v>19</v>
      </c>
      <c r="F492" t="s">
        <v>19</v>
      </c>
    </row>
    <row r="493" spans="2:6" x14ac:dyDescent="0.4">
      <c r="B493" s="54" t="s">
        <v>19</v>
      </c>
      <c r="C493" s="52" t="s">
        <v>19</v>
      </c>
      <c r="D493" s="52" t="s">
        <v>19</v>
      </c>
      <c r="E493" s="53" t="s">
        <v>19</v>
      </c>
      <c r="F493" t="s">
        <v>19</v>
      </c>
    </row>
    <row r="494" spans="2:6" x14ac:dyDescent="0.4">
      <c r="B494" s="54" t="s">
        <v>19</v>
      </c>
      <c r="C494" s="52" t="s">
        <v>19</v>
      </c>
      <c r="D494" s="52" t="s">
        <v>19</v>
      </c>
      <c r="E494" s="53" t="s">
        <v>19</v>
      </c>
      <c r="F494" t="s">
        <v>19</v>
      </c>
    </row>
    <row r="495" spans="2:6" x14ac:dyDescent="0.4">
      <c r="B495" s="54" t="s">
        <v>19</v>
      </c>
      <c r="C495" s="52" t="s">
        <v>19</v>
      </c>
      <c r="D495" s="52" t="s">
        <v>19</v>
      </c>
      <c r="E495" s="53" t="s">
        <v>19</v>
      </c>
      <c r="F495" t="s">
        <v>19</v>
      </c>
    </row>
    <row r="496" spans="2:6" x14ac:dyDescent="0.4">
      <c r="B496" s="54" t="s">
        <v>19</v>
      </c>
      <c r="C496" s="52" t="s">
        <v>19</v>
      </c>
      <c r="D496" s="52" t="s">
        <v>19</v>
      </c>
      <c r="E496" s="53" t="s">
        <v>19</v>
      </c>
      <c r="F496" t="s">
        <v>19</v>
      </c>
    </row>
    <row r="497" spans="2:6" x14ac:dyDescent="0.4">
      <c r="B497" s="54" t="s">
        <v>19</v>
      </c>
      <c r="C497" s="52" t="s">
        <v>19</v>
      </c>
      <c r="D497" s="52" t="s">
        <v>19</v>
      </c>
      <c r="E497" s="53" t="s">
        <v>19</v>
      </c>
      <c r="F497" t="s">
        <v>19</v>
      </c>
    </row>
    <row r="498" spans="2:6" x14ac:dyDescent="0.4">
      <c r="B498" s="54" t="s">
        <v>19</v>
      </c>
      <c r="C498" s="52" t="s">
        <v>19</v>
      </c>
      <c r="D498" s="52" t="s">
        <v>19</v>
      </c>
      <c r="E498" s="53" t="s">
        <v>19</v>
      </c>
      <c r="F498" t="s">
        <v>19</v>
      </c>
    </row>
    <row r="499" spans="2:6" x14ac:dyDescent="0.4">
      <c r="B499" s="54" t="s">
        <v>19</v>
      </c>
      <c r="C499" s="52" t="s">
        <v>19</v>
      </c>
      <c r="D499" s="52" t="s">
        <v>19</v>
      </c>
      <c r="E499" s="53" t="s">
        <v>19</v>
      </c>
      <c r="F499" t="s">
        <v>19</v>
      </c>
    </row>
    <row r="500" spans="2:6" x14ac:dyDescent="0.4">
      <c r="B500" s="54" t="s">
        <v>19</v>
      </c>
      <c r="C500" s="52" t="s">
        <v>19</v>
      </c>
      <c r="D500" s="52" t="s">
        <v>19</v>
      </c>
      <c r="E500" s="53" t="s">
        <v>19</v>
      </c>
      <c r="F500" t="s">
        <v>19</v>
      </c>
    </row>
    <row r="501" spans="2:6" x14ac:dyDescent="0.4">
      <c r="B501" s="54" t="s">
        <v>19</v>
      </c>
      <c r="C501" s="52" t="s">
        <v>19</v>
      </c>
      <c r="D501" s="52" t="s">
        <v>19</v>
      </c>
      <c r="E501" s="53" t="s">
        <v>19</v>
      </c>
      <c r="F501" t="s">
        <v>19</v>
      </c>
    </row>
    <row r="502" spans="2:6" x14ac:dyDescent="0.4">
      <c r="B502" s="54" t="s">
        <v>19</v>
      </c>
      <c r="C502" s="52" t="s">
        <v>19</v>
      </c>
      <c r="D502" s="52" t="s">
        <v>19</v>
      </c>
      <c r="E502" s="53" t="s">
        <v>19</v>
      </c>
      <c r="F502" t="s">
        <v>19</v>
      </c>
    </row>
    <row r="503" spans="2:6" x14ac:dyDescent="0.4">
      <c r="B503" s="54" t="s">
        <v>19</v>
      </c>
      <c r="C503" s="52" t="s">
        <v>19</v>
      </c>
      <c r="D503" s="52" t="s">
        <v>19</v>
      </c>
      <c r="E503" s="53" t="s">
        <v>19</v>
      </c>
      <c r="F503" t="s">
        <v>19</v>
      </c>
    </row>
    <row r="504" spans="2:6" x14ac:dyDescent="0.4">
      <c r="B504" s="54" t="s">
        <v>19</v>
      </c>
      <c r="C504" s="52" t="s">
        <v>19</v>
      </c>
      <c r="D504" s="52" t="s">
        <v>19</v>
      </c>
      <c r="E504" s="53" t="s">
        <v>19</v>
      </c>
      <c r="F504" t="s">
        <v>19</v>
      </c>
    </row>
    <row r="505" spans="2:6" x14ac:dyDescent="0.4">
      <c r="B505" s="54" t="s">
        <v>19</v>
      </c>
      <c r="C505" s="52" t="s">
        <v>19</v>
      </c>
      <c r="D505" s="52" t="s">
        <v>19</v>
      </c>
      <c r="E505" s="53" t="s">
        <v>19</v>
      </c>
      <c r="F505" t="s">
        <v>19</v>
      </c>
    </row>
    <row r="506" spans="2:6" x14ac:dyDescent="0.4">
      <c r="B506" s="54" t="s">
        <v>19</v>
      </c>
      <c r="C506" s="52" t="s">
        <v>19</v>
      </c>
      <c r="D506" s="52" t="s">
        <v>19</v>
      </c>
      <c r="E506" s="53" t="s">
        <v>19</v>
      </c>
      <c r="F506" t="s">
        <v>19</v>
      </c>
    </row>
    <row r="507" spans="2:6" x14ac:dyDescent="0.4">
      <c r="B507" s="54" t="s">
        <v>19</v>
      </c>
      <c r="C507" s="52" t="s">
        <v>19</v>
      </c>
      <c r="D507" s="52" t="s">
        <v>19</v>
      </c>
      <c r="E507" s="53" t="s">
        <v>19</v>
      </c>
      <c r="F507" t="s">
        <v>19</v>
      </c>
    </row>
    <row r="508" spans="2:6" x14ac:dyDescent="0.4">
      <c r="B508" s="54" t="s">
        <v>19</v>
      </c>
      <c r="C508" s="52" t="s">
        <v>19</v>
      </c>
      <c r="D508" s="52" t="s">
        <v>19</v>
      </c>
      <c r="E508" s="53" t="s">
        <v>19</v>
      </c>
      <c r="F508" t="s">
        <v>19</v>
      </c>
    </row>
    <row r="509" spans="2:6" x14ac:dyDescent="0.4">
      <c r="B509" s="54" t="s">
        <v>19</v>
      </c>
      <c r="C509" s="52" t="s">
        <v>19</v>
      </c>
      <c r="D509" s="52" t="s">
        <v>19</v>
      </c>
      <c r="E509" s="53" t="s">
        <v>19</v>
      </c>
      <c r="F509" t="s">
        <v>19</v>
      </c>
    </row>
    <row r="510" spans="2:6" x14ac:dyDescent="0.4">
      <c r="B510" s="54" t="s">
        <v>19</v>
      </c>
      <c r="C510" s="52" t="s">
        <v>19</v>
      </c>
      <c r="D510" s="52" t="s">
        <v>19</v>
      </c>
      <c r="E510" s="53" t="s">
        <v>19</v>
      </c>
      <c r="F510" t="s">
        <v>19</v>
      </c>
    </row>
    <row r="511" spans="2:6" x14ac:dyDescent="0.4">
      <c r="B511" s="54" t="s">
        <v>19</v>
      </c>
      <c r="C511" s="52" t="s">
        <v>19</v>
      </c>
      <c r="D511" s="52" t="s">
        <v>19</v>
      </c>
      <c r="E511" s="53" t="s">
        <v>19</v>
      </c>
      <c r="F511" t="s">
        <v>19</v>
      </c>
    </row>
    <row r="512" spans="2:6" x14ac:dyDescent="0.4">
      <c r="B512" s="54" t="s">
        <v>19</v>
      </c>
      <c r="C512" s="52" t="s">
        <v>19</v>
      </c>
      <c r="D512" s="52" t="s">
        <v>19</v>
      </c>
      <c r="E512" s="53" t="s">
        <v>19</v>
      </c>
      <c r="F512" t="s">
        <v>19</v>
      </c>
    </row>
    <row r="513" spans="2:6" x14ac:dyDescent="0.4">
      <c r="B513" s="54" t="s">
        <v>19</v>
      </c>
      <c r="C513" s="52" t="s">
        <v>19</v>
      </c>
      <c r="D513" s="52" t="s">
        <v>19</v>
      </c>
      <c r="E513" s="53" t="s">
        <v>19</v>
      </c>
      <c r="F513" t="s">
        <v>19</v>
      </c>
    </row>
    <row r="514" spans="2:6" x14ac:dyDescent="0.4">
      <c r="B514" s="54" t="s">
        <v>19</v>
      </c>
      <c r="C514" s="52" t="s">
        <v>19</v>
      </c>
      <c r="D514" s="52" t="s">
        <v>19</v>
      </c>
      <c r="E514" s="53" t="s">
        <v>19</v>
      </c>
      <c r="F514" t="s">
        <v>19</v>
      </c>
    </row>
    <row r="515" spans="2:6" x14ac:dyDescent="0.4">
      <c r="B515" s="54" t="s">
        <v>19</v>
      </c>
      <c r="C515" s="52" t="s">
        <v>19</v>
      </c>
      <c r="D515" s="52" t="s">
        <v>19</v>
      </c>
      <c r="E515" s="53" t="s">
        <v>19</v>
      </c>
      <c r="F515" t="s">
        <v>19</v>
      </c>
    </row>
    <row r="516" spans="2:6" x14ac:dyDescent="0.4">
      <c r="B516" s="54" t="s">
        <v>19</v>
      </c>
      <c r="C516" s="52" t="s">
        <v>19</v>
      </c>
      <c r="D516" s="52" t="s">
        <v>19</v>
      </c>
      <c r="E516" s="53" t="s">
        <v>19</v>
      </c>
      <c r="F516" t="s">
        <v>19</v>
      </c>
    </row>
    <row r="517" spans="2:6" x14ac:dyDescent="0.4">
      <c r="B517" s="54" t="s">
        <v>19</v>
      </c>
      <c r="C517" s="52" t="s">
        <v>19</v>
      </c>
      <c r="D517" s="52" t="s">
        <v>19</v>
      </c>
      <c r="E517" s="53" t="s">
        <v>19</v>
      </c>
      <c r="F517" t="s">
        <v>19</v>
      </c>
    </row>
    <row r="518" spans="2:6" x14ac:dyDescent="0.4">
      <c r="B518" s="54" t="s">
        <v>19</v>
      </c>
      <c r="C518" s="52" t="s">
        <v>19</v>
      </c>
      <c r="D518" s="52" t="s">
        <v>19</v>
      </c>
      <c r="E518" s="53" t="s">
        <v>19</v>
      </c>
      <c r="F518" t="s">
        <v>19</v>
      </c>
    </row>
    <row r="519" spans="2:6" x14ac:dyDescent="0.4">
      <c r="B519" s="54" t="s">
        <v>19</v>
      </c>
      <c r="C519" s="52" t="s">
        <v>19</v>
      </c>
      <c r="D519" s="52" t="s">
        <v>19</v>
      </c>
      <c r="E519" s="53" t="s">
        <v>19</v>
      </c>
      <c r="F519" t="s">
        <v>19</v>
      </c>
    </row>
    <row r="520" spans="2:6" x14ac:dyDescent="0.4">
      <c r="B520" s="54" t="s">
        <v>19</v>
      </c>
      <c r="C520" s="52" t="s">
        <v>19</v>
      </c>
      <c r="D520" s="52" t="s">
        <v>19</v>
      </c>
      <c r="E520" s="53" t="s">
        <v>19</v>
      </c>
      <c r="F520" t="s">
        <v>19</v>
      </c>
    </row>
    <row r="521" spans="2:6" x14ac:dyDescent="0.4">
      <c r="B521" s="54" t="s">
        <v>19</v>
      </c>
      <c r="C521" s="52" t="s">
        <v>19</v>
      </c>
      <c r="D521" s="52" t="s">
        <v>19</v>
      </c>
      <c r="E521" s="53" t="s">
        <v>19</v>
      </c>
      <c r="F521" t="s">
        <v>19</v>
      </c>
    </row>
    <row r="522" spans="2:6" x14ac:dyDescent="0.4">
      <c r="B522" s="54" t="s">
        <v>19</v>
      </c>
      <c r="C522" s="52" t="s">
        <v>19</v>
      </c>
      <c r="D522" s="52" t="s">
        <v>19</v>
      </c>
      <c r="E522" s="53" t="s">
        <v>19</v>
      </c>
      <c r="F522" t="s">
        <v>19</v>
      </c>
    </row>
    <row r="523" spans="2:6" x14ac:dyDescent="0.4">
      <c r="B523" s="54" t="s">
        <v>19</v>
      </c>
      <c r="C523" s="52" t="s">
        <v>19</v>
      </c>
      <c r="D523" s="52" t="s">
        <v>19</v>
      </c>
      <c r="E523" s="53" t="s">
        <v>19</v>
      </c>
      <c r="F523" t="s">
        <v>19</v>
      </c>
    </row>
    <row r="524" spans="2:6" x14ac:dyDescent="0.4">
      <c r="B524" s="54" t="s">
        <v>19</v>
      </c>
      <c r="C524" s="52" t="s">
        <v>19</v>
      </c>
      <c r="D524" s="52" t="s">
        <v>19</v>
      </c>
      <c r="E524" s="53" t="s">
        <v>19</v>
      </c>
      <c r="F524" t="s">
        <v>19</v>
      </c>
    </row>
    <row r="525" spans="2:6" x14ac:dyDescent="0.4">
      <c r="B525" s="54" t="s">
        <v>19</v>
      </c>
      <c r="C525" s="52" t="s">
        <v>19</v>
      </c>
      <c r="D525" s="52" t="s">
        <v>19</v>
      </c>
      <c r="E525" s="53" t="s">
        <v>19</v>
      </c>
      <c r="F525" t="s">
        <v>19</v>
      </c>
    </row>
    <row r="526" spans="2:6" x14ac:dyDescent="0.4">
      <c r="B526" s="54" t="s">
        <v>19</v>
      </c>
      <c r="C526" s="52" t="s">
        <v>19</v>
      </c>
      <c r="D526" s="52" t="s">
        <v>19</v>
      </c>
      <c r="E526" s="53" t="s">
        <v>19</v>
      </c>
      <c r="F526" t="s">
        <v>19</v>
      </c>
    </row>
    <row r="527" spans="2:6" x14ac:dyDescent="0.4">
      <c r="B527" s="54" t="s">
        <v>19</v>
      </c>
      <c r="C527" s="52" t="s">
        <v>19</v>
      </c>
      <c r="D527" s="52" t="s">
        <v>19</v>
      </c>
      <c r="E527" s="53" t="s">
        <v>19</v>
      </c>
      <c r="F527" t="s">
        <v>19</v>
      </c>
    </row>
    <row r="528" spans="2:6" x14ac:dyDescent="0.4">
      <c r="B528" s="54" t="s">
        <v>19</v>
      </c>
      <c r="C528" s="52" t="s">
        <v>19</v>
      </c>
      <c r="D528" s="52" t="s">
        <v>19</v>
      </c>
      <c r="E528" s="53" t="s">
        <v>19</v>
      </c>
      <c r="F528" t="s">
        <v>19</v>
      </c>
    </row>
    <row r="529" spans="2:6" x14ac:dyDescent="0.4">
      <c r="B529" s="54" t="s">
        <v>19</v>
      </c>
      <c r="C529" s="52" t="s">
        <v>19</v>
      </c>
      <c r="D529" s="52" t="s">
        <v>19</v>
      </c>
      <c r="E529" s="53" t="s">
        <v>19</v>
      </c>
      <c r="F529" t="s">
        <v>19</v>
      </c>
    </row>
    <row r="530" spans="2:6" x14ac:dyDescent="0.4">
      <c r="B530" s="54" t="s">
        <v>19</v>
      </c>
      <c r="C530" s="52" t="s">
        <v>19</v>
      </c>
      <c r="D530" s="52" t="s">
        <v>19</v>
      </c>
      <c r="E530" s="53" t="s">
        <v>19</v>
      </c>
      <c r="F530" t="s">
        <v>19</v>
      </c>
    </row>
    <row r="531" spans="2:6" x14ac:dyDescent="0.4">
      <c r="B531" s="54" t="s">
        <v>19</v>
      </c>
      <c r="C531" s="52" t="s">
        <v>19</v>
      </c>
      <c r="D531" s="52" t="s">
        <v>19</v>
      </c>
      <c r="E531" s="53" t="s">
        <v>19</v>
      </c>
      <c r="F531" t="s">
        <v>19</v>
      </c>
    </row>
    <row r="532" spans="2:6" x14ac:dyDescent="0.4">
      <c r="B532" s="54" t="s">
        <v>19</v>
      </c>
      <c r="C532" s="52" t="s">
        <v>19</v>
      </c>
      <c r="D532" s="52" t="s">
        <v>19</v>
      </c>
      <c r="E532" s="53" t="s">
        <v>19</v>
      </c>
      <c r="F532" t="s">
        <v>19</v>
      </c>
    </row>
    <row r="533" spans="2:6" x14ac:dyDescent="0.4">
      <c r="B533" s="54" t="s">
        <v>19</v>
      </c>
      <c r="C533" s="52" t="s">
        <v>19</v>
      </c>
      <c r="D533" s="52" t="s">
        <v>19</v>
      </c>
      <c r="E533" s="53" t="s">
        <v>19</v>
      </c>
      <c r="F533" t="s">
        <v>19</v>
      </c>
    </row>
    <row r="534" spans="2:6" x14ac:dyDescent="0.4">
      <c r="B534" s="54" t="s">
        <v>19</v>
      </c>
      <c r="C534" s="52" t="s">
        <v>19</v>
      </c>
      <c r="D534" s="52" t="s">
        <v>19</v>
      </c>
      <c r="E534" s="53" t="s">
        <v>19</v>
      </c>
      <c r="F534" t="s">
        <v>19</v>
      </c>
    </row>
    <row r="535" spans="2:6" x14ac:dyDescent="0.4">
      <c r="B535" s="54" t="s">
        <v>19</v>
      </c>
      <c r="C535" s="52" t="s">
        <v>19</v>
      </c>
      <c r="D535" s="52" t="s">
        <v>19</v>
      </c>
      <c r="E535" s="53" t="s">
        <v>19</v>
      </c>
      <c r="F535" t="s">
        <v>19</v>
      </c>
    </row>
    <row r="536" spans="2:6" x14ac:dyDescent="0.4">
      <c r="B536" s="54" t="s">
        <v>19</v>
      </c>
      <c r="C536" s="52" t="s">
        <v>19</v>
      </c>
      <c r="D536" s="52" t="s">
        <v>19</v>
      </c>
      <c r="E536" s="53" t="s">
        <v>19</v>
      </c>
      <c r="F536" t="s">
        <v>19</v>
      </c>
    </row>
    <row r="537" spans="2:6" x14ac:dyDescent="0.4">
      <c r="B537" s="54" t="s">
        <v>19</v>
      </c>
      <c r="C537" s="52" t="s">
        <v>19</v>
      </c>
      <c r="D537" s="52" t="s">
        <v>19</v>
      </c>
      <c r="E537" s="53" t="s">
        <v>19</v>
      </c>
      <c r="F537" t="s">
        <v>19</v>
      </c>
    </row>
    <row r="538" spans="2:6" x14ac:dyDescent="0.4">
      <c r="B538" s="54" t="s">
        <v>19</v>
      </c>
      <c r="C538" s="52" t="s">
        <v>19</v>
      </c>
      <c r="D538" s="52" t="s">
        <v>19</v>
      </c>
      <c r="E538" s="53" t="s">
        <v>19</v>
      </c>
      <c r="F538" t="s">
        <v>19</v>
      </c>
    </row>
    <row r="539" spans="2:6" x14ac:dyDescent="0.4">
      <c r="B539" s="54" t="s">
        <v>19</v>
      </c>
      <c r="C539" s="52" t="s">
        <v>19</v>
      </c>
      <c r="D539" s="52" t="s">
        <v>19</v>
      </c>
      <c r="E539" s="53" t="s">
        <v>19</v>
      </c>
      <c r="F539" t="s">
        <v>19</v>
      </c>
    </row>
    <row r="540" spans="2:6" x14ac:dyDescent="0.4">
      <c r="B540" s="54" t="s">
        <v>19</v>
      </c>
      <c r="C540" s="52" t="s">
        <v>19</v>
      </c>
      <c r="D540" s="52" t="s">
        <v>19</v>
      </c>
      <c r="E540" s="53" t="s">
        <v>19</v>
      </c>
      <c r="F540" t="s">
        <v>19</v>
      </c>
    </row>
    <row r="541" spans="2:6" x14ac:dyDescent="0.4">
      <c r="B541" s="54" t="s">
        <v>19</v>
      </c>
      <c r="C541" s="52" t="s">
        <v>19</v>
      </c>
      <c r="D541" s="52" t="s">
        <v>19</v>
      </c>
      <c r="E541" s="53" t="s">
        <v>19</v>
      </c>
      <c r="F541" t="s">
        <v>19</v>
      </c>
    </row>
    <row r="542" spans="2:6" x14ac:dyDescent="0.4">
      <c r="B542" s="54" t="s">
        <v>19</v>
      </c>
      <c r="C542" s="52" t="s">
        <v>19</v>
      </c>
      <c r="D542" s="52" t="s">
        <v>19</v>
      </c>
      <c r="E542" s="53" t="s">
        <v>19</v>
      </c>
      <c r="F542" t="s">
        <v>19</v>
      </c>
    </row>
    <row r="543" spans="2:6" x14ac:dyDescent="0.4">
      <c r="B543" s="54" t="s">
        <v>19</v>
      </c>
      <c r="C543" s="52" t="s">
        <v>19</v>
      </c>
      <c r="D543" s="52" t="s">
        <v>19</v>
      </c>
      <c r="E543" s="53" t="s">
        <v>19</v>
      </c>
      <c r="F543" t="s">
        <v>19</v>
      </c>
    </row>
    <row r="544" spans="2:6" x14ac:dyDescent="0.4">
      <c r="B544" s="54" t="s">
        <v>19</v>
      </c>
      <c r="C544" s="52" t="s">
        <v>19</v>
      </c>
      <c r="D544" s="52" t="s">
        <v>19</v>
      </c>
      <c r="E544" s="53" t="s">
        <v>19</v>
      </c>
      <c r="F544" t="s">
        <v>19</v>
      </c>
    </row>
    <row r="545" spans="2:6" x14ac:dyDescent="0.4">
      <c r="B545" s="54" t="s">
        <v>19</v>
      </c>
      <c r="C545" s="52" t="s">
        <v>19</v>
      </c>
      <c r="D545" s="52" t="s">
        <v>19</v>
      </c>
      <c r="E545" s="53" t="s">
        <v>19</v>
      </c>
      <c r="F545" t="s">
        <v>19</v>
      </c>
    </row>
    <row r="546" spans="2:6" x14ac:dyDescent="0.4">
      <c r="B546" s="54" t="s">
        <v>19</v>
      </c>
      <c r="C546" s="52" t="s">
        <v>19</v>
      </c>
      <c r="D546" s="52" t="s">
        <v>19</v>
      </c>
      <c r="E546" s="53" t="s">
        <v>19</v>
      </c>
      <c r="F546" t="s">
        <v>19</v>
      </c>
    </row>
    <row r="547" spans="2:6" x14ac:dyDescent="0.4">
      <c r="B547" s="54" t="s">
        <v>19</v>
      </c>
      <c r="C547" s="52" t="s">
        <v>19</v>
      </c>
      <c r="D547" s="52" t="s">
        <v>19</v>
      </c>
      <c r="E547" s="53" t="s">
        <v>19</v>
      </c>
      <c r="F547" t="s">
        <v>19</v>
      </c>
    </row>
    <row r="548" spans="2:6" x14ac:dyDescent="0.4">
      <c r="B548" s="54" t="s">
        <v>19</v>
      </c>
      <c r="C548" s="52" t="s">
        <v>19</v>
      </c>
      <c r="D548" s="52" t="s">
        <v>19</v>
      </c>
      <c r="E548" s="53" t="s">
        <v>19</v>
      </c>
      <c r="F548" t="s">
        <v>19</v>
      </c>
    </row>
    <row r="549" spans="2:6" x14ac:dyDescent="0.4">
      <c r="B549" s="54" t="s">
        <v>19</v>
      </c>
      <c r="C549" s="52" t="s">
        <v>19</v>
      </c>
      <c r="D549" s="52" t="s">
        <v>19</v>
      </c>
      <c r="E549" s="53" t="s">
        <v>19</v>
      </c>
      <c r="F549" t="s">
        <v>19</v>
      </c>
    </row>
    <row r="550" spans="2:6" x14ac:dyDescent="0.4">
      <c r="B550" s="54" t="s">
        <v>19</v>
      </c>
      <c r="C550" s="52" t="s">
        <v>19</v>
      </c>
      <c r="D550" s="52" t="s">
        <v>19</v>
      </c>
      <c r="E550" s="53" t="s">
        <v>19</v>
      </c>
      <c r="F550" t="s">
        <v>19</v>
      </c>
    </row>
    <row r="551" spans="2:6" x14ac:dyDescent="0.4">
      <c r="B551" s="54" t="s">
        <v>19</v>
      </c>
      <c r="C551" s="52" t="s">
        <v>19</v>
      </c>
      <c r="D551" s="52" t="s">
        <v>19</v>
      </c>
      <c r="E551" s="53" t="s">
        <v>19</v>
      </c>
      <c r="F551" t="s">
        <v>19</v>
      </c>
    </row>
    <row r="552" spans="2:6" x14ac:dyDescent="0.4">
      <c r="B552" s="54" t="s">
        <v>19</v>
      </c>
      <c r="C552" s="52" t="s">
        <v>19</v>
      </c>
      <c r="D552" s="52" t="s">
        <v>19</v>
      </c>
      <c r="E552" s="53" t="s">
        <v>19</v>
      </c>
      <c r="F552" t="s">
        <v>19</v>
      </c>
    </row>
    <row r="553" spans="2:6" x14ac:dyDescent="0.4">
      <c r="B553" s="54" t="s">
        <v>19</v>
      </c>
      <c r="C553" s="52" t="s">
        <v>19</v>
      </c>
      <c r="D553" s="52" t="s">
        <v>19</v>
      </c>
      <c r="E553" s="53" t="s">
        <v>19</v>
      </c>
      <c r="F553" t="s">
        <v>19</v>
      </c>
    </row>
    <row r="554" spans="2:6" x14ac:dyDescent="0.4">
      <c r="B554" s="54" t="s">
        <v>19</v>
      </c>
      <c r="C554" s="52" t="s">
        <v>19</v>
      </c>
      <c r="D554" s="52" t="s">
        <v>19</v>
      </c>
      <c r="E554" s="53" t="s">
        <v>19</v>
      </c>
      <c r="F554" t="s">
        <v>19</v>
      </c>
    </row>
    <row r="555" spans="2:6" x14ac:dyDescent="0.4">
      <c r="B555" s="54" t="s">
        <v>19</v>
      </c>
      <c r="C555" s="52" t="s">
        <v>19</v>
      </c>
      <c r="D555" s="52" t="s">
        <v>19</v>
      </c>
      <c r="E555" s="53" t="s">
        <v>19</v>
      </c>
      <c r="F555" t="s">
        <v>19</v>
      </c>
    </row>
    <row r="556" spans="2:6" x14ac:dyDescent="0.4">
      <c r="B556" s="54" t="s">
        <v>19</v>
      </c>
      <c r="C556" s="52" t="s">
        <v>19</v>
      </c>
      <c r="D556" s="52" t="s">
        <v>19</v>
      </c>
      <c r="E556" s="53" t="s">
        <v>19</v>
      </c>
      <c r="F556" t="s">
        <v>19</v>
      </c>
    </row>
    <row r="557" spans="2:6" x14ac:dyDescent="0.4">
      <c r="B557" s="54" t="s">
        <v>19</v>
      </c>
      <c r="C557" s="52" t="s">
        <v>19</v>
      </c>
      <c r="D557" s="52" t="s">
        <v>19</v>
      </c>
      <c r="E557" s="53" t="s">
        <v>19</v>
      </c>
      <c r="F557" t="s">
        <v>19</v>
      </c>
    </row>
    <row r="558" spans="2:6" x14ac:dyDescent="0.4">
      <c r="B558" s="54" t="s">
        <v>19</v>
      </c>
      <c r="C558" s="52" t="s">
        <v>19</v>
      </c>
      <c r="D558" s="52" t="s">
        <v>19</v>
      </c>
      <c r="E558" s="53" t="s">
        <v>19</v>
      </c>
      <c r="F558" t="s">
        <v>19</v>
      </c>
    </row>
    <row r="559" spans="2:6" x14ac:dyDescent="0.4">
      <c r="B559" s="54" t="s">
        <v>19</v>
      </c>
      <c r="C559" s="52" t="s">
        <v>19</v>
      </c>
      <c r="D559" s="52" t="s">
        <v>19</v>
      </c>
      <c r="E559" s="53" t="s">
        <v>19</v>
      </c>
      <c r="F559" t="s">
        <v>19</v>
      </c>
    </row>
    <row r="560" spans="2:6" x14ac:dyDescent="0.4">
      <c r="B560" s="54" t="s">
        <v>19</v>
      </c>
      <c r="C560" s="52" t="s">
        <v>19</v>
      </c>
      <c r="D560" s="52" t="s">
        <v>19</v>
      </c>
      <c r="E560" s="53" t="s">
        <v>19</v>
      </c>
      <c r="F560" t="s">
        <v>19</v>
      </c>
    </row>
    <row r="561" spans="2:6" x14ac:dyDescent="0.4">
      <c r="B561" s="54" t="s">
        <v>19</v>
      </c>
      <c r="C561" s="52" t="s">
        <v>19</v>
      </c>
      <c r="D561" s="52" t="s">
        <v>19</v>
      </c>
      <c r="E561" s="53" t="s">
        <v>19</v>
      </c>
      <c r="F561" t="s">
        <v>19</v>
      </c>
    </row>
    <row r="562" spans="2:6" x14ac:dyDescent="0.4">
      <c r="B562" s="54" t="s">
        <v>19</v>
      </c>
      <c r="C562" s="52" t="s">
        <v>19</v>
      </c>
      <c r="D562" s="52" t="s">
        <v>19</v>
      </c>
      <c r="E562" s="53" t="s">
        <v>19</v>
      </c>
      <c r="F562" t="s">
        <v>19</v>
      </c>
    </row>
    <row r="563" spans="2:6" x14ac:dyDescent="0.4">
      <c r="B563" s="54" t="s">
        <v>19</v>
      </c>
      <c r="C563" s="52" t="s">
        <v>19</v>
      </c>
      <c r="D563" s="52" t="s">
        <v>19</v>
      </c>
      <c r="E563" s="53" t="s">
        <v>19</v>
      </c>
      <c r="F563" t="s">
        <v>19</v>
      </c>
    </row>
    <row r="564" spans="2:6" x14ac:dyDescent="0.4">
      <c r="B564" s="54" t="s">
        <v>19</v>
      </c>
      <c r="C564" s="52" t="s">
        <v>19</v>
      </c>
      <c r="D564" s="52" t="s">
        <v>19</v>
      </c>
      <c r="E564" s="53" t="s">
        <v>19</v>
      </c>
      <c r="F564" t="s">
        <v>19</v>
      </c>
    </row>
    <row r="565" spans="2:6" x14ac:dyDescent="0.4">
      <c r="B565" s="54" t="s">
        <v>19</v>
      </c>
      <c r="C565" s="52" t="s">
        <v>19</v>
      </c>
      <c r="D565" s="52" t="s">
        <v>19</v>
      </c>
      <c r="E565" s="53" t="s">
        <v>19</v>
      </c>
      <c r="F565" t="s">
        <v>19</v>
      </c>
    </row>
    <row r="566" spans="2:6" x14ac:dyDescent="0.4">
      <c r="B566" s="54" t="s">
        <v>19</v>
      </c>
      <c r="C566" s="52" t="s">
        <v>19</v>
      </c>
      <c r="D566" s="52" t="s">
        <v>19</v>
      </c>
      <c r="E566" s="53" t="s">
        <v>19</v>
      </c>
      <c r="F566" t="s">
        <v>19</v>
      </c>
    </row>
    <row r="567" spans="2:6" x14ac:dyDescent="0.4">
      <c r="B567" s="54" t="s">
        <v>19</v>
      </c>
      <c r="C567" s="52" t="s">
        <v>19</v>
      </c>
      <c r="D567" s="52" t="s">
        <v>19</v>
      </c>
      <c r="E567" s="53" t="s">
        <v>19</v>
      </c>
      <c r="F567" t="s">
        <v>19</v>
      </c>
    </row>
    <row r="568" spans="2:6" x14ac:dyDescent="0.4">
      <c r="B568" s="54" t="s">
        <v>19</v>
      </c>
      <c r="C568" s="52" t="s">
        <v>19</v>
      </c>
      <c r="D568" s="52" t="s">
        <v>19</v>
      </c>
      <c r="E568" s="53" t="s">
        <v>19</v>
      </c>
      <c r="F568" t="s">
        <v>19</v>
      </c>
    </row>
    <row r="569" spans="2:6" x14ac:dyDescent="0.4">
      <c r="B569" s="54" t="s">
        <v>19</v>
      </c>
      <c r="C569" s="52" t="s">
        <v>19</v>
      </c>
      <c r="D569" s="52" t="s">
        <v>19</v>
      </c>
      <c r="E569" s="53" t="s">
        <v>19</v>
      </c>
      <c r="F569" t="s">
        <v>19</v>
      </c>
    </row>
    <row r="570" spans="2:6" x14ac:dyDescent="0.4">
      <c r="B570" s="54" t="s">
        <v>19</v>
      </c>
      <c r="C570" s="52" t="s">
        <v>19</v>
      </c>
      <c r="D570" s="52" t="s">
        <v>19</v>
      </c>
      <c r="E570" s="53" t="s">
        <v>19</v>
      </c>
      <c r="F570" t="s">
        <v>19</v>
      </c>
    </row>
    <row r="571" spans="2:6" x14ac:dyDescent="0.4">
      <c r="B571" s="54" t="s">
        <v>19</v>
      </c>
      <c r="C571" s="52" t="s">
        <v>19</v>
      </c>
      <c r="D571" s="52" t="s">
        <v>19</v>
      </c>
      <c r="E571" s="53" t="s">
        <v>19</v>
      </c>
      <c r="F571" t="s">
        <v>19</v>
      </c>
    </row>
    <row r="572" spans="2:6" x14ac:dyDescent="0.4">
      <c r="B572" s="54" t="s">
        <v>19</v>
      </c>
      <c r="C572" s="52" t="s">
        <v>19</v>
      </c>
      <c r="D572" s="52" t="s">
        <v>19</v>
      </c>
      <c r="E572" s="53" t="s">
        <v>19</v>
      </c>
      <c r="F572" t="s">
        <v>19</v>
      </c>
    </row>
    <row r="573" spans="2:6" x14ac:dyDescent="0.4">
      <c r="B573" s="54" t="s">
        <v>19</v>
      </c>
      <c r="C573" s="52" t="s">
        <v>19</v>
      </c>
      <c r="D573" s="52" t="s">
        <v>19</v>
      </c>
      <c r="E573" s="53" t="s">
        <v>19</v>
      </c>
      <c r="F573" t="s">
        <v>19</v>
      </c>
    </row>
    <row r="574" spans="2:6" x14ac:dyDescent="0.4">
      <c r="B574" s="54" t="s">
        <v>19</v>
      </c>
      <c r="C574" s="52" t="s">
        <v>19</v>
      </c>
      <c r="D574" s="52" t="s">
        <v>19</v>
      </c>
      <c r="E574" s="53" t="s">
        <v>19</v>
      </c>
      <c r="F574" t="s">
        <v>19</v>
      </c>
    </row>
    <row r="575" spans="2:6" x14ac:dyDescent="0.4">
      <c r="B575" s="54" t="s">
        <v>19</v>
      </c>
      <c r="C575" s="52" t="s">
        <v>19</v>
      </c>
      <c r="D575" s="52" t="s">
        <v>19</v>
      </c>
      <c r="E575" s="53" t="s">
        <v>19</v>
      </c>
      <c r="F575" t="s">
        <v>19</v>
      </c>
    </row>
    <row r="576" spans="2:6" x14ac:dyDescent="0.4">
      <c r="B576" s="54" t="s">
        <v>19</v>
      </c>
      <c r="C576" s="52" t="s">
        <v>19</v>
      </c>
      <c r="D576" s="52" t="s">
        <v>19</v>
      </c>
      <c r="E576" s="53" t="s">
        <v>19</v>
      </c>
      <c r="F576" t="s">
        <v>19</v>
      </c>
    </row>
    <row r="577" spans="2:6" x14ac:dyDescent="0.4">
      <c r="B577" s="54" t="s">
        <v>19</v>
      </c>
      <c r="C577" s="52" t="s">
        <v>19</v>
      </c>
      <c r="D577" s="52" t="s">
        <v>19</v>
      </c>
      <c r="E577" s="53" t="s">
        <v>19</v>
      </c>
      <c r="F577" t="s">
        <v>19</v>
      </c>
    </row>
    <row r="578" spans="2:6" x14ac:dyDescent="0.4">
      <c r="B578" s="54" t="s">
        <v>19</v>
      </c>
      <c r="C578" s="52" t="s">
        <v>19</v>
      </c>
      <c r="D578" s="52" t="s">
        <v>19</v>
      </c>
      <c r="E578" s="53" t="s">
        <v>19</v>
      </c>
      <c r="F578" t="s">
        <v>19</v>
      </c>
    </row>
    <row r="579" spans="2:6" x14ac:dyDescent="0.4">
      <c r="B579" s="54" t="s">
        <v>19</v>
      </c>
      <c r="C579" s="52" t="s">
        <v>19</v>
      </c>
      <c r="D579" s="52" t="s">
        <v>19</v>
      </c>
      <c r="E579" s="53" t="s">
        <v>19</v>
      </c>
      <c r="F579" t="s">
        <v>19</v>
      </c>
    </row>
    <row r="580" spans="2:6" x14ac:dyDescent="0.4">
      <c r="B580" s="54" t="s">
        <v>19</v>
      </c>
      <c r="C580" s="52" t="s">
        <v>19</v>
      </c>
      <c r="D580" s="52" t="s">
        <v>19</v>
      </c>
      <c r="E580" s="53" t="s">
        <v>19</v>
      </c>
      <c r="F580" t="s">
        <v>19</v>
      </c>
    </row>
    <row r="581" spans="2:6" x14ac:dyDescent="0.4">
      <c r="B581" s="54" t="s">
        <v>19</v>
      </c>
      <c r="C581" s="52" t="s">
        <v>19</v>
      </c>
      <c r="D581" s="52" t="s">
        <v>19</v>
      </c>
      <c r="E581" s="53" t="s">
        <v>19</v>
      </c>
      <c r="F581" t="s">
        <v>19</v>
      </c>
    </row>
    <row r="582" spans="2:6" x14ac:dyDescent="0.4">
      <c r="B582" s="54" t="s">
        <v>19</v>
      </c>
      <c r="C582" s="52" t="s">
        <v>19</v>
      </c>
      <c r="D582" s="52" t="s">
        <v>19</v>
      </c>
      <c r="E582" s="53" t="s">
        <v>19</v>
      </c>
      <c r="F582" t="s">
        <v>19</v>
      </c>
    </row>
    <row r="583" spans="2:6" x14ac:dyDescent="0.4">
      <c r="B583" s="54" t="s">
        <v>19</v>
      </c>
      <c r="C583" s="52" t="s">
        <v>19</v>
      </c>
      <c r="D583" s="52" t="s">
        <v>19</v>
      </c>
      <c r="E583" s="53" t="s">
        <v>19</v>
      </c>
      <c r="F583" t="s">
        <v>19</v>
      </c>
    </row>
    <row r="584" spans="2:6" x14ac:dyDescent="0.4">
      <c r="B584" s="54" t="s">
        <v>19</v>
      </c>
      <c r="C584" s="52" t="s">
        <v>19</v>
      </c>
      <c r="D584" s="52" t="s">
        <v>19</v>
      </c>
      <c r="E584" s="53" t="s">
        <v>19</v>
      </c>
      <c r="F584" t="s">
        <v>19</v>
      </c>
    </row>
    <row r="585" spans="2:6" x14ac:dyDescent="0.4">
      <c r="B585" s="54" t="s">
        <v>19</v>
      </c>
      <c r="C585" s="52" t="s">
        <v>19</v>
      </c>
      <c r="D585" s="52" t="s">
        <v>19</v>
      </c>
      <c r="E585" s="53" t="s">
        <v>19</v>
      </c>
      <c r="F585" t="s">
        <v>19</v>
      </c>
    </row>
    <row r="586" spans="2:6" x14ac:dyDescent="0.4">
      <c r="B586" s="54" t="s">
        <v>19</v>
      </c>
      <c r="C586" s="52" t="s">
        <v>19</v>
      </c>
      <c r="D586" s="52" t="s">
        <v>19</v>
      </c>
      <c r="E586" s="53" t="s">
        <v>19</v>
      </c>
      <c r="F586" t="s">
        <v>19</v>
      </c>
    </row>
    <row r="587" spans="2:6" x14ac:dyDescent="0.4">
      <c r="B587" s="54" t="s">
        <v>19</v>
      </c>
      <c r="C587" s="52" t="s">
        <v>19</v>
      </c>
      <c r="D587" s="52" t="s">
        <v>19</v>
      </c>
      <c r="E587" s="53" t="s">
        <v>19</v>
      </c>
      <c r="F587" t="s">
        <v>19</v>
      </c>
    </row>
    <row r="588" spans="2:6" x14ac:dyDescent="0.4">
      <c r="B588" s="54" t="s">
        <v>19</v>
      </c>
      <c r="C588" s="52" t="s">
        <v>19</v>
      </c>
      <c r="D588" s="52" t="s">
        <v>19</v>
      </c>
      <c r="E588" s="53" t="s">
        <v>19</v>
      </c>
      <c r="F588" t="s">
        <v>19</v>
      </c>
    </row>
    <row r="589" spans="2:6" x14ac:dyDescent="0.4">
      <c r="B589" s="54" t="s">
        <v>19</v>
      </c>
      <c r="C589" s="52" t="s">
        <v>19</v>
      </c>
      <c r="D589" s="52" t="s">
        <v>19</v>
      </c>
      <c r="E589" s="53" t="s">
        <v>19</v>
      </c>
      <c r="F589" t="s">
        <v>19</v>
      </c>
    </row>
    <row r="590" spans="2:6" x14ac:dyDescent="0.4">
      <c r="B590" s="54" t="s">
        <v>19</v>
      </c>
      <c r="C590" s="52" t="s">
        <v>19</v>
      </c>
      <c r="D590" s="52" t="s">
        <v>19</v>
      </c>
      <c r="E590" s="53" t="s">
        <v>19</v>
      </c>
      <c r="F590" t="s">
        <v>19</v>
      </c>
    </row>
    <row r="591" spans="2:6" x14ac:dyDescent="0.4">
      <c r="B591" s="54" t="s">
        <v>19</v>
      </c>
      <c r="C591" s="52" t="s">
        <v>19</v>
      </c>
      <c r="D591" s="52" t="s">
        <v>19</v>
      </c>
      <c r="E591" s="53" t="s">
        <v>19</v>
      </c>
      <c r="F591" t="s">
        <v>19</v>
      </c>
    </row>
    <row r="592" spans="2:6" x14ac:dyDescent="0.4">
      <c r="B592" s="54" t="s">
        <v>19</v>
      </c>
      <c r="C592" s="52" t="s">
        <v>19</v>
      </c>
      <c r="D592" s="52" t="s">
        <v>19</v>
      </c>
      <c r="E592" s="53" t="s">
        <v>19</v>
      </c>
      <c r="F592" t="s">
        <v>19</v>
      </c>
    </row>
    <row r="593" spans="2:6" x14ac:dyDescent="0.4">
      <c r="B593" s="54" t="s">
        <v>19</v>
      </c>
      <c r="C593" s="52" t="s">
        <v>19</v>
      </c>
      <c r="D593" s="52" t="s">
        <v>19</v>
      </c>
      <c r="E593" s="53" t="s">
        <v>19</v>
      </c>
      <c r="F593" t="s">
        <v>19</v>
      </c>
    </row>
    <row r="594" spans="2:6" x14ac:dyDescent="0.4">
      <c r="B594" s="54" t="s">
        <v>19</v>
      </c>
      <c r="C594" s="52" t="s">
        <v>19</v>
      </c>
      <c r="D594" s="52" t="s">
        <v>19</v>
      </c>
      <c r="E594" s="53" t="s">
        <v>19</v>
      </c>
      <c r="F594" t="s">
        <v>19</v>
      </c>
    </row>
    <row r="595" spans="2:6" x14ac:dyDescent="0.4">
      <c r="B595" s="54" t="s">
        <v>19</v>
      </c>
      <c r="C595" s="52" t="s">
        <v>19</v>
      </c>
      <c r="D595" s="52" t="s">
        <v>19</v>
      </c>
      <c r="E595" s="53" t="s">
        <v>19</v>
      </c>
      <c r="F595" t="s">
        <v>19</v>
      </c>
    </row>
    <row r="596" spans="2:6" x14ac:dyDescent="0.4">
      <c r="B596" s="54" t="s">
        <v>19</v>
      </c>
      <c r="C596" s="52" t="s">
        <v>19</v>
      </c>
      <c r="D596" s="52" t="s">
        <v>19</v>
      </c>
      <c r="E596" s="53" t="s">
        <v>19</v>
      </c>
      <c r="F596" t="s">
        <v>19</v>
      </c>
    </row>
    <row r="597" spans="2:6" x14ac:dyDescent="0.4">
      <c r="B597" s="54" t="s">
        <v>19</v>
      </c>
      <c r="C597" s="52" t="s">
        <v>19</v>
      </c>
      <c r="D597" s="52" t="s">
        <v>19</v>
      </c>
      <c r="E597" s="53" t="s">
        <v>19</v>
      </c>
      <c r="F597" t="s">
        <v>19</v>
      </c>
    </row>
    <row r="598" spans="2:6" x14ac:dyDescent="0.4">
      <c r="B598" s="54" t="s">
        <v>19</v>
      </c>
      <c r="C598" s="52" t="s">
        <v>19</v>
      </c>
      <c r="D598" s="52" t="s">
        <v>19</v>
      </c>
      <c r="E598" s="53" t="s">
        <v>19</v>
      </c>
      <c r="F598" t="s">
        <v>19</v>
      </c>
    </row>
    <row r="599" spans="2:6" x14ac:dyDescent="0.4">
      <c r="B599" s="54" t="s">
        <v>19</v>
      </c>
      <c r="C599" s="52" t="s">
        <v>19</v>
      </c>
      <c r="D599" s="52" t="s">
        <v>19</v>
      </c>
      <c r="E599" s="53" t="s">
        <v>19</v>
      </c>
      <c r="F599" t="s">
        <v>19</v>
      </c>
    </row>
    <row r="600" spans="2:6" x14ac:dyDescent="0.4">
      <c r="B600" s="54" t="s">
        <v>19</v>
      </c>
      <c r="C600" s="52" t="s">
        <v>19</v>
      </c>
      <c r="D600" s="52" t="s">
        <v>19</v>
      </c>
      <c r="E600" s="53" t="s">
        <v>19</v>
      </c>
      <c r="F600" t="s">
        <v>19</v>
      </c>
    </row>
    <row r="601" spans="2:6" x14ac:dyDescent="0.4">
      <c r="B601" s="54" t="s">
        <v>19</v>
      </c>
      <c r="C601" s="52" t="s">
        <v>19</v>
      </c>
      <c r="D601" s="52" t="s">
        <v>19</v>
      </c>
      <c r="E601" s="53" t="s">
        <v>19</v>
      </c>
      <c r="F601" t="s">
        <v>19</v>
      </c>
    </row>
    <row r="602" spans="2:6" x14ac:dyDescent="0.4">
      <c r="B602" s="54" t="s">
        <v>19</v>
      </c>
      <c r="C602" s="52" t="s">
        <v>19</v>
      </c>
      <c r="D602" s="52" t="s">
        <v>19</v>
      </c>
      <c r="E602" s="53" t="s">
        <v>19</v>
      </c>
      <c r="F602" t="s">
        <v>19</v>
      </c>
    </row>
    <row r="603" spans="2:6" x14ac:dyDescent="0.4">
      <c r="B603" s="54" t="s">
        <v>19</v>
      </c>
      <c r="C603" s="52" t="s">
        <v>19</v>
      </c>
      <c r="D603" s="52" t="s">
        <v>19</v>
      </c>
      <c r="E603" s="53" t="s">
        <v>19</v>
      </c>
      <c r="F603" t="s">
        <v>19</v>
      </c>
    </row>
    <row r="604" spans="2:6" x14ac:dyDescent="0.4">
      <c r="B604" s="54" t="s">
        <v>19</v>
      </c>
      <c r="C604" s="52" t="s">
        <v>19</v>
      </c>
      <c r="D604" s="52" t="s">
        <v>19</v>
      </c>
      <c r="E604" s="53" t="s">
        <v>19</v>
      </c>
      <c r="F604" t="s">
        <v>19</v>
      </c>
    </row>
    <row r="605" spans="2:6" x14ac:dyDescent="0.4">
      <c r="B605" s="54" t="s">
        <v>19</v>
      </c>
      <c r="C605" s="52" t="s">
        <v>19</v>
      </c>
      <c r="D605" s="52" t="s">
        <v>19</v>
      </c>
      <c r="E605" s="53" t="s">
        <v>19</v>
      </c>
      <c r="F605" t="s">
        <v>19</v>
      </c>
    </row>
    <row r="606" spans="2:6" x14ac:dyDescent="0.4">
      <c r="B606" s="54" t="s">
        <v>19</v>
      </c>
      <c r="C606" s="52" t="s">
        <v>19</v>
      </c>
      <c r="D606" s="52" t="s">
        <v>19</v>
      </c>
      <c r="E606" s="53" t="s">
        <v>19</v>
      </c>
      <c r="F606" t="s">
        <v>19</v>
      </c>
    </row>
    <row r="607" spans="2:6" x14ac:dyDescent="0.4">
      <c r="B607" s="54" t="s">
        <v>19</v>
      </c>
      <c r="C607" s="52" t="s">
        <v>19</v>
      </c>
      <c r="D607" s="52" t="s">
        <v>19</v>
      </c>
      <c r="E607" s="53" t="s">
        <v>19</v>
      </c>
      <c r="F607" t="s">
        <v>19</v>
      </c>
    </row>
    <row r="608" spans="2:6" x14ac:dyDescent="0.4">
      <c r="B608" s="54" t="s">
        <v>19</v>
      </c>
      <c r="C608" s="52" t="s">
        <v>19</v>
      </c>
      <c r="D608" s="52" t="s">
        <v>19</v>
      </c>
      <c r="E608" s="53" t="s">
        <v>19</v>
      </c>
      <c r="F608" t="s">
        <v>19</v>
      </c>
    </row>
    <row r="609" spans="2:6" x14ac:dyDescent="0.4">
      <c r="B609" s="54" t="s">
        <v>19</v>
      </c>
      <c r="C609" s="52" t="s">
        <v>19</v>
      </c>
      <c r="D609" s="52" t="s">
        <v>19</v>
      </c>
      <c r="E609" s="53" t="s">
        <v>19</v>
      </c>
      <c r="F609" t="s">
        <v>19</v>
      </c>
    </row>
    <row r="610" spans="2:6" x14ac:dyDescent="0.4">
      <c r="B610" s="54" t="s">
        <v>19</v>
      </c>
      <c r="C610" s="52" t="s">
        <v>19</v>
      </c>
      <c r="D610" s="52" t="s">
        <v>19</v>
      </c>
      <c r="E610" s="53" t="s">
        <v>19</v>
      </c>
      <c r="F610" t="s">
        <v>19</v>
      </c>
    </row>
    <row r="611" spans="2:6" x14ac:dyDescent="0.4">
      <c r="B611" s="54" t="s">
        <v>19</v>
      </c>
      <c r="C611" s="52" t="s">
        <v>19</v>
      </c>
      <c r="D611" s="52" t="s">
        <v>19</v>
      </c>
      <c r="E611" s="53" t="s">
        <v>19</v>
      </c>
      <c r="F611" t="s">
        <v>19</v>
      </c>
    </row>
    <row r="612" spans="2:6" x14ac:dyDescent="0.4">
      <c r="B612" s="54" t="s">
        <v>19</v>
      </c>
      <c r="C612" s="52" t="s">
        <v>19</v>
      </c>
      <c r="D612" s="52" t="s">
        <v>19</v>
      </c>
      <c r="E612" s="53" t="s">
        <v>19</v>
      </c>
      <c r="F612" t="s">
        <v>19</v>
      </c>
    </row>
    <row r="613" spans="2:6" x14ac:dyDescent="0.4">
      <c r="B613" s="54" t="s">
        <v>19</v>
      </c>
      <c r="C613" s="52" t="s">
        <v>19</v>
      </c>
      <c r="D613" s="52" t="s">
        <v>19</v>
      </c>
      <c r="E613" s="53" t="s">
        <v>19</v>
      </c>
      <c r="F613" t="s">
        <v>19</v>
      </c>
    </row>
    <row r="614" spans="2:6" x14ac:dyDescent="0.4">
      <c r="B614" s="54" t="s">
        <v>19</v>
      </c>
      <c r="C614" s="52" t="s">
        <v>19</v>
      </c>
      <c r="D614" s="52" t="s">
        <v>19</v>
      </c>
      <c r="E614" s="53" t="s">
        <v>19</v>
      </c>
      <c r="F614" t="s">
        <v>19</v>
      </c>
    </row>
    <row r="615" spans="2:6" x14ac:dyDescent="0.4">
      <c r="B615" s="54" t="s">
        <v>19</v>
      </c>
      <c r="C615" s="52" t="s">
        <v>19</v>
      </c>
      <c r="D615" s="52" t="s">
        <v>19</v>
      </c>
      <c r="E615" s="53" t="s">
        <v>19</v>
      </c>
      <c r="F615" t="s">
        <v>19</v>
      </c>
    </row>
    <row r="616" spans="2:6" x14ac:dyDescent="0.4">
      <c r="B616" s="54" t="s">
        <v>19</v>
      </c>
      <c r="C616" s="52" t="s">
        <v>19</v>
      </c>
      <c r="D616" s="52" t="s">
        <v>19</v>
      </c>
      <c r="E616" s="53" t="s">
        <v>19</v>
      </c>
      <c r="F616" t="s">
        <v>19</v>
      </c>
    </row>
    <row r="617" spans="2:6" x14ac:dyDescent="0.4">
      <c r="B617" s="54" t="s">
        <v>19</v>
      </c>
      <c r="C617" s="52" t="s">
        <v>19</v>
      </c>
      <c r="D617" s="52" t="s">
        <v>19</v>
      </c>
      <c r="E617" s="53" t="s">
        <v>19</v>
      </c>
      <c r="F617" t="s">
        <v>19</v>
      </c>
    </row>
    <row r="618" spans="2:6" x14ac:dyDescent="0.4">
      <c r="B618" s="54" t="s">
        <v>19</v>
      </c>
      <c r="C618" s="52" t="s">
        <v>19</v>
      </c>
      <c r="D618" s="52" t="s">
        <v>19</v>
      </c>
      <c r="E618" s="53" t="s">
        <v>19</v>
      </c>
      <c r="F618" t="s">
        <v>19</v>
      </c>
    </row>
    <row r="619" spans="2:6" x14ac:dyDescent="0.4">
      <c r="B619" s="54" t="s">
        <v>19</v>
      </c>
      <c r="C619" s="52" t="s">
        <v>19</v>
      </c>
      <c r="D619" s="52" t="s">
        <v>19</v>
      </c>
      <c r="E619" s="53" t="s">
        <v>19</v>
      </c>
      <c r="F619" t="s">
        <v>19</v>
      </c>
    </row>
    <row r="620" spans="2:6" x14ac:dyDescent="0.4">
      <c r="B620" s="54" t="s">
        <v>19</v>
      </c>
      <c r="C620" s="52" t="s">
        <v>19</v>
      </c>
      <c r="D620" s="52" t="s">
        <v>19</v>
      </c>
      <c r="E620" s="53" t="s">
        <v>19</v>
      </c>
      <c r="F620" t="s">
        <v>19</v>
      </c>
    </row>
    <row r="621" spans="2:6" x14ac:dyDescent="0.4">
      <c r="B621" s="54" t="s">
        <v>19</v>
      </c>
      <c r="C621" s="52" t="s">
        <v>19</v>
      </c>
      <c r="D621" s="52" t="s">
        <v>19</v>
      </c>
      <c r="E621" s="53" t="s">
        <v>19</v>
      </c>
      <c r="F621" t="s">
        <v>19</v>
      </c>
    </row>
    <row r="622" spans="2:6" x14ac:dyDescent="0.4">
      <c r="B622" s="54" t="s">
        <v>19</v>
      </c>
      <c r="C622" s="52" t="s">
        <v>19</v>
      </c>
      <c r="D622" s="52" t="s">
        <v>19</v>
      </c>
      <c r="E622" s="53" t="s">
        <v>19</v>
      </c>
      <c r="F622" t="s">
        <v>19</v>
      </c>
    </row>
    <row r="623" spans="2:6" x14ac:dyDescent="0.4">
      <c r="B623" s="54" t="s">
        <v>19</v>
      </c>
      <c r="C623" s="52" t="s">
        <v>19</v>
      </c>
      <c r="D623" s="52" t="s">
        <v>19</v>
      </c>
      <c r="E623" s="53" t="s">
        <v>19</v>
      </c>
      <c r="F623" t="s">
        <v>19</v>
      </c>
    </row>
    <row r="624" spans="2:6" x14ac:dyDescent="0.4">
      <c r="B624" s="54" t="s">
        <v>19</v>
      </c>
      <c r="C624" s="52" t="s">
        <v>19</v>
      </c>
      <c r="D624" s="52" t="s">
        <v>19</v>
      </c>
      <c r="E624" s="53" t="s">
        <v>19</v>
      </c>
      <c r="F624" t="s">
        <v>19</v>
      </c>
    </row>
    <row r="625" spans="2:6" x14ac:dyDescent="0.4">
      <c r="B625" s="54" t="s">
        <v>19</v>
      </c>
      <c r="C625" s="52" t="s">
        <v>19</v>
      </c>
      <c r="D625" s="52" t="s">
        <v>19</v>
      </c>
      <c r="E625" s="53" t="s">
        <v>19</v>
      </c>
      <c r="F625" t="s">
        <v>19</v>
      </c>
    </row>
    <row r="626" spans="2:6" x14ac:dyDescent="0.4">
      <c r="B626" s="54" t="s">
        <v>19</v>
      </c>
      <c r="C626" s="52" t="s">
        <v>19</v>
      </c>
      <c r="D626" s="52" t="s">
        <v>19</v>
      </c>
      <c r="E626" s="53" t="s">
        <v>19</v>
      </c>
      <c r="F626" t="s">
        <v>19</v>
      </c>
    </row>
    <row r="627" spans="2:6" x14ac:dyDescent="0.4">
      <c r="B627" s="54" t="s">
        <v>19</v>
      </c>
      <c r="C627" s="52" t="s">
        <v>19</v>
      </c>
      <c r="D627" s="52" t="s">
        <v>19</v>
      </c>
      <c r="E627" s="53" t="s">
        <v>19</v>
      </c>
      <c r="F627" t="s">
        <v>19</v>
      </c>
    </row>
    <row r="628" spans="2:6" x14ac:dyDescent="0.4">
      <c r="B628" s="54" t="s">
        <v>19</v>
      </c>
      <c r="C628" s="52" t="s">
        <v>19</v>
      </c>
      <c r="D628" s="52" t="s">
        <v>19</v>
      </c>
      <c r="E628" s="53" t="s">
        <v>19</v>
      </c>
      <c r="F628" t="s">
        <v>19</v>
      </c>
    </row>
    <row r="629" spans="2:6" x14ac:dyDescent="0.4">
      <c r="B629" s="54" t="s">
        <v>19</v>
      </c>
      <c r="C629" s="52" t="s">
        <v>19</v>
      </c>
      <c r="D629" s="52" t="s">
        <v>19</v>
      </c>
      <c r="E629" s="53" t="s">
        <v>19</v>
      </c>
      <c r="F629" t="s">
        <v>19</v>
      </c>
    </row>
    <row r="630" spans="2:6" x14ac:dyDescent="0.4">
      <c r="B630" s="54" t="s">
        <v>19</v>
      </c>
      <c r="C630" s="52" t="s">
        <v>19</v>
      </c>
      <c r="D630" s="52" t="s">
        <v>19</v>
      </c>
      <c r="E630" s="53" t="s">
        <v>19</v>
      </c>
      <c r="F630" t="s">
        <v>19</v>
      </c>
    </row>
    <row r="631" spans="2:6" x14ac:dyDescent="0.4">
      <c r="B631" s="54" t="s">
        <v>19</v>
      </c>
      <c r="C631" s="52" t="s">
        <v>19</v>
      </c>
      <c r="D631" s="52" t="s">
        <v>19</v>
      </c>
      <c r="E631" s="53" t="s">
        <v>19</v>
      </c>
      <c r="F631" t="s">
        <v>19</v>
      </c>
    </row>
    <row r="632" spans="2:6" x14ac:dyDescent="0.4">
      <c r="B632" s="54" t="s">
        <v>19</v>
      </c>
      <c r="C632" s="52" t="s">
        <v>19</v>
      </c>
      <c r="D632" s="52" t="s">
        <v>19</v>
      </c>
      <c r="E632" s="53" t="s">
        <v>19</v>
      </c>
      <c r="F632" t="s">
        <v>19</v>
      </c>
    </row>
    <row r="633" spans="2:6" x14ac:dyDescent="0.4">
      <c r="B633" s="54" t="s">
        <v>19</v>
      </c>
      <c r="C633" s="52" t="s">
        <v>19</v>
      </c>
      <c r="D633" s="52" t="s">
        <v>19</v>
      </c>
      <c r="E633" s="53" t="s">
        <v>19</v>
      </c>
      <c r="F633" t="s">
        <v>19</v>
      </c>
    </row>
    <row r="634" spans="2:6" x14ac:dyDescent="0.4">
      <c r="B634" s="54" t="s">
        <v>19</v>
      </c>
      <c r="C634" s="52" t="s">
        <v>19</v>
      </c>
      <c r="D634" s="52" t="s">
        <v>19</v>
      </c>
      <c r="E634" s="53" t="s">
        <v>19</v>
      </c>
      <c r="F634" t="s">
        <v>19</v>
      </c>
    </row>
    <row r="635" spans="2:6" x14ac:dyDescent="0.4">
      <c r="B635" s="54" t="s">
        <v>19</v>
      </c>
      <c r="C635" s="52" t="s">
        <v>19</v>
      </c>
      <c r="D635" s="52" t="s">
        <v>19</v>
      </c>
      <c r="E635" s="53" t="s">
        <v>19</v>
      </c>
      <c r="F635" t="s">
        <v>19</v>
      </c>
    </row>
    <row r="636" spans="2:6" x14ac:dyDescent="0.4">
      <c r="B636" s="54" t="s">
        <v>19</v>
      </c>
      <c r="C636" s="52" t="s">
        <v>19</v>
      </c>
      <c r="D636" s="52" t="s">
        <v>19</v>
      </c>
      <c r="E636" s="53" t="s">
        <v>19</v>
      </c>
      <c r="F636" t="s">
        <v>19</v>
      </c>
    </row>
    <row r="637" spans="2:6" x14ac:dyDescent="0.4">
      <c r="B637" s="54" t="s">
        <v>19</v>
      </c>
      <c r="C637" s="52" t="s">
        <v>19</v>
      </c>
      <c r="D637" s="52" t="s">
        <v>19</v>
      </c>
      <c r="E637" s="53" t="s">
        <v>19</v>
      </c>
      <c r="F637" t="s">
        <v>19</v>
      </c>
    </row>
    <row r="638" spans="2:6" x14ac:dyDescent="0.4">
      <c r="B638" s="54" t="s">
        <v>19</v>
      </c>
      <c r="C638" s="52" t="s">
        <v>19</v>
      </c>
      <c r="D638" s="52" t="s">
        <v>19</v>
      </c>
      <c r="E638" s="53" t="s">
        <v>19</v>
      </c>
      <c r="F638" t="s">
        <v>19</v>
      </c>
    </row>
    <row r="639" spans="2:6" x14ac:dyDescent="0.4">
      <c r="B639" s="54" t="s">
        <v>19</v>
      </c>
      <c r="C639" s="52" t="s">
        <v>19</v>
      </c>
      <c r="D639" s="52" t="s">
        <v>19</v>
      </c>
      <c r="E639" s="53" t="s">
        <v>19</v>
      </c>
      <c r="F639" t="s">
        <v>19</v>
      </c>
    </row>
    <row r="640" spans="2:6" x14ac:dyDescent="0.4">
      <c r="B640" s="54" t="s">
        <v>19</v>
      </c>
      <c r="C640" s="52" t="s">
        <v>19</v>
      </c>
      <c r="D640" s="52" t="s">
        <v>19</v>
      </c>
      <c r="E640" s="53" t="s">
        <v>19</v>
      </c>
      <c r="F640" t="s">
        <v>19</v>
      </c>
    </row>
    <row r="641" spans="2:6" x14ac:dyDescent="0.4">
      <c r="B641" s="54" t="s">
        <v>19</v>
      </c>
      <c r="C641" s="52" t="s">
        <v>19</v>
      </c>
      <c r="D641" s="52" t="s">
        <v>19</v>
      </c>
      <c r="E641" s="53" t="s">
        <v>19</v>
      </c>
      <c r="F641" t="s">
        <v>19</v>
      </c>
    </row>
    <row r="642" spans="2:6" x14ac:dyDescent="0.4">
      <c r="B642" s="54" t="s">
        <v>19</v>
      </c>
      <c r="C642" s="52" t="s">
        <v>19</v>
      </c>
      <c r="D642" s="52" t="s">
        <v>19</v>
      </c>
      <c r="E642" s="53" t="s">
        <v>19</v>
      </c>
      <c r="F642" t="s">
        <v>19</v>
      </c>
    </row>
    <row r="643" spans="2:6" x14ac:dyDescent="0.4">
      <c r="B643" s="54" t="s">
        <v>19</v>
      </c>
      <c r="C643" s="52" t="s">
        <v>19</v>
      </c>
      <c r="D643" s="52" t="s">
        <v>19</v>
      </c>
      <c r="E643" s="53" t="s">
        <v>19</v>
      </c>
      <c r="F643" t="s">
        <v>19</v>
      </c>
    </row>
    <row r="644" spans="2:6" x14ac:dyDescent="0.4">
      <c r="B644" s="54" t="s">
        <v>19</v>
      </c>
      <c r="C644" s="52" t="s">
        <v>19</v>
      </c>
      <c r="D644" s="52" t="s">
        <v>19</v>
      </c>
      <c r="E644" s="53" t="s">
        <v>19</v>
      </c>
      <c r="F644" t="s">
        <v>19</v>
      </c>
    </row>
    <row r="645" spans="2:6" x14ac:dyDescent="0.4">
      <c r="B645" s="54" t="s">
        <v>19</v>
      </c>
      <c r="C645" s="52" t="s">
        <v>19</v>
      </c>
      <c r="D645" s="52" t="s">
        <v>19</v>
      </c>
      <c r="E645" s="53" t="s">
        <v>19</v>
      </c>
      <c r="F645" t="s">
        <v>19</v>
      </c>
    </row>
    <row r="646" spans="2:6" x14ac:dyDescent="0.4">
      <c r="B646" s="54" t="s">
        <v>19</v>
      </c>
      <c r="C646" s="52" t="s">
        <v>19</v>
      </c>
      <c r="D646" s="52" t="s">
        <v>19</v>
      </c>
      <c r="E646" s="53" t="s">
        <v>19</v>
      </c>
      <c r="F646" t="s">
        <v>19</v>
      </c>
    </row>
    <row r="647" spans="2:6" x14ac:dyDescent="0.4">
      <c r="B647" s="54" t="s">
        <v>19</v>
      </c>
      <c r="C647" s="52" t="s">
        <v>19</v>
      </c>
      <c r="D647" s="52" t="s">
        <v>19</v>
      </c>
      <c r="E647" s="53" t="s">
        <v>19</v>
      </c>
      <c r="F647" t="s">
        <v>19</v>
      </c>
    </row>
    <row r="648" spans="2:6" x14ac:dyDescent="0.4">
      <c r="B648" s="54" t="s">
        <v>19</v>
      </c>
      <c r="C648" s="52" t="s">
        <v>19</v>
      </c>
      <c r="D648" s="52" t="s">
        <v>19</v>
      </c>
      <c r="E648" s="53" t="s">
        <v>19</v>
      </c>
      <c r="F648" t="s">
        <v>19</v>
      </c>
    </row>
    <row r="649" spans="2:6" x14ac:dyDescent="0.4">
      <c r="B649" s="54" t="s">
        <v>19</v>
      </c>
      <c r="C649" s="52" t="s">
        <v>19</v>
      </c>
      <c r="D649" s="52" t="s">
        <v>19</v>
      </c>
      <c r="E649" s="53" t="s">
        <v>19</v>
      </c>
      <c r="F649" t="s">
        <v>19</v>
      </c>
    </row>
    <row r="650" spans="2:6" x14ac:dyDescent="0.4">
      <c r="B650" s="54" t="s">
        <v>19</v>
      </c>
      <c r="C650" s="52" t="s">
        <v>19</v>
      </c>
      <c r="D650" s="52" t="s">
        <v>19</v>
      </c>
      <c r="E650" s="53" t="s">
        <v>19</v>
      </c>
      <c r="F650" t="s">
        <v>19</v>
      </c>
    </row>
    <row r="651" spans="2:6" x14ac:dyDescent="0.4">
      <c r="B651" s="54" t="s">
        <v>19</v>
      </c>
      <c r="C651" s="52" t="s">
        <v>19</v>
      </c>
      <c r="D651" s="52" t="s">
        <v>19</v>
      </c>
      <c r="E651" s="53" t="s">
        <v>19</v>
      </c>
      <c r="F651" t="s">
        <v>19</v>
      </c>
    </row>
    <row r="652" spans="2:6" x14ac:dyDescent="0.4">
      <c r="B652" s="54" t="s">
        <v>19</v>
      </c>
      <c r="C652" s="52" t="s">
        <v>19</v>
      </c>
      <c r="D652" s="52" t="s">
        <v>19</v>
      </c>
      <c r="E652" s="53" t="s">
        <v>19</v>
      </c>
      <c r="F652" t="s">
        <v>19</v>
      </c>
    </row>
    <row r="653" spans="2:6" x14ac:dyDescent="0.4">
      <c r="B653" s="54" t="s">
        <v>19</v>
      </c>
      <c r="C653" s="52" t="s">
        <v>19</v>
      </c>
      <c r="D653" s="52" t="s">
        <v>19</v>
      </c>
      <c r="E653" s="53" t="s">
        <v>19</v>
      </c>
      <c r="F653" t="s">
        <v>19</v>
      </c>
    </row>
    <row r="654" spans="2:6" x14ac:dyDescent="0.4">
      <c r="B654" s="54" t="s">
        <v>19</v>
      </c>
      <c r="C654" s="52" t="s">
        <v>19</v>
      </c>
      <c r="D654" s="52" t="s">
        <v>19</v>
      </c>
      <c r="E654" s="53" t="s">
        <v>19</v>
      </c>
      <c r="F654" t="s">
        <v>19</v>
      </c>
    </row>
    <row r="655" spans="2:6" x14ac:dyDescent="0.4">
      <c r="B655" s="54" t="s">
        <v>19</v>
      </c>
      <c r="C655" s="52" t="s">
        <v>19</v>
      </c>
      <c r="D655" s="52" t="s">
        <v>19</v>
      </c>
      <c r="E655" s="53" t="s">
        <v>19</v>
      </c>
      <c r="F655" t="s">
        <v>19</v>
      </c>
    </row>
    <row r="656" spans="2:6" x14ac:dyDescent="0.4">
      <c r="B656" s="54" t="s">
        <v>19</v>
      </c>
      <c r="C656" s="52" t="s">
        <v>19</v>
      </c>
      <c r="D656" s="52" t="s">
        <v>19</v>
      </c>
      <c r="E656" s="53" t="s">
        <v>19</v>
      </c>
      <c r="F656" t="s">
        <v>19</v>
      </c>
    </row>
    <row r="657" spans="2:6" x14ac:dyDescent="0.4">
      <c r="B657" s="54" t="s">
        <v>19</v>
      </c>
      <c r="C657" s="52" t="s">
        <v>19</v>
      </c>
      <c r="D657" s="52" t="s">
        <v>19</v>
      </c>
      <c r="E657" s="53" t="s">
        <v>19</v>
      </c>
      <c r="F657" t="s">
        <v>19</v>
      </c>
    </row>
    <row r="658" spans="2:6" x14ac:dyDescent="0.4">
      <c r="B658" s="54" t="s">
        <v>19</v>
      </c>
      <c r="C658" s="52" t="s">
        <v>19</v>
      </c>
      <c r="D658" s="52" t="s">
        <v>19</v>
      </c>
      <c r="E658" s="53" t="s">
        <v>19</v>
      </c>
      <c r="F658" t="s">
        <v>19</v>
      </c>
    </row>
    <row r="659" spans="2:6" x14ac:dyDescent="0.4">
      <c r="B659" s="54" t="s">
        <v>19</v>
      </c>
      <c r="C659" s="52" t="s">
        <v>19</v>
      </c>
      <c r="D659" s="52" t="s">
        <v>19</v>
      </c>
      <c r="E659" s="53" t="s">
        <v>19</v>
      </c>
      <c r="F659" t="s">
        <v>19</v>
      </c>
    </row>
    <row r="660" spans="2:6" x14ac:dyDescent="0.4">
      <c r="B660" s="54" t="s">
        <v>19</v>
      </c>
      <c r="C660" s="52" t="s">
        <v>19</v>
      </c>
      <c r="D660" s="52" t="s">
        <v>19</v>
      </c>
      <c r="E660" s="53" t="s">
        <v>19</v>
      </c>
      <c r="F660" t="s">
        <v>19</v>
      </c>
    </row>
    <row r="661" spans="2:6" x14ac:dyDescent="0.4">
      <c r="B661" s="54" t="s">
        <v>19</v>
      </c>
      <c r="C661" s="52" t="s">
        <v>19</v>
      </c>
      <c r="D661" s="52" t="s">
        <v>19</v>
      </c>
      <c r="E661" s="53" t="s">
        <v>19</v>
      </c>
      <c r="F661" t="s">
        <v>19</v>
      </c>
    </row>
    <row r="662" spans="2:6" x14ac:dyDescent="0.4">
      <c r="B662" s="54" t="s">
        <v>19</v>
      </c>
      <c r="C662" s="52" t="s">
        <v>19</v>
      </c>
      <c r="D662" s="52" t="s">
        <v>19</v>
      </c>
      <c r="E662" s="53" t="s">
        <v>19</v>
      </c>
      <c r="F662" t="s">
        <v>19</v>
      </c>
    </row>
    <row r="663" spans="2:6" x14ac:dyDescent="0.4">
      <c r="B663" s="54" t="s">
        <v>19</v>
      </c>
      <c r="C663" s="52" t="s">
        <v>19</v>
      </c>
      <c r="D663" s="52" t="s">
        <v>19</v>
      </c>
      <c r="E663" s="53" t="s">
        <v>19</v>
      </c>
      <c r="F663" t="s">
        <v>19</v>
      </c>
    </row>
    <row r="664" spans="2:6" x14ac:dyDescent="0.4">
      <c r="B664" s="54" t="s">
        <v>19</v>
      </c>
      <c r="C664" s="52" t="s">
        <v>19</v>
      </c>
      <c r="D664" s="52" t="s">
        <v>19</v>
      </c>
      <c r="E664" s="53" t="s">
        <v>19</v>
      </c>
      <c r="F664" t="s">
        <v>19</v>
      </c>
    </row>
    <row r="665" spans="2:6" x14ac:dyDescent="0.4">
      <c r="B665" s="54" t="s">
        <v>19</v>
      </c>
      <c r="C665" s="52" t="s">
        <v>19</v>
      </c>
      <c r="D665" s="52" t="s">
        <v>19</v>
      </c>
      <c r="E665" s="53" t="s">
        <v>19</v>
      </c>
      <c r="F665" t="s">
        <v>19</v>
      </c>
    </row>
    <row r="666" spans="2:6" x14ac:dyDescent="0.4">
      <c r="B666" s="54" t="s">
        <v>19</v>
      </c>
      <c r="C666" s="52" t="s">
        <v>19</v>
      </c>
      <c r="D666" s="52" t="s">
        <v>19</v>
      </c>
      <c r="E666" s="53" t="s">
        <v>19</v>
      </c>
      <c r="F666" t="s">
        <v>19</v>
      </c>
    </row>
    <row r="667" spans="2:6" x14ac:dyDescent="0.4">
      <c r="B667" s="54" t="s">
        <v>19</v>
      </c>
      <c r="C667" s="52" t="s">
        <v>19</v>
      </c>
      <c r="D667" s="52" t="s">
        <v>19</v>
      </c>
      <c r="E667" s="53" t="s">
        <v>19</v>
      </c>
      <c r="F667" t="s">
        <v>19</v>
      </c>
    </row>
    <row r="668" spans="2:6" x14ac:dyDescent="0.4">
      <c r="B668" s="54" t="s">
        <v>19</v>
      </c>
      <c r="C668" s="52" t="s">
        <v>19</v>
      </c>
      <c r="D668" s="52" t="s">
        <v>19</v>
      </c>
      <c r="E668" s="53" t="s">
        <v>19</v>
      </c>
      <c r="F668" t="s">
        <v>19</v>
      </c>
    </row>
    <row r="669" spans="2:6" x14ac:dyDescent="0.4">
      <c r="B669" s="54" t="s">
        <v>19</v>
      </c>
      <c r="C669" s="52" t="s">
        <v>19</v>
      </c>
      <c r="D669" s="52" t="s">
        <v>19</v>
      </c>
      <c r="E669" s="53" t="s">
        <v>19</v>
      </c>
      <c r="F669" t="s">
        <v>19</v>
      </c>
    </row>
    <row r="670" spans="2:6" x14ac:dyDescent="0.4">
      <c r="B670" s="54" t="s">
        <v>19</v>
      </c>
      <c r="C670" s="52" t="s">
        <v>19</v>
      </c>
      <c r="D670" s="52" t="s">
        <v>19</v>
      </c>
      <c r="E670" s="53" t="s">
        <v>19</v>
      </c>
      <c r="F670" t="s">
        <v>19</v>
      </c>
    </row>
    <row r="671" spans="2:6" x14ac:dyDescent="0.4">
      <c r="B671" s="54" t="s">
        <v>19</v>
      </c>
      <c r="C671" s="52" t="s">
        <v>19</v>
      </c>
      <c r="D671" s="52" t="s">
        <v>19</v>
      </c>
      <c r="E671" s="53" t="s">
        <v>19</v>
      </c>
      <c r="F671" t="s">
        <v>19</v>
      </c>
    </row>
    <row r="672" spans="2:6" x14ac:dyDescent="0.4">
      <c r="B672" s="54" t="s">
        <v>19</v>
      </c>
      <c r="C672" s="52" t="s">
        <v>19</v>
      </c>
      <c r="D672" s="52" t="s">
        <v>19</v>
      </c>
      <c r="E672" s="53" t="s">
        <v>19</v>
      </c>
      <c r="F672" t="s">
        <v>19</v>
      </c>
    </row>
    <row r="673" spans="2:6" x14ac:dyDescent="0.4">
      <c r="B673" s="54" t="s">
        <v>19</v>
      </c>
      <c r="C673" s="52" t="s">
        <v>19</v>
      </c>
      <c r="D673" s="52" t="s">
        <v>19</v>
      </c>
      <c r="E673" s="53" t="s">
        <v>19</v>
      </c>
      <c r="F673" t="s">
        <v>19</v>
      </c>
    </row>
    <row r="674" spans="2:6" x14ac:dyDescent="0.4">
      <c r="B674" s="54" t="s">
        <v>19</v>
      </c>
      <c r="C674" s="52" t="s">
        <v>19</v>
      </c>
      <c r="D674" s="52" t="s">
        <v>19</v>
      </c>
      <c r="E674" s="53" t="s">
        <v>19</v>
      </c>
      <c r="F674" t="s">
        <v>19</v>
      </c>
    </row>
    <row r="675" spans="2:6" x14ac:dyDescent="0.4">
      <c r="B675" s="54" t="s">
        <v>19</v>
      </c>
      <c r="C675" s="52" t="s">
        <v>19</v>
      </c>
      <c r="D675" s="52" t="s">
        <v>19</v>
      </c>
      <c r="E675" s="53" t="s">
        <v>19</v>
      </c>
      <c r="F675" t="s">
        <v>19</v>
      </c>
    </row>
    <row r="676" spans="2:6" x14ac:dyDescent="0.4">
      <c r="B676" s="54" t="s">
        <v>19</v>
      </c>
      <c r="C676" s="52" t="s">
        <v>19</v>
      </c>
      <c r="D676" s="52" t="s">
        <v>19</v>
      </c>
      <c r="E676" s="53" t="s">
        <v>19</v>
      </c>
      <c r="F676" t="s">
        <v>19</v>
      </c>
    </row>
    <row r="677" spans="2:6" x14ac:dyDescent="0.4">
      <c r="B677" s="54" t="s">
        <v>19</v>
      </c>
      <c r="C677" s="52" t="s">
        <v>19</v>
      </c>
      <c r="D677" s="52" t="s">
        <v>19</v>
      </c>
      <c r="E677" s="53" t="s">
        <v>19</v>
      </c>
      <c r="F677" t="s">
        <v>19</v>
      </c>
    </row>
    <row r="678" spans="2:6" x14ac:dyDescent="0.4">
      <c r="B678" s="54" t="s">
        <v>19</v>
      </c>
      <c r="C678" s="52" t="s">
        <v>19</v>
      </c>
      <c r="D678" s="52" t="s">
        <v>19</v>
      </c>
      <c r="E678" s="53" t="s">
        <v>19</v>
      </c>
      <c r="F678" t="s">
        <v>19</v>
      </c>
    </row>
    <row r="679" spans="2:6" x14ac:dyDescent="0.4">
      <c r="B679" s="54" t="s">
        <v>19</v>
      </c>
      <c r="C679" s="52" t="s">
        <v>19</v>
      </c>
      <c r="D679" s="52" t="s">
        <v>19</v>
      </c>
      <c r="E679" s="53" t="s">
        <v>19</v>
      </c>
      <c r="F679" t="s">
        <v>19</v>
      </c>
    </row>
    <row r="680" spans="2:6" x14ac:dyDescent="0.4">
      <c r="B680" s="54" t="s">
        <v>19</v>
      </c>
      <c r="C680" s="52" t="s">
        <v>19</v>
      </c>
      <c r="D680" s="52" t="s">
        <v>19</v>
      </c>
      <c r="E680" s="53" t="s">
        <v>19</v>
      </c>
      <c r="F680" t="s">
        <v>19</v>
      </c>
    </row>
    <row r="681" spans="2:6" x14ac:dyDescent="0.4">
      <c r="B681" s="54" t="s">
        <v>19</v>
      </c>
      <c r="C681" s="52" t="s">
        <v>19</v>
      </c>
      <c r="D681" s="52" t="s">
        <v>19</v>
      </c>
      <c r="E681" s="53" t="s">
        <v>19</v>
      </c>
      <c r="F681" t="s">
        <v>19</v>
      </c>
    </row>
    <row r="682" spans="2:6" x14ac:dyDescent="0.4">
      <c r="B682" s="54" t="s">
        <v>19</v>
      </c>
      <c r="C682" s="52" t="s">
        <v>19</v>
      </c>
      <c r="D682" s="52" t="s">
        <v>19</v>
      </c>
      <c r="E682" s="53" t="s">
        <v>19</v>
      </c>
      <c r="F682" t="s">
        <v>19</v>
      </c>
    </row>
    <row r="683" spans="2:6" x14ac:dyDescent="0.4">
      <c r="B683" s="54" t="s">
        <v>19</v>
      </c>
      <c r="C683" s="52" t="s">
        <v>19</v>
      </c>
      <c r="D683" s="52" t="s">
        <v>19</v>
      </c>
      <c r="E683" s="53" t="s">
        <v>19</v>
      </c>
      <c r="F683" t="s">
        <v>19</v>
      </c>
    </row>
    <row r="684" spans="2:6" x14ac:dyDescent="0.4">
      <c r="B684" s="54" t="s">
        <v>19</v>
      </c>
      <c r="C684" s="52" t="s">
        <v>19</v>
      </c>
      <c r="D684" s="52" t="s">
        <v>19</v>
      </c>
      <c r="E684" s="53" t="s">
        <v>19</v>
      </c>
      <c r="F684" t="s">
        <v>19</v>
      </c>
    </row>
    <row r="685" spans="2:6" x14ac:dyDescent="0.4">
      <c r="B685" s="54" t="s">
        <v>19</v>
      </c>
      <c r="C685" s="52" t="s">
        <v>19</v>
      </c>
      <c r="D685" s="52" t="s">
        <v>19</v>
      </c>
      <c r="E685" s="53" t="s">
        <v>19</v>
      </c>
      <c r="F685" t="s">
        <v>19</v>
      </c>
    </row>
    <row r="686" spans="2:6" x14ac:dyDescent="0.4">
      <c r="B686" s="54" t="s">
        <v>19</v>
      </c>
      <c r="C686" s="52" t="s">
        <v>19</v>
      </c>
      <c r="D686" s="52" t="s">
        <v>19</v>
      </c>
      <c r="E686" s="53" t="s">
        <v>19</v>
      </c>
      <c r="F686" t="s">
        <v>19</v>
      </c>
    </row>
    <row r="687" spans="2:6" x14ac:dyDescent="0.4">
      <c r="B687" s="54" t="s">
        <v>19</v>
      </c>
      <c r="C687" s="52" t="s">
        <v>19</v>
      </c>
      <c r="D687" s="52" t="s">
        <v>19</v>
      </c>
      <c r="E687" s="53" t="s">
        <v>19</v>
      </c>
      <c r="F687" t="s">
        <v>19</v>
      </c>
    </row>
    <row r="688" spans="2:6" x14ac:dyDescent="0.4">
      <c r="B688" s="54" t="s">
        <v>19</v>
      </c>
      <c r="C688" s="52" t="s">
        <v>19</v>
      </c>
      <c r="D688" s="52" t="s">
        <v>19</v>
      </c>
      <c r="E688" s="53" t="s">
        <v>19</v>
      </c>
      <c r="F688" t="s">
        <v>19</v>
      </c>
    </row>
    <row r="689" spans="2:6" x14ac:dyDescent="0.4">
      <c r="B689" s="54" t="s">
        <v>19</v>
      </c>
      <c r="C689" s="52" t="s">
        <v>19</v>
      </c>
      <c r="D689" s="52" t="s">
        <v>19</v>
      </c>
      <c r="E689" s="53" t="s">
        <v>19</v>
      </c>
      <c r="F689" t="s">
        <v>19</v>
      </c>
    </row>
    <row r="690" spans="2:6" x14ac:dyDescent="0.4">
      <c r="B690" s="54" t="s">
        <v>19</v>
      </c>
      <c r="C690" s="52" t="s">
        <v>19</v>
      </c>
      <c r="D690" s="52" t="s">
        <v>19</v>
      </c>
      <c r="E690" s="53" t="s">
        <v>19</v>
      </c>
      <c r="F690" t="s">
        <v>19</v>
      </c>
    </row>
    <row r="691" spans="2:6" x14ac:dyDescent="0.4">
      <c r="B691" s="54" t="s">
        <v>19</v>
      </c>
      <c r="C691" s="52" t="s">
        <v>19</v>
      </c>
      <c r="D691" s="52" t="s">
        <v>19</v>
      </c>
      <c r="E691" s="53" t="s">
        <v>19</v>
      </c>
      <c r="F691" t="s">
        <v>19</v>
      </c>
    </row>
    <row r="692" spans="2:6" x14ac:dyDescent="0.4">
      <c r="B692" s="54" t="s">
        <v>19</v>
      </c>
      <c r="C692" s="52" t="s">
        <v>19</v>
      </c>
      <c r="D692" s="52" t="s">
        <v>19</v>
      </c>
      <c r="E692" s="53" t="s">
        <v>19</v>
      </c>
      <c r="F692" t="s">
        <v>19</v>
      </c>
    </row>
    <row r="693" spans="2:6" x14ac:dyDescent="0.4">
      <c r="B693" s="54" t="s">
        <v>19</v>
      </c>
      <c r="C693" s="52" t="s">
        <v>19</v>
      </c>
      <c r="D693" s="52" t="s">
        <v>19</v>
      </c>
      <c r="E693" s="53" t="s">
        <v>19</v>
      </c>
      <c r="F693" t="s">
        <v>19</v>
      </c>
    </row>
    <row r="694" spans="2:6" x14ac:dyDescent="0.4">
      <c r="B694" s="54" t="s">
        <v>19</v>
      </c>
      <c r="C694" s="52" t="s">
        <v>19</v>
      </c>
      <c r="D694" s="52" t="s">
        <v>19</v>
      </c>
      <c r="E694" s="53" t="s">
        <v>19</v>
      </c>
      <c r="F694" t="s">
        <v>19</v>
      </c>
    </row>
    <row r="695" spans="2:6" x14ac:dyDescent="0.4">
      <c r="B695" s="54" t="s">
        <v>19</v>
      </c>
      <c r="C695" s="52" t="s">
        <v>19</v>
      </c>
      <c r="D695" s="52" t="s">
        <v>19</v>
      </c>
      <c r="E695" s="53" t="s">
        <v>19</v>
      </c>
      <c r="F695" t="s">
        <v>19</v>
      </c>
    </row>
    <row r="696" spans="2:6" x14ac:dyDescent="0.4">
      <c r="B696" s="54" t="s">
        <v>19</v>
      </c>
      <c r="C696" s="52" t="s">
        <v>19</v>
      </c>
      <c r="D696" s="52" t="s">
        <v>19</v>
      </c>
      <c r="E696" s="53" t="s">
        <v>19</v>
      </c>
      <c r="F696" t="s">
        <v>19</v>
      </c>
    </row>
    <row r="697" spans="2:6" x14ac:dyDescent="0.4">
      <c r="B697" s="54" t="s">
        <v>19</v>
      </c>
      <c r="C697" s="52" t="s">
        <v>19</v>
      </c>
      <c r="D697" s="52" t="s">
        <v>19</v>
      </c>
      <c r="E697" s="53" t="s">
        <v>19</v>
      </c>
      <c r="F697" t="s">
        <v>19</v>
      </c>
    </row>
    <row r="698" spans="2:6" x14ac:dyDescent="0.4">
      <c r="B698" s="54" t="s">
        <v>19</v>
      </c>
      <c r="C698" s="52" t="s">
        <v>19</v>
      </c>
      <c r="D698" s="52" t="s">
        <v>19</v>
      </c>
      <c r="E698" s="53" t="s">
        <v>19</v>
      </c>
      <c r="F698" t="s">
        <v>19</v>
      </c>
    </row>
    <row r="699" spans="2:6" x14ac:dyDescent="0.4">
      <c r="B699" s="54" t="s">
        <v>19</v>
      </c>
      <c r="C699" s="52" t="s">
        <v>19</v>
      </c>
      <c r="D699" s="52" t="s">
        <v>19</v>
      </c>
      <c r="E699" s="53" t="s">
        <v>19</v>
      </c>
      <c r="F699" t="s">
        <v>19</v>
      </c>
    </row>
    <row r="700" spans="2:6" x14ac:dyDescent="0.4">
      <c r="B700" s="54" t="s">
        <v>19</v>
      </c>
      <c r="C700" s="52" t="s">
        <v>19</v>
      </c>
      <c r="D700" s="52" t="s">
        <v>19</v>
      </c>
      <c r="E700" s="53" t="s">
        <v>19</v>
      </c>
      <c r="F700" t="s">
        <v>19</v>
      </c>
    </row>
    <row r="701" spans="2:6" x14ac:dyDescent="0.4">
      <c r="B701" s="54" t="s">
        <v>19</v>
      </c>
      <c r="C701" s="52" t="s">
        <v>19</v>
      </c>
      <c r="D701" s="52" t="s">
        <v>19</v>
      </c>
      <c r="E701" s="53" t="s">
        <v>19</v>
      </c>
      <c r="F701" t="s">
        <v>19</v>
      </c>
    </row>
    <row r="702" spans="2:6" x14ac:dyDescent="0.4">
      <c r="B702" s="54" t="s">
        <v>19</v>
      </c>
      <c r="C702" s="52" t="s">
        <v>19</v>
      </c>
      <c r="D702" s="52" t="s">
        <v>19</v>
      </c>
      <c r="E702" s="53" t="s">
        <v>19</v>
      </c>
      <c r="F702" t="s">
        <v>19</v>
      </c>
    </row>
    <row r="703" spans="2:6" x14ac:dyDescent="0.4">
      <c r="B703" s="54" t="s">
        <v>19</v>
      </c>
      <c r="C703" s="52" t="s">
        <v>19</v>
      </c>
      <c r="D703" s="52" t="s">
        <v>19</v>
      </c>
      <c r="E703" s="53" t="s">
        <v>19</v>
      </c>
      <c r="F703" t="s">
        <v>19</v>
      </c>
    </row>
    <row r="704" spans="2:6" x14ac:dyDescent="0.4">
      <c r="B704" s="54" t="s">
        <v>19</v>
      </c>
      <c r="C704" s="52" t="s">
        <v>19</v>
      </c>
      <c r="D704" s="52" t="s">
        <v>19</v>
      </c>
      <c r="E704" s="53" t="s">
        <v>19</v>
      </c>
      <c r="F704" t="s">
        <v>19</v>
      </c>
    </row>
    <row r="705" spans="2:6" x14ac:dyDescent="0.4">
      <c r="B705" s="54" t="s">
        <v>19</v>
      </c>
      <c r="C705" s="52" t="s">
        <v>19</v>
      </c>
      <c r="D705" s="52" t="s">
        <v>19</v>
      </c>
      <c r="E705" s="53" t="s">
        <v>19</v>
      </c>
      <c r="F705" t="s">
        <v>19</v>
      </c>
    </row>
    <row r="706" spans="2:6" x14ac:dyDescent="0.4">
      <c r="B706" s="54" t="s">
        <v>19</v>
      </c>
      <c r="C706" s="52" t="s">
        <v>19</v>
      </c>
      <c r="D706" s="52" t="s">
        <v>19</v>
      </c>
      <c r="E706" s="53" t="s">
        <v>19</v>
      </c>
      <c r="F706" t="s">
        <v>19</v>
      </c>
    </row>
    <row r="707" spans="2:6" x14ac:dyDescent="0.4">
      <c r="B707" s="54" t="s">
        <v>19</v>
      </c>
      <c r="C707" s="52" t="s">
        <v>19</v>
      </c>
      <c r="D707" s="52" t="s">
        <v>19</v>
      </c>
      <c r="E707" s="53" t="s">
        <v>19</v>
      </c>
      <c r="F707" t="s">
        <v>19</v>
      </c>
    </row>
    <row r="708" spans="2:6" x14ac:dyDescent="0.4">
      <c r="B708" s="54" t="s">
        <v>19</v>
      </c>
      <c r="C708" s="52" t="s">
        <v>19</v>
      </c>
      <c r="D708" s="52" t="s">
        <v>19</v>
      </c>
      <c r="E708" s="53" t="s">
        <v>19</v>
      </c>
      <c r="F708" t="s">
        <v>19</v>
      </c>
    </row>
    <row r="709" spans="2:6" x14ac:dyDescent="0.4">
      <c r="B709" s="54" t="s">
        <v>19</v>
      </c>
      <c r="C709" s="52" t="s">
        <v>19</v>
      </c>
      <c r="D709" s="52" t="s">
        <v>19</v>
      </c>
      <c r="E709" s="53" t="s">
        <v>19</v>
      </c>
      <c r="F709" t="s">
        <v>19</v>
      </c>
    </row>
    <row r="710" spans="2:6" x14ac:dyDescent="0.4">
      <c r="B710" s="54" t="s">
        <v>19</v>
      </c>
      <c r="C710" s="52" t="s">
        <v>19</v>
      </c>
      <c r="D710" s="52" t="s">
        <v>19</v>
      </c>
      <c r="E710" s="53" t="s">
        <v>19</v>
      </c>
      <c r="F710" t="s">
        <v>19</v>
      </c>
    </row>
    <row r="711" spans="2:6" x14ac:dyDescent="0.4">
      <c r="B711" s="54" t="s">
        <v>19</v>
      </c>
      <c r="C711" s="52" t="s">
        <v>19</v>
      </c>
      <c r="D711" s="52" t="s">
        <v>19</v>
      </c>
      <c r="E711" s="53" t="s">
        <v>19</v>
      </c>
      <c r="F711" t="s">
        <v>19</v>
      </c>
    </row>
    <row r="712" spans="2:6" x14ac:dyDescent="0.4">
      <c r="B712" s="54" t="s">
        <v>19</v>
      </c>
      <c r="C712" s="52" t="s">
        <v>19</v>
      </c>
      <c r="D712" s="52" t="s">
        <v>19</v>
      </c>
      <c r="E712" s="53" t="s">
        <v>19</v>
      </c>
      <c r="F712" t="s">
        <v>19</v>
      </c>
    </row>
    <row r="713" spans="2:6" x14ac:dyDescent="0.4">
      <c r="B713" s="54" t="s">
        <v>19</v>
      </c>
      <c r="C713" s="52" t="s">
        <v>19</v>
      </c>
      <c r="D713" s="52" t="s">
        <v>19</v>
      </c>
      <c r="E713" s="53" t="s">
        <v>19</v>
      </c>
      <c r="F713" t="s">
        <v>19</v>
      </c>
    </row>
    <row r="714" spans="2:6" x14ac:dyDescent="0.4">
      <c r="B714" s="54" t="s">
        <v>19</v>
      </c>
      <c r="C714" s="52" t="s">
        <v>19</v>
      </c>
      <c r="D714" s="52" t="s">
        <v>19</v>
      </c>
      <c r="E714" s="53" t="s">
        <v>19</v>
      </c>
      <c r="F714" t="s">
        <v>19</v>
      </c>
    </row>
    <row r="715" spans="2:6" x14ac:dyDescent="0.4">
      <c r="B715" s="54" t="s">
        <v>19</v>
      </c>
      <c r="C715" s="52" t="s">
        <v>19</v>
      </c>
      <c r="D715" s="52" t="s">
        <v>19</v>
      </c>
      <c r="E715" s="53" t="s">
        <v>19</v>
      </c>
      <c r="F715" t="s">
        <v>19</v>
      </c>
    </row>
    <row r="716" spans="2:6" x14ac:dyDescent="0.4">
      <c r="B716" s="54" t="s">
        <v>19</v>
      </c>
      <c r="C716" s="52" t="s">
        <v>19</v>
      </c>
      <c r="D716" s="52" t="s">
        <v>19</v>
      </c>
      <c r="E716" s="53" t="s">
        <v>19</v>
      </c>
      <c r="F716" t="s">
        <v>19</v>
      </c>
    </row>
    <row r="717" spans="2:6" x14ac:dyDescent="0.4">
      <c r="B717" s="54" t="s">
        <v>19</v>
      </c>
      <c r="C717" s="52" t="s">
        <v>19</v>
      </c>
      <c r="D717" s="52" t="s">
        <v>19</v>
      </c>
      <c r="E717" s="53" t="s">
        <v>19</v>
      </c>
      <c r="F717" t="s">
        <v>19</v>
      </c>
    </row>
    <row r="718" spans="2:6" x14ac:dyDescent="0.4">
      <c r="B718" s="54" t="s">
        <v>19</v>
      </c>
      <c r="C718" s="52" t="s">
        <v>19</v>
      </c>
      <c r="D718" s="52" t="s">
        <v>19</v>
      </c>
      <c r="E718" s="53" t="s">
        <v>19</v>
      </c>
      <c r="F718" t="s">
        <v>19</v>
      </c>
    </row>
    <row r="719" spans="2:6" x14ac:dyDescent="0.4">
      <c r="B719" s="54" t="s">
        <v>19</v>
      </c>
      <c r="C719" s="52" t="s">
        <v>19</v>
      </c>
      <c r="D719" s="52" t="s">
        <v>19</v>
      </c>
      <c r="E719" s="53" t="s">
        <v>19</v>
      </c>
      <c r="F719" t="s">
        <v>19</v>
      </c>
    </row>
    <row r="720" spans="2:6" x14ac:dyDescent="0.4">
      <c r="B720" s="54" t="s">
        <v>19</v>
      </c>
      <c r="C720" s="52" t="s">
        <v>19</v>
      </c>
      <c r="D720" s="52" t="s">
        <v>19</v>
      </c>
      <c r="E720" s="53" t="s">
        <v>19</v>
      </c>
      <c r="F720" t="s">
        <v>19</v>
      </c>
    </row>
    <row r="721" spans="2:6" x14ac:dyDescent="0.4">
      <c r="B721" s="54" t="s">
        <v>19</v>
      </c>
      <c r="C721" s="52" t="s">
        <v>19</v>
      </c>
      <c r="D721" s="52" t="s">
        <v>19</v>
      </c>
      <c r="E721" s="53" t="s">
        <v>19</v>
      </c>
      <c r="F721" t="s">
        <v>19</v>
      </c>
    </row>
    <row r="722" spans="2:6" x14ac:dyDescent="0.4">
      <c r="B722" s="54" t="s">
        <v>19</v>
      </c>
      <c r="C722" s="52" t="s">
        <v>19</v>
      </c>
      <c r="D722" s="52" t="s">
        <v>19</v>
      </c>
      <c r="E722" s="53" t="s">
        <v>19</v>
      </c>
      <c r="F722" t="s">
        <v>19</v>
      </c>
    </row>
    <row r="723" spans="2:6" x14ac:dyDescent="0.4">
      <c r="B723" s="54" t="s">
        <v>19</v>
      </c>
      <c r="C723" s="52" t="s">
        <v>19</v>
      </c>
      <c r="D723" s="52" t="s">
        <v>19</v>
      </c>
      <c r="E723" s="53" t="s">
        <v>19</v>
      </c>
      <c r="F723" t="s">
        <v>19</v>
      </c>
    </row>
    <row r="724" spans="2:6" x14ac:dyDescent="0.4">
      <c r="B724" s="54" t="s">
        <v>19</v>
      </c>
      <c r="C724" s="52" t="s">
        <v>19</v>
      </c>
      <c r="D724" s="52" t="s">
        <v>19</v>
      </c>
      <c r="E724" s="53" t="s">
        <v>19</v>
      </c>
      <c r="F724" t="s">
        <v>19</v>
      </c>
    </row>
    <row r="725" spans="2:6" x14ac:dyDescent="0.4">
      <c r="B725" s="54" t="s">
        <v>19</v>
      </c>
      <c r="C725" s="52" t="s">
        <v>19</v>
      </c>
      <c r="D725" s="52" t="s">
        <v>19</v>
      </c>
      <c r="E725" s="53" t="s">
        <v>19</v>
      </c>
      <c r="F725" t="s">
        <v>19</v>
      </c>
    </row>
    <row r="726" spans="2:6" x14ac:dyDescent="0.4">
      <c r="B726" s="54" t="s">
        <v>19</v>
      </c>
      <c r="C726" s="52" t="s">
        <v>19</v>
      </c>
      <c r="D726" s="52" t="s">
        <v>19</v>
      </c>
      <c r="E726" s="53" t="s">
        <v>19</v>
      </c>
      <c r="F726" t="s">
        <v>19</v>
      </c>
    </row>
    <row r="727" spans="2:6" x14ac:dyDescent="0.4">
      <c r="B727" s="54" t="s">
        <v>19</v>
      </c>
      <c r="C727" s="52" t="s">
        <v>19</v>
      </c>
      <c r="D727" s="52" t="s">
        <v>19</v>
      </c>
      <c r="E727" s="53" t="s">
        <v>19</v>
      </c>
      <c r="F727" t="s">
        <v>19</v>
      </c>
    </row>
    <row r="728" spans="2:6" x14ac:dyDescent="0.4">
      <c r="B728" s="54" t="s">
        <v>19</v>
      </c>
      <c r="C728" s="52" t="s">
        <v>19</v>
      </c>
      <c r="D728" s="52" t="s">
        <v>19</v>
      </c>
      <c r="E728" s="53" t="s">
        <v>19</v>
      </c>
      <c r="F728" t="s">
        <v>19</v>
      </c>
    </row>
    <row r="729" spans="2:6" x14ac:dyDescent="0.4">
      <c r="B729" s="54" t="s">
        <v>19</v>
      </c>
      <c r="C729" s="52" t="s">
        <v>19</v>
      </c>
      <c r="D729" s="52" t="s">
        <v>19</v>
      </c>
      <c r="E729" s="53" t="s">
        <v>19</v>
      </c>
      <c r="F729" t="s">
        <v>19</v>
      </c>
    </row>
    <row r="730" spans="2:6" x14ac:dyDescent="0.4">
      <c r="B730" s="54" t="s">
        <v>19</v>
      </c>
      <c r="C730" s="52" t="s">
        <v>19</v>
      </c>
      <c r="D730" s="52" t="s">
        <v>19</v>
      </c>
      <c r="E730" s="53" t="s">
        <v>19</v>
      </c>
      <c r="F730" t="s">
        <v>19</v>
      </c>
    </row>
    <row r="731" spans="2:6" x14ac:dyDescent="0.4">
      <c r="B731" s="54" t="s">
        <v>19</v>
      </c>
      <c r="C731" s="52" t="s">
        <v>19</v>
      </c>
      <c r="D731" s="52" t="s">
        <v>19</v>
      </c>
      <c r="E731" s="53" t="s">
        <v>19</v>
      </c>
      <c r="F731" t="s">
        <v>19</v>
      </c>
    </row>
    <row r="732" spans="2:6" x14ac:dyDescent="0.4">
      <c r="B732" s="54" t="s">
        <v>19</v>
      </c>
      <c r="C732" s="52" t="s">
        <v>19</v>
      </c>
      <c r="D732" s="52" t="s">
        <v>19</v>
      </c>
      <c r="E732" s="53" t="s">
        <v>19</v>
      </c>
      <c r="F732" t="s">
        <v>19</v>
      </c>
    </row>
    <row r="733" spans="2:6" x14ac:dyDescent="0.4">
      <c r="B733" s="54" t="s">
        <v>19</v>
      </c>
      <c r="C733" s="52" t="s">
        <v>19</v>
      </c>
      <c r="D733" s="52" t="s">
        <v>19</v>
      </c>
      <c r="E733" s="53" t="s">
        <v>19</v>
      </c>
      <c r="F733" t="s">
        <v>19</v>
      </c>
    </row>
    <row r="734" spans="2:6" x14ac:dyDescent="0.4">
      <c r="B734" s="54" t="s">
        <v>19</v>
      </c>
      <c r="C734" s="52" t="s">
        <v>19</v>
      </c>
      <c r="D734" s="52" t="s">
        <v>19</v>
      </c>
      <c r="E734" s="53" t="s">
        <v>19</v>
      </c>
      <c r="F734" t="s">
        <v>19</v>
      </c>
    </row>
    <row r="735" spans="2:6" x14ac:dyDescent="0.4">
      <c r="B735" s="54" t="s">
        <v>19</v>
      </c>
      <c r="C735" s="52" t="s">
        <v>19</v>
      </c>
      <c r="D735" s="52" t="s">
        <v>19</v>
      </c>
      <c r="E735" s="53" t="s">
        <v>19</v>
      </c>
      <c r="F735" t="s">
        <v>19</v>
      </c>
    </row>
    <row r="736" spans="2:6" x14ac:dyDescent="0.4">
      <c r="B736" s="54" t="s">
        <v>19</v>
      </c>
      <c r="C736" s="52" t="s">
        <v>19</v>
      </c>
      <c r="D736" s="52" t="s">
        <v>19</v>
      </c>
      <c r="E736" s="53" t="s">
        <v>19</v>
      </c>
      <c r="F736" t="s">
        <v>19</v>
      </c>
    </row>
    <row r="737" spans="2:6" x14ac:dyDescent="0.4">
      <c r="B737" s="54" t="s">
        <v>19</v>
      </c>
      <c r="C737" s="52" t="s">
        <v>19</v>
      </c>
      <c r="D737" s="52" t="s">
        <v>19</v>
      </c>
      <c r="E737" s="53" t="s">
        <v>19</v>
      </c>
      <c r="F737" t="s">
        <v>19</v>
      </c>
    </row>
    <row r="738" spans="2:6" x14ac:dyDescent="0.4">
      <c r="B738" s="54" t="s">
        <v>19</v>
      </c>
      <c r="C738" s="52" t="s">
        <v>19</v>
      </c>
      <c r="D738" s="52" t="s">
        <v>19</v>
      </c>
      <c r="E738" s="53" t="s">
        <v>19</v>
      </c>
      <c r="F738" t="s">
        <v>19</v>
      </c>
    </row>
    <row r="739" spans="2:6" x14ac:dyDescent="0.4">
      <c r="B739" s="54" t="s">
        <v>19</v>
      </c>
      <c r="C739" s="52" t="s">
        <v>19</v>
      </c>
      <c r="D739" s="52" t="s">
        <v>19</v>
      </c>
      <c r="E739" s="53" t="s">
        <v>19</v>
      </c>
      <c r="F739" t="s">
        <v>19</v>
      </c>
    </row>
    <row r="740" spans="2:6" x14ac:dyDescent="0.4">
      <c r="B740" s="54" t="s">
        <v>19</v>
      </c>
      <c r="C740" s="52" t="s">
        <v>19</v>
      </c>
      <c r="D740" s="52" t="s">
        <v>19</v>
      </c>
      <c r="E740" s="53" t="s">
        <v>19</v>
      </c>
      <c r="F740" t="s">
        <v>19</v>
      </c>
    </row>
    <row r="741" spans="2:6" x14ac:dyDescent="0.4">
      <c r="B741" s="54" t="s">
        <v>19</v>
      </c>
      <c r="C741" s="52" t="s">
        <v>19</v>
      </c>
      <c r="D741" s="52" t="s">
        <v>19</v>
      </c>
      <c r="E741" s="53" t="s">
        <v>19</v>
      </c>
      <c r="F741" t="s">
        <v>19</v>
      </c>
    </row>
    <row r="742" spans="2:6" x14ac:dyDescent="0.4">
      <c r="B742" s="54" t="s">
        <v>19</v>
      </c>
      <c r="C742" s="52" t="s">
        <v>19</v>
      </c>
      <c r="D742" s="52" t="s">
        <v>19</v>
      </c>
      <c r="E742" s="53" t="s">
        <v>19</v>
      </c>
      <c r="F742" t="s">
        <v>19</v>
      </c>
    </row>
    <row r="743" spans="2:6" x14ac:dyDescent="0.4">
      <c r="B743" s="54" t="s">
        <v>19</v>
      </c>
      <c r="C743" s="52" t="s">
        <v>19</v>
      </c>
      <c r="D743" s="52" t="s">
        <v>19</v>
      </c>
      <c r="E743" s="53" t="s">
        <v>19</v>
      </c>
      <c r="F743" t="s">
        <v>19</v>
      </c>
    </row>
    <row r="744" spans="2:6" x14ac:dyDescent="0.4">
      <c r="B744" s="54" t="s">
        <v>19</v>
      </c>
      <c r="C744" s="52" t="s">
        <v>19</v>
      </c>
      <c r="D744" s="52" t="s">
        <v>19</v>
      </c>
      <c r="E744" s="53" t="s">
        <v>19</v>
      </c>
      <c r="F744" t="s">
        <v>19</v>
      </c>
    </row>
    <row r="745" spans="2:6" x14ac:dyDescent="0.4">
      <c r="B745" s="54" t="s">
        <v>19</v>
      </c>
      <c r="C745" s="52" t="s">
        <v>19</v>
      </c>
      <c r="D745" s="52" t="s">
        <v>19</v>
      </c>
      <c r="E745" s="53" t="s">
        <v>19</v>
      </c>
      <c r="F745" t="s">
        <v>19</v>
      </c>
    </row>
    <row r="746" spans="2:6" x14ac:dyDescent="0.4">
      <c r="B746" s="54" t="s">
        <v>19</v>
      </c>
      <c r="C746" s="52" t="s">
        <v>19</v>
      </c>
      <c r="D746" s="52" t="s">
        <v>19</v>
      </c>
      <c r="E746" s="53" t="s">
        <v>19</v>
      </c>
      <c r="F746" t="s">
        <v>19</v>
      </c>
    </row>
    <row r="747" spans="2:6" x14ac:dyDescent="0.4">
      <c r="B747" s="54" t="s">
        <v>19</v>
      </c>
      <c r="C747" s="52" t="s">
        <v>19</v>
      </c>
      <c r="D747" s="52" t="s">
        <v>19</v>
      </c>
      <c r="E747" s="53" t="s">
        <v>19</v>
      </c>
      <c r="F747" t="s">
        <v>19</v>
      </c>
    </row>
    <row r="748" spans="2:6" x14ac:dyDescent="0.4">
      <c r="B748" s="54" t="s">
        <v>19</v>
      </c>
      <c r="C748" s="52" t="s">
        <v>19</v>
      </c>
      <c r="D748" s="52" t="s">
        <v>19</v>
      </c>
      <c r="E748" s="53" t="s">
        <v>19</v>
      </c>
      <c r="F748" t="s">
        <v>19</v>
      </c>
    </row>
    <row r="749" spans="2:6" x14ac:dyDescent="0.4">
      <c r="B749" s="54" t="s">
        <v>19</v>
      </c>
      <c r="C749" s="52" t="s">
        <v>19</v>
      </c>
      <c r="D749" s="52" t="s">
        <v>19</v>
      </c>
      <c r="E749" s="53" t="s">
        <v>19</v>
      </c>
      <c r="F749" t="s">
        <v>19</v>
      </c>
    </row>
    <row r="750" spans="2:6" x14ac:dyDescent="0.4">
      <c r="B750" s="54" t="s">
        <v>19</v>
      </c>
      <c r="C750" s="52" t="s">
        <v>19</v>
      </c>
      <c r="D750" s="52" t="s">
        <v>19</v>
      </c>
      <c r="E750" s="53" t="s">
        <v>19</v>
      </c>
      <c r="F750" t="s">
        <v>19</v>
      </c>
    </row>
    <row r="751" spans="2:6" x14ac:dyDescent="0.4">
      <c r="B751" s="54" t="s">
        <v>19</v>
      </c>
      <c r="C751" s="52" t="s">
        <v>19</v>
      </c>
      <c r="D751" s="52" t="s">
        <v>19</v>
      </c>
      <c r="E751" s="53" t="s">
        <v>19</v>
      </c>
      <c r="F751" t="s">
        <v>19</v>
      </c>
    </row>
    <row r="752" spans="2:6" x14ac:dyDescent="0.4">
      <c r="B752" s="54" t="s">
        <v>19</v>
      </c>
      <c r="C752" s="52" t="s">
        <v>19</v>
      </c>
      <c r="D752" s="52" t="s">
        <v>19</v>
      </c>
      <c r="E752" s="53" t="s">
        <v>19</v>
      </c>
      <c r="F752" t="s">
        <v>19</v>
      </c>
    </row>
    <row r="753" spans="2:6" x14ac:dyDescent="0.4">
      <c r="B753" s="54" t="s">
        <v>19</v>
      </c>
      <c r="C753" s="52" t="s">
        <v>19</v>
      </c>
      <c r="D753" s="52" t="s">
        <v>19</v>
      </c>
      <c r="E753" s="53" t="s">
        <v>19</v>
      </c>
      <c r="F753" t="s">
        <v>19</v>
      </c>
    </row>
    <row r="754" spans="2:6" x14ac:dyDescent="0.4">
      <c r="B754" s="54" t="s">
        <v>19</v>
      </c>
      <c r="C754" s="52" t="s">
        <v>19</v>
      </c>
      <c r="D754" s="52" t="s">
        <v>19</v>
      </c>
      <c r="E754" s="53" t="s">
        <v>19</v>
      </c>
      <c r="F754" t="s">
        <v>19</v>
      </c>
    </row>
    <row r="755" spans="2:6" x14ac:dyDescent="0.4">
      <c r="B755" s="54" t="s">
        <v>19</v>
      </c>
      <c r="C755" s="52" t="s">
        <v>19</v>
      </c>
      <c r="D755" s="52" t="s">
        <v>19</v>
      </c>
      <c r="E755" s="53" t="s">
        <v>19</v>
      </c>
      <c r="F755" t="s">
        <v>19</v>
      </c>
    </row>
    <row r="756" spans="2:6" x14ac:dyDescent="0.4">
      <c r="B756" s="54" t="s">
        <v>19</v>
      </c>
      <c r="C756" s="52" t="s">
        <v>19</v>
      </c>
      <c r="D756" s="52" t="s">
        <v>19</v>
      </c>
      <c r="E756" s="53" t="s">
        <v>19</v>
      </c>
      <c r="F756" t="s">
        <v>19</v>
      </c>
    </row>
    <row r="757" spans="2:6" x14ac:dyDescent="0.4">
      <c r="B757" s="54" t="s">
        <v>19</v>
      </c>
      <c r="C757" s="52" t="s">
        <v>19</v>
      </c>
      <c r="D757" s="52" t="s">
        <v>19</v>
      </c>
      <c r="E757" s="53" t="s">
        <v>19</v>
      </c>
      <c r="F757" t="s">
        <v>19</v>
      </c>
    </row>
    <row r="758" spans="2:6" x14ac:dyDescent="0.4">
      <c r="B758" s="54" t="s">
        <v>19</v>
      </c>
      <c r="C758" s="52" t="s">
        <v>19</v>
      </c>
      <c r="D758" s="52" t="s">
        <v>19</v>
      </c>
      <c r="E758" s="53" t="s">
        <v>19</v>
      </c>
      <c r="F758" t="s">
        <v>19</v>
      </c>
    </row>
    <row r="759" spans="2:6" x14ac:dyDescent="0.4">
      <c r="B759" s="54" t="s">
        <v>19</v>
      </c>
      <c r="C759" s="52" t="s">
        <v>19</v>
      </c>
      <c r="D759" s="52" t="s">
        <v>19</v>
      </c>
      <c r="E759" s="53" t="s">
        <v>19</v>
      </c>
      <c r="F759" t="s">
        <v>19</v>
      </c>
    </row>
    <row r="760" spans="2:6" x14ac:dyDescent="0.4">
      <c r="B760" s="54" t="s">
        <v>19</v>
      </c>
      <c r="C760" s="52" t="s">
        <v>19</v>
      </c>
      <c r="D760" s="52" t="s">
        <v>19</v>
      </c>
      <c r="E760" s="53" t="s">
        <v>19</v>
      </c>
      <c r="F760" t="s">
        <v>19</v>
      </c>
    </row>
    <row r="761" spans="2:6" x14ac:dyDescent="0.4">
      <c r="B761" s="54" t="s">
        <v>19</v>
      </c>
      <c r="C761" s="52" t="s">
        <v>19</v>
      </c>
      <c r="D761" s="52" t="s">
        <v>19</v>
      </c>
      <c r="E761" s="53" t="s">
        <v>19</v>
      </c>
      <c r="F761" t="s">
        <v>19</v>
      </c>
    </row>
    <row r="762" spans="2:6" x14ac:dyDescent="0.4">
      <c r="B762" s="54" t="s">
        <v>19</v>
      </c>
      <c r="C762" s="52" t="s">
        <v>19</v>
      </c>
      <c r="D762" s="52" t="s">
        <v>19</v>
      </c>
      <c r="E762" s="53" t="s">
        <v>19</v>
      </c>
      <c r="F762" t="s">
        <v>19</v>
      </c>
    </row>
    <row r="763" spans="2:6" x14ac:dyDescent="0.4">
      <c r="B763" s="54" t="s">
        <v>19</v>
      </c>
      <c r="C763" s="52" t="s">
        <v>19</v>
      </c>
      <c r="D763" s="52" t="s">
        <v>19</v>
      </c>
      <c r="E763" s="53" t="s">
        <v>19</v>
      </c>
      <c r="F763" t="s">
        <v>19</v>
      </c>
    </row>
    <row r="764" spans="2:6" x14ac:dyDescent="0.4">
      <c r="B764" s="54" t="s">
        <v>19</v>
      </c>
      <c r="C764" s="52" t="s">
        <v>19</v>
      </c>
      <c r="D764" s="52" t="s">
        <v>19</v>
      </c>
      <c r="E764" s="53" t="s">
        <v>19</v>
      </c>
      <c r="F764" t="s">
        <v>19</v>
      </c>
    </row>
    <row r="765" spans="2:6" x14ac:dyDescent="0.4">
      <c r="B765" s="54" t="s">
        <v>19</v>
      </c>
      <c r="C765" s="52" t="s">
        <v>19</v>
      </c>
      <c r="D765" s="52" t="s">
        <v>19</v>
      </c>
      <c r="E765" s="53" t="s">
        <v>19</v>
      </c>
      <c r="F765" t="s">
        <v>19</v>
      </c>
    </row>
    <row r="766" spans="2:6" x14ac:dyDescent="0.4">
      <c r="B766" s="54" t="s">
        <v>19</v>
      </c>
      <c r="C766" s="52" t="s">
        <v>19</v>
      </c>
      <c r="D766" s="52" t="s">
        <v>19</v>
      </c>
      <c r="E766" s="53" t="s">
        <v>19</v>
      </c>
      <c r="F766" t="s">
        <v>19</v>
      </c>
    </row>
    <row r="767" spans="2:6" x14ac:dyDescent="0.4">
      <c r="B767" s="54" t="s">
        <v>19</v>
      </c>
      <c r="C767" s="52" t="s">
        <v>19</v>
      </c>
      <c r="D767" s="52" t="s">
        <v>19</v>
      </c>
      <c r="E767" s="53" t="s">
        <v>19</v>
      </c>
      <c r="F767" t="s">
        <v>19</v>
      </c>
    </row>
    <row r="768" spans="2:6" x14ac:dyDescent="0.4">
      <c r="B768" s="54" t="s">
        <v>19</v>
      </c>
      <c r="C768" s="52" t="s">
        <v>19</v>
      </c>
      <c r="D768" s="52" t="s">
        <v>19</v>
      </c>
      <c r="E768" s="53" t="s">
        <v>19</v>
      </c>
      <c r="F768" t="s">
        <v>19</v>
      </c>
    </row>
    <row r="769" spans="2:6" x14ac:dyDescent="0.4">
      <c r="B769" s="54" t="s">
        <v>19</v>
      </c>
      <c r="C769" s="52" t="s">
        <v>19</v>
      </c>
      <c r="D769" s="52" t="s">
        <v>19</v>
      </c>
      <c r="E769" s="53" t="s">
        <v>19</v>
      </c>
      <c r="F769" t="s">
        <v>19</v>
      </c>
    </row>
    <row r="770" spans="2:6" x14ac:dyDescent="0.4">
      <c r="B770" s="54" t="s">
        <v>19</v>
      </c>
      <c r="C770" s="52" t="s">
        <v>19</v>
      </c>
      <c r="D770" s="52" t="s">
        <v>19</v>
      </c>
      <c r="E770" s="53" t="s">
        <v>19</v>
      </c>
      <c r="F770" t="s">
        <v>19</v>
      </c>
    </row>
    <row r="771" spans="2:6" x14ac:dyDescent="0.4">
      <c r="B771" s="54" t="s">
        <v>19</v>
      </c>
      <c r="C771" s="52" t="s">
        <v>19</v>
      </c>
      <c r="D771" s="52" t="s">
        <v>19</v>
      </c>
      <c r="E771" s="53" t="s">
        <v>19</v>
      </c>
      <c r="F771" t="s">
        <v>19</v>
      </c>
    </row>
    <row r="772" spans="2:6" x14ac:dyDescent="0.4">
      <c r="B772" s="54" t="s">
        <v>19</v>
      </c>
      <c r="C772" s="52" t="s">
        <v>19</v>
      </c>
      <c r="D772" s="52" t="s">
        <v>19</v>
      </c>
      <c r="E772" s="53" t="s">
        <v>19</v>
      </c>
      <c r="F772" t="s">
        <v>19</v>
      </c>
    </row>
    <row r="773" spans="2:6" x14ac:dyDescent="0.4">
      <c r="B773" s="54" t="s">
        <v>19</v>
      </c>
      <c r="C773" s="52" t="s">
        <v>19</v>
      </c>
      <c r="D773" s="52" t="s">
        <v>19</v>
      </c>
      <c r="E773" s="53" t="s">
        <v>19</v>
      </c>
      <c r="F773" t="s">
        <v>19</v>
      </c>
    </row>
    <row r="774" spans="2:6" x14ac:dyDescent="0.4">
      <c r="B774" s="54" t="s">
        <v>19</v>
      </c>
      <c r="C774" s="52" t="s">
        <v>19</v>
      </c>
      <c r="D774" s="52" t="s">
        <v>19</v>
      </c>
      <c r="E774" s="53" t="s">
        <v>19</v>
      </c>
      <c r="F774" t="s">
        <v>19</v>
      </c>
    </row>
    <row r="775" spans="2:6" x14ac:dyDescent="0.4">
      <c r="B775" s="54" t="s">
        <v>19</v>
      </c>
      <c r="C775" s="52" t="s">
        <v>19</v>
      </c>
      <c r="D775" s="52" t="s">
        <v>19</v>
      </c>
      <c r="E775" s="53" t="s">
        <v>19</v>
      </c>
      <c r="F775" t="s">
        <v>19</v>
      </c>
    </row>
    <row r="776" spans="2:6" x14ac:dyDescent="0.4">
      <c r="B776" s="54" t="s">
        <v>19</v>
      </c>
      <c r="C776" s="52" t="s">
        <v>19</v>
      </c>
      <c r="D776" s="52" t="s">
        <v>19</v>
      </c>
      <c r="E776" s="53" t="s">
        <v>19</v>
      </c>
      <c r="F776" t="s">
        <v>19</v>
      </c>
    </row>
    <row r="777" spans="2:6" x14ac:dyDescent="0.4">
      <c r="B777" s="54" t="s">
        <v>19</v>
      </c>
      <c r="C777" s="52" t="s">
        <v>19</v>
      </c>
      <c r="D777" s="52" t="s">
        <v>19</v>
      </c>
      <c r="E777" s="53" t="s">
        <v>19</v>
      </c>
      <c r="F777" t="s">
        <v>19</v>
      </c>
    </row>
    <row r="778" spans="2:6" x14ac:dyDescent="0.4">
      <c r="B778" s="54" t="s">
        <v>19</v>
      </c>
      <c r="C778" s="52" t="s">
        <v>19</v>
      </c>
      <c r="D778" s="52" t="s">
        <v>19</v>
      </c>
      <c r="E778" s="53" t="s">
        <v>19</v>
      </c>
      <c r="F778" t="s">
        <v>19</v>
      </c>
    </row>
    <row r="779" spans="2:6" x14ac:dyDescent="0.4">
      <c r="B779" s="54" t="s">
        <v>19</v>
      </c>
      <c r="C779" s="52" t="s">
        <v>19</v>
      </c>
      <c r="D779" s="52" t="s">
        <v>19</v>
      </c>
      <c r="E779" s="53" t="s">
        <v>19</v>
      </c>
      <c r="F779" t="s">
        <v>19</v>
      </c>
    </row>
    <row r="780" spans="2:6" x14ac:dyDescent="0.4">
      <c r="B780" s="54" t="s">
        <v>19</v>
      </c>
      <c r="C780" s="52" t="s">
        <v>19</v>
      </c>
      <c r="D780" s="52" t="s">
        <v>19</v>
      </c>
      <c r="E780" s="53" t="s">
        <v>19</v>
      </c>
      <c r="F780" t="s">
        <v>19</v>
      </c>
    </row>
    <row r="781" spans="2:6" x14ac:dyDescent="0.4">
      <c r="B781" s="54" t="s">
        <v>19</v>
      </c>
      <c r="C781" s="52" t="s">
        <v>19</v>
      </c>
      <c r="D781" s="52" t="s">
        <v>19</v>
      </c>
      <c r="E781" s="53" t="s">
        <v>19</v>
      </c>
      <c r="F781" t="s">
        <v>19</v>
      </c>
    </row>
    <row r="782" spans="2:6" x14ac:dyDescent="0.4">
      <c r="B782" s="54" t="s">
        <v>19</v>
      </c>
      <c r="C782" s="52" t="s">
        <v>19</v>
      </c>
      <c r="D782" s="52" t="s">
        <v>19</v>
      </c>
      <c r="E782" s="53" t="s">
        <v>19</v>
      </c>
      <c r="F782" t="s">
        <v>19</v>
      </c>
    </row>
    <row r="783" spans="2:6" x14ac:dyDescent="0.4">
      <c r="B783" s="54" t="s">
        <v>19</v>
      </c>
      <c r="C783" s="52" t="s">
        <v>19</v>
      </c>
      <c r="D783" s="52" t="s">
        <v>19</v>
      </c>
      <c r="E783" s="53" t="s">
        <v>19</v>
      </c>
      <c r="F783" t="s">
        <v>19</v>
      </c>
    </row>
    <row r="784" spans="2:6" x14ac:dyDescent="0.4">
      <c r="B784" s="54" t="s">
        <v>19</v>
      </c>
      <c r="C784" s="52" t="s">
        <v>19</v>
      </c>
      <c r="D784" s="52" t="s">
        <v>19</v>
      </c>
      <c r="E784" s="53" t="s">
        <v>19</v>
      </c>
      <c r="F784" t="s">
        <v>19</v>
      </c>
    </row>
    <row r="785" spans="2:6" x14ac:dyDescent="0.4">
      <c r="B785" s="54" t="s">
        <v>19</v>
      </c>
      <c r="C785" s="52" t="s">
        <v>19</v>
      </c>
      <c r="D785" s="52" t="s">
        <v>19</v>
      </c>
      <c r="E785" s="53" t="s">
        <v>19</v>
      </c>
      <c r="F785" t="s">
        <v>19</v>
      </c>
    </row>
    <row r="786" spans="2:6" x14ac:dyDescent="0.4">
      <c r="B786" s="54" t="s">
        <v>19</v>
      </c>
      <c r="C786" s="52" t="s">
        <v>19</v>
      </c>
      <c r="D786" s="52" t="s">
        <v>19</v>
      </c>
      <c r="E786" s="53" t="s">
        <v>19</v>
      </c>
      <c r="F786" t="s">
        <v>19</v>
      </c>
    </row>
    <row r="787" spans="2:6" x14ac:dyDescent="0.4">
      <c r="B787" s="54" t="s">
        <v>19</v>
      </c>
      <c r="C787" s="52" t="s">
        <v>19</v>
      </c>
      <c r="D787" s="52" t="s">
        <v>19</v>
      </c>
      <c r="E787" s="53" t="s">
        <v>19</v>
      </c>
      <c r="F787" t="s">
        <v>19</v>
      </c>
    </row>
    <row r="788" spans="2:6" x14ac:dyDescent="0.4">
      <c r="B788" s="54" t="s">
        <v>19</v>
      </c>
      <c r="C788" s="52" t="s">
        <v>19</v>
      </c>
      <c r="D788" s="52" t="s">
        <v>19</v>
      </c>
      <c r="E788" s="53" t="s">
        <v>19</v>
      </c>
      <c r="F788" t="s">
        <v>19</v>
      </c>
    </row>
    <row r="789" spans="2:6" x14ac:dyDescent="0.4">
      <c r="B789" s="54" t="s">
        <v>19</v>
      </c>
      <c r="C789" s="52" t="s">
        <v>19</v>
      </c>
      <c r="D789" s="52" t="s">
        <v>19</v>
      </c>
      <c r="E789" s="53" t="s">
        <v>19</v>
      </c>
      <c r="F789" t="s">
        <v>19</v>
      </c>
    </row>
    <row r="790" spans="2:6" x14ac:dyDescent="0.4">
      <c r="B790" s="54" t="s">
        <v>19</v>
      </c>
      <c r="C790" s="52" t="s">
        <v>19</v>
      </c>
      <c r="D790" s="52" t="s">
        <v>19</v>
      </c>
      <c r="E790" s="53" t="s">
        <v>19</v>
      </c>
      <c r="F790" t="s">
        <v>19</v>
      </c>
    </row>
    <row r="791" spans="2:6" x14ac:dyDescent="0.4">
      <c r="B791" s="54" t="s">
        <v>19</v>
      </c>
      <c r="C791" s="52" t="s">
        <v>19</v>
      </c>
      <c r="D791" s="52" t="s">
        <v>19</v>
      </c>
      <c r="E791" s="53" t="s">
        <v>19</v>
      </c>
      <c r="F791" t="s">
        <v>19</v>
      </c>
    </row>
    <row r="792" spans="2:6" x14ac:dyDescent="0.4">
      <c r="B792" s="54" t="s">
        <v>19</v>
      </c>
      <c r="C792" s="52" t="s">
        <v>19</v>
      </c>
      <c r="D792" s="52" t="s">
        <v>19</v>
      </c>
      <c r="E792" s="53" t="s">
        <v>19</v>
      </c>
      <c r="F792" t="s">
        <v>19</v>
      </c>
    </row>
    <row r="793" spans="2:6" x14ac:dyDescent="0.4">
      <c r="B793" s="54" t="s">
        <v>19</v>
      </c>
      <c r="C793" s="52" t="s">
        <v>19</v>
      </c>
      <c r="D793" s="52" t="s">
        <v>19</v>
      </c>
      <c r="E793" s="53" t="s">
        <v>19</v>
      </c>
      <c r="F793" t="s">
        <v>19</v>
      </c>
    </row>
    <row r="794" spans="2:6" x14ac:dyDescent="0.4">
      <c r="B794" s="54" t="s">
        <v>19</v>
      </c>
      <c r="C794" s="52" t="s">
        <v>19</v>
      </c>
      <c r="D794" s="52" t="s">
        <v>19</v>
      </c>
      <c r="E794" s="53" t="s">
        <v>19</v>
      </c>
      <c r="F794" t="s">
        <v>19</v>
      </c>
    </row>
    <row r="795" spans="2:6" x14ac:dyDescent="0.4">
      <c r="B795" s="54" t="s">
        <v>19</v>
      </c>
      <c r="C795" s="52" t="s">
        <v>19</v>
      </c>
      <c r="D795" s="52" t="s">
        <v>19</v>
      </c>
      <c r="E795" s="53" t="s">
        <v>19</v>
      </c>
      <c r="F795" t="s">
        <v>19</v>
      </c>
    </row>
    <row r="796" spans="2:6" x14ac:dyDescent="0.4">
      <c r="B796" s="54" t="s">
        <v>19</v>
      </c>
      <c r="C796" s="52" t="s">
        <v>19</v>
      </c>
      <c r="D796" s="52" t="s">
        <v>19</v>
      </c>
      <c r="E796" s="53" t="s">
        <v>19</v>
      </c>
      <c r="F796" t="s">
        <v>19</v>
      </c>
    </row>
    <row r="797" spans="2:6" x14ac:dyDescent="0.4">
      <c r="B797" s="54" t="s">
        <v>19</v>
      </c>
      <c r="C797" s="52" t="s">
        <v>19</v>
      </c>
      <c r="D797" s="52" t="s">
        <v>19</v>
      </c>
      <c r="E797" s="53" t="s">
        <v>19</v>
      </c>
      <c r="F797" t="s">
        <v>19</v>
      </c>
    </row>
    <row r="798" spans="2:6" x14ac:dyDescent="0.4">
      <c r="B798" s="54" t="s">
        <v>19</v>
      </c>
      <c r="C798" s="52" t="s">
        <v>19</v>
      </c>
      <c r="D798" s="52" t="s">
        <v>19</v>
      </c>
      <c r="E798" s="53" t="s">
        <v>19</v>
      </c>
      <c r="F798" t="s">
        <v>19</v>
      </c>
    </row>
    <row r="799" spans="2:6" x14ac:dyDescent="0.4">
      <c r="B799" s="54" t="s">
        <v>19</v>
      </c>
      <c r="C799" s="52" t="s">
        <v>19</v>
      </c>
      <c r="D799" s="52" t="s">
        <v>19</v>
      </c>
      <c r="E799" s="53" t="s">
        <v>19</v>
      </c>
      <c r="F799" t="s">
        <v>19</v>
      </c>
    </row>
    <row r="800" spans="2:6" x14ac:dyDescent="0.4">
      <c r="B800" s="54" t="s">
        <v>19</v>
      </c>
      <c r="C800" s="52" t="s">
        <v>19</v>
      </c>
      <c r="D800" s="52" t="s">
        <v>19</v>
      </c>
      <c r="E800" s="53" t="s">
        <v>19</v>
      </c>
      <c r="F800" t="s">
        <v>19</v>
      </c>
    </row>
    <row r="801" spans="2:6" x14ac:dyDescent="0.4">
      <c r="B801" s="54" t="s">
        <v>19</v>
      </c>
      <c r="C801" s="52" t="s">
        <v>19</v>
      </c>
      <c r="D801" s="52" t="s">
        <v>19</v>
      </c>
      <c r="E801" s="53" t="s">
        <v>19</v>
      </c>
      <c r="F801" t="s">
        <v>19</v>
      </c>
    </row>
    <row r="802" spans="2:6" x14ac:dyDescent="0.4">
      <c r="B802" s="54" t="s">
        <v>19</v>
      </c>
      <c r="C802" s="52" t="s">
        <v>19</v>
      </c>
      <c r="D802" s="52" t="s">
        <v>19</v>
      </c>
      <c r="E802" s="53" t="s">
        <v>19</v>
      </c>
      <c r="F802" t="s">
        <v>19</v>
      </c>
    </row>
    <row r="803" spans="2:6" x14ac:dyDescent="0.4">
      <c r="B803" s="54" t="s">
        <v>19</v>
      </c>
      <c r="C803" s="52" t="s">
        <v>19</v>
      </c>
      <c r="D803" s="52" t="s">
        <v>19</v>
      </c>
      <c r="E803" s="53" t="s">
        <v>19</v>
      </c>
      <c r="F803" t="s">
        <v>19</v>
      </c>
    </row>
    <row r="804" spans="2:6" x14ac:dyDescent="0.4">
      <c r="B804" s="54" t="s">
        <v>19</v>
      </c>
      <c r="C804" s="52" t="s">
        <v>19</v>
      </c>
      <c r="D804" s="52" t="s">
        <v>19</v>
      </c>
      <c r="E804" s="53" t="s">
        <v>19</v>
      </c>
      <c r="F804" t="s">
        <v>19</v>
      </c>
    </row>
    <row r="805" spans="2:6" x14ac:dyDescent="0.4">
      <c r="B805" s="54" t="s">
        <v>19</v>
      </c>
      <c r="C805" s="52" t="s">
        <v>19</v>
      </c>
      <c r="D805" s="52" t="s">
        <v>19</v>
      </c>
      <c r="E805" s="53" t="s">
        <v>19</v>
      </c>
      <c r="F805" t="s">
        <v>19</v>
      </c>
    </row>
    <row r="806" spans="2:6" x14ac:dyDescent="0.4">
      <c r="B806" s="54" t="s">
        <v>19</v>
      </c>
      <c r="C806" s="52" t="s">
        <v>19</v>
      </c>
      <c r="D806" s="52" t="s">
        <v>19</v>
      </c>
      <c r="E806" s="53" t="s">
        <v>19</v>
      </c>
      <c r="F806" t="s">
        <v>19</v>
      </c>
    </row>
    <row r="807" spans="2:6" x14ac:dyDescent="0.4">
      <c r="B807" s="54" t="s">
        <v>19</v>
      </c>
      <c r="C807" s="52" t="s">
        <v>19</v>
      </c>
      <c r="D807" s="52" t="s">
        <v>19</v>
      </c>
      <c r="E807" s="53" t="s">
        <v>19</v>
      </c>
      <c r="F807" t="s">
        <v>19</v>
      </c>
    </row>
    <row r="808" spans="2:6" x14ac:dyDescent="0.4">
      <c r="B808" s="54" t="s">
        <v>19</v>
      </c>
      <c r="C808" s="52" t="s">
        <v>19</v>
      </c>
      <c r="D808" s="52" t="s">
        <v>19</v>
      </c>
      <c r="E808" s="53" t="s">
        <v>19</v>
      </c>
      <c r="F808" t="s">
        <v>19</v>
      </c>
    </row>
    <row r="809" spans="2:6" x14ac:dyDescent="0.4">
      <c r="B809" s="54" t="s">
        <v>19</v>
      </c>
      <c r="C809" s="52" t="s">
        <v>19</v>
      </c>
      <c r="D809" s="52" t="s">
        <v>19</v>
      </c>
      <c r="E809" s="53" t="s">
        <v>19</v>
      </c>
      <c r="F809" t="s">
        <v>19</v>
      </c>
    </row>
    <row r="810" spans="2:6" x14ac:dyDescent="0.4">
      <c r="B810" s="54" t="s">
        <v>19</v>
      </c>
      <c r="C810" s="52" t="s">
        <v>19</v>
      </c>
      <c r="D810" s="52" t="s">
        <v>19</v>
      </c>
      <c r="E810" s="53" t="s">
        <v>19</v>
      </c>
      <c r="F810" t="s">
        <v>19</v>
      </c>
    </row>
    <row r="811" spans="2:6" x14ac:dyDescent="0.4">
      <c r="B811" s="54" t="s">
        <v>19</v>
      </c>
      <c r="C811" s="52" t="s">
        <v>19</v>
      </c>
      <c r="D811" s="52" t="s">
        <v>19</v>
      </c>
      <c r="E811" s="53" t="s">
        <v>19</v>
      </c>
      <c r="F811" t="s">
        <v>19</v>
      </c>
    </row>
    <row r="812" spans="2:6" x14ac:dyDescent="0.4">
      <c r="B812" s="54" t="s">
        <v>19</v>
      </c>
      <c r="C812" s="52" t="s">
        <v>19</v>
      </c>
      <c r="D812" s="52" t="s">
        <v>19</v>
      </c>
      <c r="E812" s="53" t="s">
        <v>19</v>
      </c>
      <c r="F812" t="s">
        <v>19</v>
      </c>
    </row>
    <row r="813" spans="2:6" x14ac:dyDescent="0.4">
      <c r="B813" s="54" t="s">
        <v>19</v>
      </c>
      <c r="C813" s="52" t="s">
        <v>19</v>
      </c>
      <c r="D813" s="52" t="s">
        <v>19</v>
      </c>
      <c r="E813" s="53" t="s">
        <v>19</v>
      </c>
      <c r="F813" t="s">
        <v>19</v>
      </c>
    </row>
    <row r="814" spans="2:6" x14ac:dyDescent="0.4">
      <c r="B814" s="54" t="s">
        <v>19</v>
      </c>
      <c r="C814" s="52" t="s">
        <v>19</v>
      </c>
      <c r="D814" s="52" t="s">
        <v>19</v>
      </c>
      <c r="E814" s="53" t="s">
        <v>19</v>
      </c>
      <c r="F814" t="s">
        <v>19</v>
      </c>
    </row>
    <row r="815" spans="2:6" x14ac:dyDescent="0.4">
      <c r="B815" s="54" t="s">
        <v>19</v>
      </c>
      <c r="C815" s="52" t="s">
        <v>19</v>
      </c>
      <c r="D815" s="52" t="s">
        <v>19</v>
      </c>
      <c r="E815" s="53" t="s">
        <v>19</v>
      </c>
      <c r="F815" t="s">
        <v>19</v>
      </c>
    </row>
    <row r="816" spans="2:6" x14ac:dyDescent="0.4">
      <c r="B816" s="54" t="s">
        <v>19</v>
      </c>
      <c r="C816" s="52" t="s">
        <v>19</v>
      </c>
      <c r="D816" s="52" t="s">
        <v>19</v>
      </c>
      <c r="E816" s="53" t="s">
        <v>19</v>
      </c>
      <c r="F816" t="s">
        <v>19</v>
      </c>
    </row>
    <row r="817" spans="2:6" x14ac:dyDescent="0.4">
      <c r="B817" s="54" t="s">
        <v>19</v>
      </c>
      <c r="C817" s="52" t="s">
        <v>19</v>
      </c>
      <c r="D817" s="52" t="s">
        <v>19</v>
      </c>
      <c r="E817" s="53" t="s">
        <v>19</v>
      </c>
      <c r="F817" t="s">
        <v>19</v>
      </c>
    </row>
    <row r="818" spans="2:6" x14ac:dyDescent="0.4">
      <c r="B818" s="54" t="s">
        <v>19</v>
      </c>
      <c r="C818" s="52" t="s">
        <v>19</v>
      </c>
      <c r="D818" s="52" t="s">
        <v>19</v>
      </c>
      <c r="E818" s="53" t="s">
        <v>19</v>
      </c>
      <c r="F818" t="s">
        <v>19</v>
      </c>
    </row>
    <row r="819" spans="2:6" x14ac:dyDescent="0.4">
      <c r="B819" s="54" t="s">
        <v>19</v>
      </c>
      <c r="C819" s="52" t="s">
        <v>19</v>
      </c>
      <c r="D819" s="52" t="s">
        <v>19</v>
      </c>
      <c r="E819" s="53" t="s">
        <v>19</v>
      </c>
      <c r="F819" t="s">
        <v>19</v>
      </c>
    </row>
    <row r="820" spans="2:6" x14ac:dyDescent="0.4">
      <c r="B820" s="54" t="s">
        <v>19</v>
      </c>
      <c r="C820" s="52" t="s">
        <v>19</v>
      </c>
      <c r="D820" s="52" t="s">
        <v>19</v>
      </c>
      <c r="E820" s="53" t="s">
        <v>19</v>
      </c>
      <c r="F820" t="s">
        <v>19</v>
      </c>
    </row>
    <row r="821" spans="2:6" x14ac:dyDescent="0.4">
      <c r="B821" s="54" t="s">
        <v>19</v>
      </c>
      <c r="C821" s="52" t="s">
        <v>19</v>
      </c>
      <c r="D821" s="52" t="s">
        <v>19</v>
      </c>
      <c r="E821" s="53" t="s">
        <v>19</v>
      </c>
      <c r="F821" t="s">
        <v>19</v>
      </c>
    </row>
    <row r="822" spans="2:6" x14ac:dyDescent="0.4">
      <c r="B822" s="54" t="s">
        <v>19</v>
      </c>
      <c r="C822" s="52" t="s">
        <v>19</v>
      </c>
      <c r="D822" s="52" t="s">
        <v>19</v>
      </c>
      <c r="E822" s="53" t="s">
        <v>19</v>
      </c>
      <c r="F822" t="s">
        <v>19</v>
      </c>
    </row>
    <row r="823" spans="2:6" x14ac:dyDescent="0.4">
      <c r="B823" s="54" t="s">
        <v>19</v>
      </c>
      <c r="C823" s="52" t="s">
        <v>19</v>
      </c>
      <c r="D823" s="52" t="s">
        <v>19</v>
      </c>
      <c r="E823" s="53" t="s">
        <v>19</v>
      </c>
      <c r="F823" t="s">
        <v>19</v>
      </c>
    </row>
    <row r="824" spans="2:6" x14ac:dyDescent="0.4">
      <c r="B824" s="54" t="s">
        <v>19</v>
      </c>
      <c r="C824" s="52" t="s">
        <v>19</v>
      </c>
      <c r="D824" s="52" t="s">
        <v>19</v>
      </c>
      <c r="E824" s="53" t="s">
        <v>19</v>
      </c>
      <c r="F824" t="s">
        <v>19</v>
      </c>
    </row>
    <row r="825" spans="2:6" x14ac:dyDescent="0.4">
      <c r="B825" s="54" t="s">
        <v>19</v>
      </c>
      <c r="C825" s="52" t="s">
        <v>19</v>
      </c>
      <c r="D825" s="52" t="s">
        <v>19</v>
      </c>
      <c r="E825" s="53" t="s">
        <v>19</v>
      </c>
      <c r="F825" t="s">
        <v>19</v>
      </c>
    </row>
    <row r="826" spans="2:6" x14ac:dyDescent="0.4">
      <c r="B826" s="54" t="s">
        <v>19</v>
      </c>
      <c r="C826" s="52" t="s">
        <v>19</v>
      </c>
      <c r="D826" s="52" t="s">
        <v>19</v>
      </c>
      <c r="E826" s="53" t="s">
        <v>19</v>
      </c>
      <c r="F826" t="s">
        <v>19</v>
      </c>
    </row>
    <row r="827" spans="2:6" x14ac:dyDescent="0.4">
      <c r="B827" s="54" t="s">
        <v>19</v>
      </c>
      <c r="C827" s="52" t="s">
        <v>19</v>
      </c>
      <c r="D827" s="52" t="s">
        <v>19</v>
      </c>
      <c r="E827" s="53" t="s">
        <v>19</v>
      </c>
      <c r="F827" t="s">
        <v>19</v>
      </c>
    </row>
    <row r="828" spans="2:6" x14ac:dyDescent="0.4">
      <c r="B828" s="54" t="s">
        <v>19</v>
      </c>
      <c r="C828" s="52" t="s">
        <v>19</v>
      </c>
      <c r="D828" s="52" t="s">
        <v>19</v>
      </c>
      <c r="E828" s="53" t="s">
        <v>19</v>
      </c>
      <c r="F828" t="s">
        <v>19</v>
      </c>
    </row>
    <row r="829" spans="2:6" x14ac:dyDescent="0.4">
      <c r="B829" s="54" t="s">
        <v>19</v>
      </c>
      <c r="C829" s="52" t="s">
        <v>19</v>
      </c>
      <c r="D829" s="52" t="s">
        <v>19</v>
      </c>
      <c r="E829" s="53" t="s">
        <v>19</v>
      </c>
      <c r="F829" t="s">
        <v>19</v>
      </c>
    </row>
    <row r="830" spans="2:6" x14ac:dyDescent="0.4">
      <c r="B830" s="54" t="s">
        <v>19</v>
      </c>
      <c r="C830" s="52" t="s">
        <v>19</v>
      </c>
      <c r="D830" s="52" t="s">
        <v>19</v>
      </c>
      <c r="E830" s="53" t="s">
        <v>19</v>
      </c>
      <c r="F830" t="s">
        <v>19</v>
      </c>
    </row>
    <row r="831" spans="2:6" x14ac:dyDescent="0.4">
      <c r="B831" s="54" t="s">
        <v>19</v>
      </c>
      <c r="C831" s="52" t="s">
        <v>19</v>
      </c>
      <c r="D831" s="52" t="s">
        <v>19</v>
      </c>
      <c r="E831" s="53" t="s">
        <v>19</v>
      </c>
      <c r="F831" t="s">
        <v>19</v>
      </c>
    </row>
    <row r="832" spans="2:6" x14ac:dyDescent="0.4">
      <c r="B832" s="54" t="s">
        <v>19</v>
      </c>
      <c r="C832" s="52" t="s">
        <v>19</v>
      </c>
      <c r="D832" s="52" t="s">
        <v>19</v>
      </c>
      <c r="E832" s="53" t="s">
        <v>19</v>
      </c>
      <c r="F832" t="s">
        <v>19</v>
      </c>
    </row>
    <row r="833" spans="2:6" x14ac:dyDescent="0.4">
      <c r="B833" s="54" t="s">
        <v>19</v>
      </c>
      <c r="C833" s="52" t="s">
        <v>19</v>
      </c>
      <c r="D833" s="52" t="s">
        <v>19</v>
      </c>
      <c r="E833" s="53" t="s">
        <v>19</v>
      </c>
      <c r="F833" t="s">
        <v>19</v>
      </c>
    </row>
    <row r="834" spans="2:6" x14ac:dyDescent="0.4">
      <c r="B834" s="54" t="s">
        <v>19</v>
      </c>
      <c r="C834" s="52" t="s">
        <v>19</v>
      </c>
      <c r="D834" s="52" t="s">
        <v>19</v>
      </c>
      <c r="E834" s="53" t="s">
        <v>19</v>
      </c>
      <c r="F834" t="s">
        <v>19</v>
      </c>
    </row>
    <row r="835" spans="2:6" x14ac:dyDescent="0.4">
      <c r="B835" s="54" t="s">
        <v>19</v>
      </c>
      <c r="C835" s="52" t="s">
        <v>19</v>
      </c>
      <c r="D835" s="52" t="s">
        <v>19</v>
      </c>
      <c r="E835" s="53" t="s">
        <v>19</v>
      </c>
      <c r="F835" t="s">
        <v>19</v>
      </c>
    </row>
    <row r="836" spans="2:6" x14ac:dyDescent="0.4">
      <c r="B836" s="54" t="s">
        <v>19</v>
      </c>
      <c r="C836" s="52" t="s">
        <v>19</v>
      </c>
      <c r="D836" s="52" t="s">
        <v>19</v>
      </c>
      <c r="E836" s="53" t="s">
        <v>19</v>
      </c>
      <c r="F836" t="s">
        <v>19</v>
      </c>
    </row>
    <row r="837" spans="2:6" x14ac:dyDescent="0.4">
      <c r="B837" s="54" t="s">
        <v>19</v>
      </c>
      <c r="C837" s="52" t="s">
        <v>19</v>
      </c>
      <c r="D837" s="52" t="s">
        <v>19</v>
      </c>
      <c r="E837" s="53" t="s">
        <v>19</v>
      </c>
      <c r="F837" t="s">
        <v>19</v>
      </c>
    </row>
    <row r="838" spans="2:6" x14ac:dyDescent="0.4">
      <c r="B838" s="54" t="s">
        <v>19</v>
      </c>
      <c r="C838" s="52" t="s">
        <v>19</v>
      </c>
      <c r="D838" s="52" t="s">
        <v>19</v>
      </c>
      <c r="E838" s="53" t="s">
        <v>19</v>
      </c>
      <c r="F838" t="s">
        <v>19</v>
      </c>
    </row>
    <row r="839" spans="2:6" x14ac:dyDescent="0.4">
      <c r="B839" s="54" t="s">
        <v>19</v>
      </c>
      <c r="C839" s="52" t="s">
        <v>19</v>
      </c>
      <c r="D839" s="52" t="s">
        <v>19</v>
      </c>
      <c r="E839" s="53" t="s">
        <v>19</v>
      </c>
      <c r="F839" t="s">
        <v>19</v>
      </c>
    </row>
    <row r="840" spans="2:6" x14ac:dyDescent="0.4">
      <c r="B840" s="54" t="s">
        <v>19</v>
      </c>
      <c r="C840" s="52" t="s">
        <v>19</v>
      </c>
      <c r="D840" s="52" t="s">
        <v>19</v>
      </c>
      <c r="E840" s="53" t="s">
        <v>19</v>
      </c>
      <c r="F840" t="s">
        <v>19</v>
      </c>
    </row>
    <row r="841" spans="2:6" x14ac:dyDescent="0.4">
      <c r="B841" s="54" t="s">
        <v>19</v>
      </c>
      <c r="C841" s="52" t="s">
        <v>19</v>
      </c>
      <c r="D841" s="52" t="s">
        <v>19</v>
      </c>
      <c r="E841" s="53" t="s">
        <v>19</v>
      </c>
      <c r="F841" t="s">
        <v>19</v>
      </c>
    </row>
    <row r="842" spans="2:6" x14ac:dyDescent="0.4">
      <c r="B842" s="54" t="s">
        <v>19</v>
      </c>
      <c r="C842" s="52" t="s">
        <v>19</v>
      </c>
      <c r="D842" s="52" t="s">
        <v>19</v>
      </c>
      <c r="E842" s="53" t="s">
        <v>19</v>
      </c>
      <c r="F842" t="s">
        <v>19</v>
      </c>
    </row>
    <row r="843" spans="2:6" x14ac:dyDescent="0.4">
      <c r="B843" s="54" t="s">
        <v>19</v>
      </c>
      <c r="C843" s="52" t="s">
        <v>19</v>
      </c>
      <c r="D843" s="52" t="s">
        <v>19</v>
      </c>
      <c r="E843" s="53" t="s">
        <v>19</v>
      </c>
      <c r="F843" t="s">
        <v>19</v>
      </c>
    </row>
    <row r="844" spans="2:6" x14ac:dyDescent="0.4">
      <c r="B844" s="54" t="s">
        <v>19</v>
      </c>
      <c r="C844" s="52" t="s">
        <v>19</v>
      </c>
      <c r="D844" s="52" t="s">
        <v>19</v>
      </c>
      <c r="E844" s="53" t="s">
        <v>19</v>
      </c>
      <c r="F844" t="s">
        <v>19</v>
      </c>
    </row>
    <row r="845" spans="2:6" x14ac:dyDescent="0.4">
      <c r="B845" s="54" t="s">
        <v>19</v>
      </c>
      <c r="C845" s="52" t="s">
        <v>19</v>
      </c>
      <c r="D845" s="52" t="s">
        <v>19</v>
      </c>
      <c r="E845" s="53" t="s">
        <v>19</v>
      </c>
      <c r="F845" t="s">
        <v>19</v>
      </c>
    </row>
    <row r="846" spans="2:6" x14ac:dyDescent="0.4">
      <c r="B846" s="54" t="s">
        <v>19</v>
      </c>
      <c r="C846" s="52" t="s">
        <v>19</v>
      </c>
      <c r="D846" s="52" t="s">
        <v>19</v>
      </c>
      <c r="E846" s="53" t="s">
        <v>19</v>
      </c>
      <c r="F846" t="s">
        <v>19</v>
      </c>
    </row>
    <row r="847" spans="2:6" x14ac:dyDescent="0.4">
      <c r="B847" s="54" t="s">
        <v>19</v>
      </c>
      <c r="C847" s="52" t="s">
        <v>19</v>
      </c>
      <c r="D847" s="52" t="s">
        <v>19</v>
      </c>
      <c r="E847" s="53" t="s">
        <v>19</v>
      </c>
      <c r="F847" t="s">
        <v>19</v>
      </c>
    </row>
    <row r="848" spans="2:6" x14ac:dyDescent="0.4">
      <c r="B848" s="54" t="s">
        <v>19</v>
      </c>
      <c r="C848" s="52" t="s">
        <v>19</v>
      </c>
      <c r="D848" s="52" t="s">
        <v>19</v>
      </c>
      <c r="E848" s="53" t="s">
        <v>19</v>
      </c>
      <c r="F848" t="s">
        <v>19</v>
      </c>
    </row>
    <row r="849" spans="2:6" x14ac:dyDescent="0.4">
      <c r="B849" s="54" t="s">
        <v>19</v>
      </c>
      <c r="C849" s="52" t="s">
        <v>19</v>
      </c>
      <c r="D849" s="52" t="s">
        <v>19</v>
      </c>
      <c r="E849" s="53" t="s">
        <v>19</v>
      </c>
      <c r="F849" t="s">
        <v>19</v>
      </c>
    </row>
    <row r="850" spans="2:6" x14ac:dyDescent="0.4">
      <c r="B850" s="54" t="s">
        <v>19</v>
      </c>
      <c r="C850" s="52" t="s">
        <v>19</v>
      </c>
      <c r="D850" s="52" t="s">
        <v>19</v>
      </c>
      <c r="E850" s="53" t="s">
        <v>19</v>
      </c>
      <c r="F850" t="s">
        <v>19</v>
      </c>
    </row>
    <row r="851" spans="2:6" x14ac:dyDescent="0.4">
      <c r="B851" s="54" t="s">
        <v>19</v>
      </c>
      <c r="C851" s="52" t="s">
        <v>19</v>
      </c>
      <c r="D851" s="52" t="s">
        <v>19</v>
      </c>
      <c r="E851" s="53" t="s">
        <v>19</v>
      </c>
      <c r="F851" t="s">
        <v>19</v>
      </c>
    </row>
    <row r="852" spans="2:6" x14ac:dyDescent="0.4">
      <c r="B852" s="54" t="s">
        <v>19</v>
      </c>
      <c r="C852" s="52" t="s">
        <v>19</v>
      </c>
      <c r="D852" s="52" t="s">
        <v>19</v>
      </c>
      <c r="E852" s="53" t="s">
        <v>19</v>
      </c>
      <c r="F852" t="s">
        <v>19</v>
      </c>
    </row>
    <row r="853" spans="2:6" x14ac:dyDescent="0.4">
      <c r="B853" s="54" t="s">
        <v>19</v>
      </c>
      <c r="C853" s="52" t="s">
        <v>19</v>
      </c>
      <c r="D853" s="52" t="s">
        <v>19</v>
      </c>
      <c r="E853" s="53" t="s">
        <v>19</v>
      </c>
      <c r="F853" t="s">
        <v>19</v>
      </c>
    </row>
    <row r="854" spans="2:6" x14ac:dyDescent="0.4">
      <c r="B854" s="54" t="s">
        <v>19</v>
      </c>
      <c r="C854" s="52" t="s">
        <v>19</v>
      </c>
      <c r="D854" s="52" t="s">
        <v>19</v>
      </c>
      <c r="E854" s="53" t="s">
        <v>19</v>
      </c>
      <c r="F854" t="s">
        <v>19</v>
      </c>
    </row>
    <row r="855" spans="2:6" x14ac:dyDescent="0.4">
      <c r="B855" s="54" t="s">
        <v>19</v>
      </c>
      <c r="C855" s="52" t="s">
        <v>19</v>
      </c>
      <c r="D855" s="52" t="s">
        <v>19</v>
      </c>
      <c r="E855" s="53" t="s">
        <v>19</v>
      </c>
      <c r="F855" t="s">
        <v>19</v>
      </c>
    </row>
    <row r="856" spans="2:6" x14ac:dyDescent="0.4">
      <c r="B856" s="54" t="s">
        <v>19</v>
      </c>
      <c r="C856" s="52" t="s">
        <v>19</v>
      </c>
      <c r="D856" s="52" t="s">
        <v>19</v>
      </c>
      <c r="E856" s="53" t="s">
        <v>19</v>
      </c>
      <c r="F856" t="s">
        <v>19</v>
      </c>
    </row>
    <row r="857" spans="2:6" x14ac:dyDescent="0.4">
      <c r="B857" s="54" t="s">
        <v>19</v>
      </c>
      <c r="C857" s="52" t="s">
        <v>19</v>
      </c>
      <c r="D857" s="52" t="s">
        <v>19</v>
      </c>
      <c r="E857" s="53" t="s">
        <v>19</v>
      </c>
      <c r="F857" t="s">
        <v>19</v>
      </c>
    </row>
    <row r="858" spans="2:6" x14ac:dyDescent="0.4">
      <c r="B858" s="54" t="s">
        <v>19</v>
      </c>
      <c r="C858" s="52" t="s">
        <v>19</v>
      </c>
      <c r="D858" s="52" t="s">
        <v>19</v>
      </c>
      <c r="E858" s="53" t="s">
        <v>19</v>
      </c>
      <c r="F858" t="s">
        <v>19</v>
      </c>
    </row>
    <row r="859" spans="2:6" x14ac:dyDescent="0.4">
      <c r="B859" s="54" t="s">
        <v>19</v>
      </c>
      <c r="C859" s="52" t="s">
        <v>19</v>
      </c>
      <c r="D859" s="52" t="s">
        <v>19</v>
      </c>
      <c r="E859" s="53" t="s">
        <v>19</v>
      </c>
      <c r="F859" t="s">
        <v>19</v>
      </c>
    </row>
    <row r="860" spans="2:6" x14ac:dyDescent="0.4">
      <c r="B860" s="54" t="s">
        <v>19</v>
      </c>
      <c r="C860" s="52" t="s">
        <v>19</v>
      </c>
      <c r="D860" s="52" t="s">
        <v>19</v>
      </c>
      <c r="E860" s="53" t="s">
        <v>19</v>
      </c>
      <c r="F860" t="s">
        <v>19</v>
      </c>
    </row>
    <row r="861" spans="2:6" x14ac:dyDescent="0.4">
      <c r="B861" s="54" t="s">
        <v>19</v>
      </c>
      <c r="C861" s="52" t="s">
        <v>19</v>
      </c>
      <c r="D861" s="52" t="s">
        <v>19</v>
      </c>
      <c r="E861" s="53" t="s">
        <v>19</v>
      </c>
      <c r="F861" t="s">
        <v>19</v>
      </c>
    </row>
    <row r="862" spans="2:6" x14ac:dyDescent="0.4">
      <c r="B862" s="54" t="s">
        <v>19</v>
      </c>
      <c r="C862" s="52" t="s">
        <v>19</v>
      </c>
      <c r="D862" s="52" t="s">
        <v>19</v>
      </c>
      <c r="E862" s="53" t="s">
        <v>19</v>
      </c>
      <c r="F862" t="s">
        <v>19</v>
      </c>
    </row>
    <row r="863" spans="2:6" x14ac:dyDescent="0.4">
      <c r="B863" s="54" t="s">
        <v>19</v>
      </c>
      <c r="C863" s="52" t="s">
        <v>19</v>
      </c>
      <c r="D863" s="52" t="s">
        <v>19</v>
      </c>
      <c r="E863" s="53" t="s">
        <v>19</v>
      </c>
      <c r="F863" t="s">
        <v>19</v>
      </c>
    </row>
    <row r="864" spans="2:6" x14ac:dyDescent="0.4">
      <c r="B864" s="54" t="s">
        <v>19</v>
      </c>
      <c r="C864" s="52" t="s">
        <v>19</v>
      </c>
      <c r="D864" s="52" t="s">
        <v>19</v>
      </c>
      <c r="E864" s="53" t="s">
        <v>19</v>
      </c>
      <c r="F864" t="s">
        <v>19</v>
      </c>
    </row>
    <row r="865" spans="2:6" x14ac:dyDescent="0.4">
      <c r="B865" s="54" t="s">
        <v>19</v>
      </c>
      <c r="C865" s="52" t="s">
        <v>19</v>
      </c>
      <c r="D865" s="52" t="s">
        <v>19</v>
      </c>
      <c r="E865" s="53" t="s">
        <v>19</v>
      </c>
      <c r="F865" t="s">
        <v>19</v>
      </c>
    </row>
    <row r="866" spans="2:6" x14ac:dyDescent="0.4">
      <c r="B866" s="54" t="s">
        <v>19</v>
      </c>
      <c r="C866" s="52" t="s">
        <v>19</v>
      </c>
      <c r="D866" s="52" t="s">
        <v>19</v>
      </c>
      <c r="E866" s="53" t="s">
        <v>19</v>
      </c>
      <c r="F866" t="s">
        <v>19</v>
      </c>
    </row>
    <row r="867" spans="2:6" x14ac:dyDescent="0.4">
      <c r="B867" s="54" t="s">
        <v>19</v>
      </c>
      <c r="C867" s="52" t="s">
        <v>19</v>
      </c>
      <c r="D867" s="52" t="s">
        <v>19</v>
      </c>
      <c r="E867" s="53" t="s">
        <v>19</v>
      </c>
      <c r="F867" t="s">
        <v>19</v>
      </c>
    </row>
    <row r="868" spans="2:6" x14ac:dyDescent="0.4">
      <c r="B868" s="54" t="s">
        <v>19</v>
      </c>
      <c r="C868" s="52" t="s">
        <v>19</v>
      </c>
      <c r="D868" s="52" t="s">
        <v>19</v>
      </c>
      <c r="E868" s="53" t="s">
        <v>19</v>
      </c>
      <c r="F868" t="s">
        <v>19</v>
      </c>
    </row>
    <row r="869" spans="2:6" x14ac:dyDescent="0.4">
      <c r="B869" s="54" t="s">
        <v>19</v>
      </c>
      <c r="C869" s="52" t="s">
        <v>19</v>
      </c>
      <c r="D869" s="52" t="s">
        <v>19</v>
      </c>
      <c r="E869" s="53" t="s">
        <v>19</v>
      </c>
      <c r="F869" t="s">
        <v>19</v>
      </c>
    </row>
    <row r="870" spans="2:6" x14ac:dyDescent="0.4">
      <c r="B870" s="54" t="s">
        <v>19</v>
      </c>
      <c r="C870" s="52" t="s">
        <v>19</v>
      </c>
      <c r="D870" s="52" t="s">
        <v>19</v>
      </c>
      <c r="E870" s="53" t="s">
        <v>19</v>
      </c>
      <c r="F870" t="s">
        <v>19</v>
      </c>
    </row>
    <row r="871" spans="2:6" x14ac:dyDescent="0.4">
      <c r="B871" s="54" t="s">
        <v>19</v>
      </c>
      <c r="C871" s="52" t="s">
        <v>19</v>
      </c>
      <c r="D871" s="52" t="s">
        <v>19</v>
      </c>
      <c r="E871" s="53" t="s">
        <v>19</v>
      </c>
      <c r="F871" t="s">
        <v>19</v>
      </c>
    </row>
    <row r="872" spans="2:6" x14ac:dyDescent="0.4">
      <c r="B872" s="54" t="s">
        <v>19</v>
      </c>
      <c r="C872" s="52" t="s">
        <v>19</v>
      </c>
      <c r="D872" s="52" t="s">
        <v>19</v>
      </c>
      <c r="E872" s="53" t="s">
        <v>19</v>
      </c>
      <c r="F872" t="s">
        <v>19</v>
      </c>
    </row>
    <row r="873" spans="2:6" x14ac:dyDescent="0.4">
      <c r="B873" s="54" t="s">
        <v>19</v>
      </c>
      <c r="C873" s="52" t="s">
        <v>19</v>
      </c>
      <c r="D873" s="52" t="s">
        <v>19</v>
      </c>
      <c r="E873" s="53" t="s">
        <v>19</v>
      </c>
      <c r="F873" t="s">
        <v>19</v>
      </c>
    </row>
    <row r="874" spans="2:6" x14ac:dyDescent="0.4">
      <c r="B874" s="54" t="s">
        <v>19</v>
      </c>
      <c r="C874" s="52" t="s">
        <v>19</v>
      </c>
      <c r="D874" s="52" t="s">
        <v>19</v>
      </c>
      <c r="E874" s="53" t="s">
        <v>19</v>
      </c>
      <c r="F874" t="s">
        <v>19</v>
      </c>
    </row>
    <row r="875" spans="2:6" x14ac:dyDescent="0.4">
      <c r="B875" s="54" t="s">
        <v>19</v>
      </c>
      <c r="C875" s="52" t="s">
        <v>19</v>
      </c>
      <c r="D875" s="52" t="s">
        <v>19</v>
      </c>
      <c r="E875" s="53" t="s">
        <v>19</v>
      </c>
      <c r="F875" t="s">
        <v>19</v>
      </c>
    </row>
    <row r="876" spans="2:6" x14ac:dyDescent="0.4">
      <c r="B876" s="54" t="s">
        <v>19</v>
      </c>
      <c r="C876" s="52" t="s">
        <v>19</v>
      </c>
      <c r="D876" s="52" t="s">
        <v>19</v>
      </c>
      <c r="E876" s="53" t="s">
        <v>19</v>
      </c>
      <c r="F876" t="s">
        <v>19</v>
      </c>
    </row>
    <row r="877" spans="2:6" x14ac:dyDescent="0.4">
      <c r="B877" s="54" t="s">
        <v>19</v>
      </c>
      <c r="C877" s="52" t="s">
        <v>19</v>
      </c>
      <c r="D877" s="52" t="s">
        <v>19</v>
      </c>
      <c r="E877" s="53" t="s">
        <v>19</v>
      </c>
      <c r="F877" t="s">
        <v>19</v>
      </c>
    </row>
    <row r="878" spans="2:6" x14ac:dyDescent="0.4">
      <c r="B878" s="54" t="s">
        <v>19</v>
      </c>
      <c r="C878" s="52" t="s">
        <v>19</v>
      </c>
      <c r="D878" s="52" t="s">
        <v>19</v>
      </c>
      <c r="E878" s="53" t="s">
        <v>19</v>
      </c>
      <c r="F878" t="s">
        <v>19</v>
      </c>
    </row>
    <row r="879" spans="2:6" x14ac:dyDescent="0.4">
      <c r="B879" s="54" t="s">
        <v>19</v>
      </c>
      <c r="C879" s="52" t="s">
        <v>19</v>
      </c>
      <c r="D879" s="52" t="s">
        <v>19</v>
      </c>
      <c r="E879" s="53" t="s">
        <v>19</v>
      </c>
      <c r="F879" t="s">
        <v>19</v>
      </c>
    </row>
    <row r="880" spans="2:6" x14ac:dyDescent="0.4">
      <c r="B880" s="54" t="s">
        <v>19</v>
      </c>
      <c r="C880" s="52" t="s">
        <v>19</v>
      </c>
      <c r="D880" s="52" t="s">
        <v>19</v>
      </c>
      <c r="E880" s="53" t="s">
        <v>19</v>
      </c>
      <c r="F880" t="s">
        <v>19</v>
      </c>
    </row>
    <row r="881" spans="2:6" x14ac:dyDescent="0.4">
      <c r="B881" s="54" t="s">
        <v>19</v>
      </c>
      <c r="C881" s="52" t="s">
        <v>19</v>
      </c>
      <c r="D881" s="52" t="s">
        <v>19</v>
      </c>
      <c r="E881" s="53" t="s">
        <v>19</v>
      </c>
      <c r="F881" t="s">
        <v>19</v>
      </c>
    </row>
    <row r="882" spans="2:6" x14ac:dyDescent="0.4">
      <c r="B882" s="54" t="s">
        <v>19</v>
      </c>
      <c r="C882" s="52" t="s">
        <v>19</v>
      </c>
      <c r="D882" s="52" t="s">
        <v>19</v>
      </c>
      <c r="E882" s="53" t="s">
        <v>19</v>
      </c>
      <c r="F882" t="s">
        <v>19</v>
      </c>
    </row>
    <row r="883" spans="2:6" x14ac:dyDescent="0.4">
      <c r="B883" s="54" t="s">
        <v>19</v>
      </c>
      <c r="C883" s="52" t="s">
        <v>19</v>
      </c>
      <c r="D883" s="52" t="s">
        <v>19</v>
      </c>
      <c r="E883" s="53" t="s">
        <v>19</v>
      </c>
      <c r="F883" t="s">
        <v>19</v>
      </c>
    </row>
    <row r="884" spans="2:6" x14ac:dyDescent="0.4">
      <c r="B884" s="54" t="s">
        <v>19</v>
      </c>
      <c r="C884" s="52" t="s">
        <v>19</v>
      </c>
      <c r="D884" s="52" t="s">
        <v>19</v>
      </c>
      <c r="E884" s="53" t="s">
        <v>19</v>
      </c>
      <c r="F884" t="s">
        <v>19</v>
      </c>
    </row>
    <row r="885" spans="2:6" x14ac:dyDescent="0.4">
      <c r="B885" s="54" t="s">
        <v>19</v>
      </c>
      <c r="C885" s="52" t="s">
        <v>19</v>
      </c>
      <c r="D885" s="52" t="s">
        <v>19</v>
      </c>
      <c r="E885" s="53" t="s">
        <v>19</v>
      </c>
      <c r="F885" t="s">
        <v>19</v>
      </c>
    </row>
    <row r="886" spans="2:6" x14ac:dyDescent="0.4">
      <c r="B886" s="54" t="s">
        <v>19</v>
      </c>
      <c r="C886" s="52" t="s">
        <v>19</v>
      </c>
      <c r="D886" s="52" t="s">
        <v>19</v>
      </c>
      <c r="E886" s="53" t="s">
        <v>19</v>
      </c>
      <c r="F886" t="s">
        <v>19</v>
      </c>
    </row>
    <row r="887" spans="2:6" x14ac:dyDescent="0.4">
      <c r="B887" s="54" t="s">
        <v>19</v>
      </c>
      <c r="C887" s="52" t="s">
        <v>19</v>
      </c>
      <c r="D887" s="52" t="s">
        <v>19</v>
      </c>
      <c r="E887" s="53" t="s">
        <v>19</v>
      </c>
      <c r="F887" t="s">
        <v>19</v>
      </c>
    </row>
    <row r="888" spans="2:6" x14ac:dyDescent="0.4">
      <c r="B888" s="54" t="s">
        <v>19</v>
      </c>
      <c r="C888" s="52" t="s">
        <v>19</v>
      </c>
      <c r="D888" s="52" t="s">
        <v>19</v>
      </c>
      <c r="E888" s="53" t="s">
        <v>19</v>
      </c>
      <c r="F888" t="s">
        <v>19</v>
      </c>
    </row>
    <row r="889" spans="2:6" x14ac:dyDescent="0.4">
      <c r="B889" s="54" t="s">
        <v>19</v>
      </c>
      <c r="C889" s="52" t="s">
        <v>19</v>
      </c>
      <c r="D889" s="52" t="s">
        <v>19</v>
      </c>
      <c r="E889" s="53" t="s">
        <v>19</v>
      </c>
      <c r="F889" t="s">
        <v>19</v>
      </c>
    </row>
    <row r="890" spans="2:6" x14ac:dyDescent="0.4">
      <c r="B890" s="54" t="s">
        <v>19</v>
      </c>
      <c r="C890" s="52" t="s">
        <v>19</v>
      </c>
      <c r="D890" s="52" t="s">
        <v>19</v>
      </c>
      <c r="E890" s="53" t="s">
        <v>19</v>
      </c>
      <c r="F890" t="s">
        <v>19</v>
      </c>
    </row>
    <row r="891" spans="2:6" x14ac:dyDescent="0.4">
      <c r="B891" s="54" t="s">
        <v>19</v>
      </c>
      <c r="C891" s="52" t="s">
        <v>19</v>
      </c>
      <c r="D891" s="52" t="s">
        <v>19</v>
      </c>
      <c r="E891" s="53" t="s">
        <v>19</v>
      </c>
      <c r="F891" t="s">
        <v>19</v>
      </c>
    </row>
    <row r="892" spans="2:6" x14ac:dyDescent="0.4">
      <c r="B892" s="54" t="s">
        <v>19</v>
      </c>
      <c r="C892" s="52" t="s">
        <v>19</v>
      </c>
      <c r="D892" s="52" t="s">
        <v>19</v>
      </c>
      <c r="E892" s="53" t="s">
        <v>19</v>
      </c>
      <c r="F892" t="s">
        <v>19</v>
      </c>
    </row>
    <row r="893" spans="2:6" x14ac:dyDescent="0.4">
      <c r="B893" s="54" t="s">
        <v>19</v>
      </c>
      <c r="C893" s="52" t="s">
        <v>19</v>
      </c>
      <c r="D893" s="52" t="s">
        <v>19</v>
      </c>
      <c r="E893" s="53" t="s">
        <v>19</v>
      </c>
      <c r="F893" t="s">
        <v>19</v>
      </c>
    </row>
    <row r="894" spans="2:6" x14ac:dyDescent="0.4">
      <c r="B894" s="54" t="s">
        <v>19</v>
      </c>
      <c r="C894" s="52" t="s">
        <v>19</v>
      </c>
      <c r="D894" s="52" t="s">
        <v>19</v>
      </c>
      <c r="E894" s="53" t="s">
        <v>19</v>
      </c>
      <c r="F894" t="s">
        <v>19</v>
      </c>
    </row>
    <row r="895" spans="2:6" x14ac:dyDescent="0.4">
      <c r="B895" s="54" t="s">
        <v>19</v>
      </c>
      <c r="C895" s="52" t="s">
        <v>19</v>
      </c>
      <c r="D895" s="52" t="s">
        <v>19</v>
      </c>
      <c r="E895" s="53" t="s">
        <v>19</v>
      </c>
      <c r="F895" t="s">
        <v>19</v>
      </c>
    </row>
    <row r="896" spans="2:6" x14ac:dyDescent="0.4">
      <c r="B896" s="54" t="s">
        <v>19</v>
      </c>
      <c r="C896" s="52" t="s">
        <v>19</v>
      </c>
      <c r="D896" s="52" t="s">
        <v>19</v>
      </c>
      <c r="E896" s="53" t="s">
        <v>19</v>
      </c>
      <c r="F896" t="s">
        <v>19</v>
      </c>
    </row>
    <row r="897" spans="2:6" x14ac:dyDescent="0.4">
      <c r="B897" s="54" t="s">
        <v>19</v>
      </c>
      <c r="C897" s="52" t="s">
        <v>19</v>
      </c>
      <c r="D897" s="52" t="s">
        <v>19</v>
      </c>
      <c r="E897" s="53" t="s">
        <v>19</v>
      </c>
      <c r="F897" t="s">
        <v>19</v>
      </c>
    </row>
    <row r="898" spans="2:6" x14ac:dyDescent="0.4">
      <c r="B898" s="54" t="s">
        <v>19</v>
      </c>
      <c r="C898" s="52" t="s">
        <v>19</v>
      </c>
      <c r="D898" s="52" t="s">
        <v>19</v>
      </c>
      <c r="E898" s="53" t="s">
        <v>19</v>
      </c>
      <c r="F898" t="s">
        <v>19</v>
      </c>
    </row>
    <row r="899" spans="2:6" x14ac:dyDescent="0.4">
      <c r="B899" s="54" t="s">
        <v>19</v>
      </c>
      <c r="C899" s="52" t="s">
        <v>19</v>
      </c>
      <c r="D899" s="52" t="s">
        <v>19</v>
      </c>
      <c r="E899" s="53" t="s">
        <v>19</v>
      </c>
      <c r="F899" t="s">
        <v>19</v>
      </c>
    </row>
    <row r="900" spans="2:6" x14ac:dyDescent="0.4">
      <c r="B900" s="54" t="s">
        <v>19</v>
      </c>
      <c r="C900" s="52" t="s">
        <v>19</v>
      </c>
      <c r="D900" s="52" t="s">
        <v>19</v>
      </c>
      <c r="E900" s="53" t="s">
        <v>19</v>
      </c>
      <c r="F900" t="s">
        <v>19</v>
      </c>
    </row>
    <row r="901" spans="2:6" x14ac:dyDescent="0.4">
      <c r="B901" s="54" t="s">
        <v>19</v>
      </c>
      <c r="C901" s="52" t="s">
        <v>19</v>
      </c>
      <c r="D901" s="52" t="s">
        <v>19</v>
      </c>
      <c r="E901" s="53" t="s">
        <v>19</v>
      </c>
      <c r="F901" t="s">
        <v>19</v>
      </c>
    </row>
    <row r="902" spans="2:6" x14ac:dyDescent="0.4">
      <c r="B902" s="54" t="s">
        <v>19</v>
      </c>
      <c r="C902" s="52" t="s">
        <v>19</v>
      </c>
      <c r="D902" s="52" t="s">
        <v>19</v>
      </c>
      <c r="E902" s="53" t="s">
        <v>19</v>
      </c>
      <c r="F902" t="s">
        <v>19</v>
      </c>
    </row>
    <row r="903" spans="2:6" x14ac:dyDescent="0.4">
      <c r="B903" s="54" t="s">
        <v>19</v>
      </c>
      <c r="C903" s="52" t="s">
        <v>19</v>
      </c>
      <c r="D903" s="52" t="s">
        <v>19</v>
      </c>
      <c r="E903" s="53" t="s">
        <v>19</v>
      </c>
      <c r="F903" t="s">
        <v>19</v>
      </c>
    </row>
    <row r="904" spans="2:6" x14ac:dyDescent="0.4">
      <c r="B904" s="54" t="s">
        <v>19</v>
      </c>
      <c r="C904" s="52" t="s">
        <v>19</v>
      </c>
      <c r="D904" s="52" t="s">
        <v>19</v>
      </c>
      <c r="E904" s="53" t="s">
        <v>19</v>
      </c>
      <c r="F904" t="s">
        <v>19</v>
      </c>
    </row>
    <row r="905" spans="2:6" x14ac:dyDescent="0.4">
      <c r="B905" s="54" t="s">
        <v>19</v>
      </c>
      <c r="C905" s="52" t="s">
        <v>19</v>
      </c>
      <c r="D905" s="52" t="s">
        <v>19</v>
      </c>
      <c r="E905" s="53" t="s">
        <v>19</v>
      </c>
      <c r="F905" t="s">
        <v>19</v>
      </c>
    </row>
    <row r="906" spans="2:6" x14ac:dyDescent="0.4">
      <c r="B906" s="54" t="s">
        <v>19</v>
      </c>
      <c r="C906" s="52" t="s">
        <v>19</v>
      </c>
      <c r="D906" s="52" t="s">
        <v>19</v>
      </c>
      <c r="E906" s="53" t="s">
        <v>19</v>
      </c>
      <c r="F906" t="s">
        <v>19</v>
      </c>
    </row>
    <row r="907" spans="2:6" x14ac:dyDescent="0.4">
      <c r="B907" s="54" t="s">
        <v>19</v>
      </c>
      <c r="C907" s="52" t="s">
        <v>19</v>
      </c>
      <c r="D907" s="52" t="s">
        <v>19</v>
      </c>
      <c r="E907" s="53" t="s">
        <v>19</v>
      </c>
      <c r="F907" t="s">
        <v>19</v>
      </c>
    </row>
    <row r="908" spans="2:6" x14ac:dyDescent="0.4">
      <c r="B908" s="54" t="s">
        <v>19</v>
      </c>
      <c r="C908" s="52" t="s">
        <v>19</v>
      </c>
      <c r="D908" s="52" t="s">
        <v>19</v>
      </c>
      <c r="E908" s="53" t="s">
        <v>19</v>
      </c>
      <c r="F908" t="s">
        <v>19</v>
      </c>
    </row>
    <row r="909" spans="2:6" x14ac:dyDescent="0.4">
      <c r="B909" s="54" t="s">
        <v>19</v>
      </c>
      <c r="C909" s="52" t="s">
        <v>19</v>
      </c>
      <c r="D909" s="52" t="s">
        <v>19</v>
      </c>
      <c r="E909" s="53" t="s">
        <v>19</v>
      </c>
      <c r="F909" t="s">
        <v>19</v>
      </c>
    </row>
    <row r="910" spans="2:6" x14ac:dyDescent="0.4">
      <c r="B910" s="54" t="s">
        <v>19</v>
      </c>
      <c r="C910" s="52" t="s">
        <v>19</v>
      </c>
      <c r="D910" s="52" t="s">
        <v>19</v>
      </c>
      <c r="E910" s="53" t="s">
        <v>19</v>
      </c>
      <c r="F910" t="s">
        <v>19</v>
      </c>
    </row>
    <row r="911" spans="2:6" x14ac:dyDescent="0.4">
      <c r="B911" s="54" t="s">
        <v>19</v>
      </c>
      <c r="C911" s="52" t="s">
        <v>19</v>
      </c>
      <c r="D911" s="52" t="s">
        <v>19</v>
      </c>
      <c r="E911" s="53" t="s">
        <v>19</v>
      </c>
      <c r="F911" t="s">
        <v>19</v>
      </c>
    </row>
    <row r="912" spans="2:6" x14ac:dyDescent="0.4">
      <c r="B912" s="54" t="s">
        <v>19</v>
      </c>
      <c r="C912" s="52" t="s">
        <v>19</v>
      </c>
      <c r="D912" s="52" t="s">
        <v>19</v>
      </c>
      <c r="E912" s="53" t="s">
        <v>19</v>
      </c>
      <c r="F912" t="s">
        <v>19</v>
      </c>
    </row>
    <row r="913" spans="2:6" x14ac:dyDescent="0.4">
      <c r="B913" s="54" t="s">
        <v>19</v>
      </c>
      <c r="C913" s="52" t="s">
        <v>19</v>
      </c>
      <c r="D913" s="52" t="s">
        <v>19</v>
      </c>
      <c r="E913" s="53" t="s">
        <v>19</v>
      </c>
      <c r="F913" t="s">
        <v>19</v>
      </c>
    </row>
    <row r="914" spans="2:6" x14ac:dyDescent="0.4">
      <c r="B914" s="54" t="s">
        <v>19</v>
      </c>
      <c r="C914" s="52" t="s">
        <v>19</v>
      </c>
      <c r="D914" s="52" t="s">
        <v>19</v>
      </c>
      <c r="E914" s="53" t="s">
        <v>19</v>
      </c>
      <c r="F914" t="s">
        <v>19</v>
      </c>
    </row>
    <row r="915" spans="2:6" x14ac:dyDescent="0.4">
      <c r="B915" s="54" t="s">
        <v>19</v>
      </c>
      <c r="C915" s="52" t="s">
        <v>19</v>
      </c>
      <c r="D915" s="52" t="s">
        <v>19</v>
      </c>
      <c r="E915" s="53" t="s">
        <v>19</v>
      </c>
      <c r="F915" t="s">
        <v>19</v>
      </c>
    </row>
    <row r="916" spans="2:6" x14ac:dyDescent="0.4">
      <c r="B916" s="54" t="s">
        <v>19</v>
      </c>
      <c r="C916" s="52" t="s">
        <v>19</v>
      </c>
      <c r="D916" s="52" t="s">
        <v>19</v>
      </c>
      <c r="E916" s="53" t="s">
        <v>19</v>
      </c>
      <c r="F916" t="s">
        <v>19</v>
      </c>
    </row>
    <row r="917" spans="2:6" x14ac:dyDescent="0.4">
      <c r="B917" s="54" t="s">
        <v>19</v>
      </c>
      <c r="C917" s="52" t="s">
        <v>19</v>
      </c>
      <c r="D917" s="52" t="s">
        <v>19</v>
      </c>
      <c r="E917" s="53" t="s">
        <v>19</v>
      </c>
      <c r="F917" t="s">
        <v>19</v>
      </c>
    </row>
    <row r="918" spans="2:6" x14ac:dyDescent="0.4">
      <c r="B918" s="54" t="s">
        <v>19</v>
      </c>
      <c r="C918" s="52" t="s">
        <v>19</v>
      </c>
      <c r="D918" s="52" t="s">
        <v>19</v>
      </c>
      <c r="E918" s="53" t="s">
        <v>19</v>
      </c>
      <c r="F918" t="s">
        <v>19</v>
      </c>
    </row>
    <row r="919" spans="2:6" x14ac:dyDescent="0.4">
      <c r="B919" s="54" t="s">
        <v>19</v>
      </c>
      <c r="C919" s="52" t="s">
        <v>19</v>
      </c>
      <c r="D919" s="52" t="s">
        <v>19</v>
      </c>
      <c r="E919" s="53" t="s">
        <v>19</v>
      </c>
      <c r="F919" t="s">
        <v>19</v>
      </c>
    </row>
    <row r="920" spans="2:6" x14ac:dyDescent="0.4">
      <c r="B920" s="54" t="s">
        <v>19</v>
      </c>
      <c r="C920" s="52" t="s">
        <v>19</v>
      </c>
      <c r="D920" s="52" t="s">
        <v>19</v>
      </c>
      <c r="E920" s="53" t="s">
        <v>19</v>
      </c>
      <c r="F920" t="s">
        <v>19</v>
      </c>
    </row>
    <row r="921" spans="2:6" x14ac:dyDescent="0.4">
      <c r="B921" s="54" t="s">
        <v>19</v>
      </c>
      <c r="C921" s="52" t="s">
        <v>19</v>
      </c>
      <c r="D921" s="52" t="s">
        <v>19</v>
      </c>
      <c r="E921" s="53" t="s">
        <v>19</v>
      </c>
      <c r="F921" t="s">
        <v>19</v>
      </c>
    </row>
    <row r="922" spans="2:6" x14ac:dyDescent="0.4">
      <c r="B922" s="54" t="s">
        <v>19</v>
      </c>
      <c r="C922" s="52" t="s">
        <v>19</v>
      </c>
      <c r="D922" s="52" t="s">
        <v>19</v>
      </c>
      <c r="E922" s="53" t="s">
        <v>19</v>
      </c>
      <c r="F922" t="s">
        <v>19</v>
      </c>
    </row>
    <row r="923" spans="2:6" x14ac:dyDescent="0.4">
      <c r="B923" s="54" t="s">
        <v>19</v>
      </c>
      <c r="C923" s="52" t="s">
        <v>19</v>
      </c>
      <c r="D923" s="52" t="s">
        <v>19</v>
      </c>
      <c r="E923" s="53" t="s">
        <v>19</v>
      </c>
      <c r="F923" t="s">
        <v>19</v>
      </c>
    </row>
    <row r="924" spans="2:6" x14ac:dyDescent="0.4">
      <c r="B924" s="54" t="s">
        <v>19</v>
      </c>
      <c r="C924" s="52" t="s">
        <v>19</v>
      </c>
      <c r="D924" s="52" t="s">
        <v>19</v>
      </c>
      <c r="E924" s="53" t="s">
        <v>19</v>
      </c>
      <c r="F924" t="s">
        <v>19</v>
      </c>
    </row>
    <row r="925" spans="2:6" x14ac:dyDescent="0.4">
      <c r="B925" s="54" t="s">
        <v>19</v>
      </c>
      <c r="C925" s="52" t="s">
        <v>19</v>
      </c>
      <c r="D925" s="52" t="s">
        <v>19</v>
      </c>
      <c r="E925" s="53" t="s">
        <v>19</v>
      </c>
      <c r="F925" t="s">
        <v>19</v>
      </c>
    </row>
    <row r="926" spans="2:6" x14ac:dyDescent="0.4">
      <c r="B926" s="54" t="s">
        <v>19</v>
      </c>
      <c r="C926" s="52" t="s">
        <v>19</v>
      </c>
      <c r="D926" s="52" t="s">
        <v>19</v>
      </c>
      <c r="E926" s="53" t="s">
        <v>19</v>
      </c>
      <c r="F926" t="s">
        <v>19</v>
      </c>
    </row>
    <row r="927" spans="2:6" x14ac:dyDescent="0.4">
      <c r="B927" s="54" t="s">
        <v>19</v>
      </c>
      <c r="C927" s="52" t="s">
        <v>19</v>
      </c>
      <c r="D927" s="52" t="s">
        <v>19</v>
      </c>
      <c r="E927" s="53" t="s">
        <v>19</v>
      </c>
      <c r="F927" t="s">
        <v>19</v>
      </c>
    </row>
    <row r="928" spans="2:6" x14ac:dyDescent="0.4">
      <c r="B928" s="54" t="s">
        <v>19</v>
      </c>
      <c r="C928" s="52" t="s">
        <v>19</v>
      </c>
      <c r="D928" s="52" t="s">
        <v>19</v>
      </c>
      <c r="E928" s="53" t="s">
        <v>19</v>
      </c>
      <c r="F928" t="s">
        <v>19</v>
      </c>
    </row>
    <row r="929" spans="2:6" x14ac:dyDescent="0.4">
      <c r="B929" s="54" t="s">
        <v>19</v>
      </c>
      <c r="C929" s="52" t="s">
        <v>19</v>
      </c>
      <c r="D929" s="52" t="s">
        <v>19</v>
      </c>
      <c r="E929" s="53" t="s">
        <v>19</v>
      </c>
      <c r="F929" t="s">
        <v>19</v>
      </c>
    </row>
    <row r="930" spans="2:6" x14ac:dyDescent="0.4">
      <c r="B930" s="54" t="s">
        <v>19</v>
      </c>
      <c r="C930" s="52" t="s">
        <v>19</v>
      </c>
      <c r="D930" s="52" t="s">
        <v>19</v>
      </c>
      <c r="E930" s="53" t="s">
        <v>19</v>
      </c>
      <c r="F930" t="s">
        <v>19</v>
      </c>
    </row>
    <row r="931" spans="2:6" x14ac:dyDescent="0.4">
      <c r="B931" s="54" t="s">
        <v>19</v>
      </c>
      <c r="C931" s="52" t="s">
        <v>19</v>
      </c>
      <c r="D931" s="52" t="s">
        <v>19</v>
      </c>
      <c r="E931" s="53" t="s">
        <v>19</v>
      </c>
      <c r="F931" t="s">
        <v>19</v>
      </c>
    </row>
    <row r="932" spans="2:6" x14ac:dyDescent="0.4">
      <c r="B932" s="54" t="s">
        <v>19</v>
      </c>
      <c r="C932" s="52" t="s">
        <v>19</v>
      </c>
      <c r="D932" s="52" t="s">
        <v>19</v>
      </c>
      <c r="E932" s="53" t="s">
        <v>19</v>
      </c>
      <c r="F932" t="s">
        <v>19</v>
      </c>
    </row>
    <row r="933" spans="2:6" x14ac:dyDescent="0.4">
      <c r="B933" s="54" t="s">
        <v>19</v>
      </c>
      <c r="C933" s="52" t="s">
        <v>19</v>
      </c>
      <c r="D933" s="52" t="s">
        <v>19</v>
      </c>
      <c r="E933" s="53" t="s">
        <v>19</v>
      </c>
      <c r="F933" t="s">
        <v>19</v>
      </c>
    </row>
    <row r="934" spans="2:6" x14ac:dyDescent="0.4">
      <c r="B934" s="54" t="s">
        <v>19</v>
      </c>
      <c r="C934" s="52" t="s">
        <v>19</v>
      </c>
      <c r="D934" s="52" t="s">
        <v>19</v>
      </c>
      <c r="E934" s="53" t="s">
        <v>19</v>
      </c>
      <c r="F934" t="s">
        <v>19</v>
      </c>
    </row>
    <row r="935" spans="2:6" x14ac:dyDescent="0.4">
      <c r="B935" s="54" t="s">
        <v>19</v>
      </c>
      <c r="C935" s="52" t="s">
        <v>19</v>
      </c>
      <c r="D935" s="52" t="s">
        <v>19</v>
      </c>
      <c r="E935" s="53" t="s">
        <v>19</v>
      </c>
      <c r="F935" t="s">
        <v>19</v>
      </c>
    </row>
    <row r="936" spans="2:6" x14ac:dyDescent="0.4">
      <c r="B936" s="54" t="s">
        <v>19</v>
      </c>
      <c r="C936" s="52" t="s">
        <v>19</v>
      </c>
      <c r="D936" s="52" t="s">
        <v>19</v>
      </c>
      <c r="E936" s="53" t="s">
        <v>19</v>
      </c>
      <c r="F936" t="s">
        <v>19</v>
      </c>
    </row>
    <row r="937" spans="2:6" x14ac:dyDescent="0.4">
      <c r="B937" s="54" t="s">
        <v>19</v>
      </c>
      <c r="C937" s="52" t="s">
        <v>19</v>
      </c>
      <c r="D937" s="52" t="s">
        <v>19</v>
      </c>
      <c r="E937" s="53" t="s">
        <v>19</v>
      </c>
      <c r="F937" t="s">
        <v>19</v>
      </c>
    </row>
    <row r="938" spans="2:6" x14ac:dyDescent="0.4">
      <c r="B938" s="54" t="s">
        <v>19</v>
      </c>
      <c r="C938" s="52" t="s">
        <v>19</v>
      </c>
      <c r="D938" s="52" t="s">
        <v>19</v>
      </c>
      <c r="E938" s="53" t="s">
        <v>19</v>
      </c>
      <c r="F938" t="s">
        <v>19</v>
      </c>
    </row>
    <row r="939" spans="2:6" x14ac:dyDescent="0.4">
      <c r="B939" s="54" t="s">
        <v>19</v>
      </c>
      <c r="C939" s="52" t="s">
        <v>19</v>
      </c>
      <c r="D939" s="52" t="s">
        <v>19</v>
      </c>
      <c r="E939" s="53" t="s">
        <v>19</v>
      </c>
      <c r="F939" t="s">
        <v>19</v>
      </c>
    </row>
    <row r="940" spans="2:6" x14ac:dyDescent="0.4">
      <c r="B940" s="54" t="s">
        <v>19</v>
      </c>
      <c r="C940" s="52" t="s">
        <v>19</v>
      </c>
      <c r="D940" s="52" t="s">
        <v>19</v>
      </c>
      <c r="E940" s="53" t="s">
        <v>19</v>
      </c>
      <c r="F940" t="s">
        <v>19</v>
      </c>
    </row>
    <row r="941" spans="2:6" x14ac:dyDescent="0.4">
      <c r="B941" s="54" t="s">
        <v>19</v>
      </c>
      <c r="C941" s="52" t="s">
        <v>19</v>
      </c>
      <c r="D941" s="52" t="s">
        <v>19</v>
      </c>
      <c r="E941" s="53" t="s">
        <v>19</v>
      </c>
      <c r="F941" t="s">
        <v>19</v>
      </c>
    </row>
    <row r="942" spans="2:6" x14ac:dyDescent="0.4">
      <c r="B942" s="54" t="s">
        <v>19</v>
      </c>
      <c r="C942" s="52" t="s">
        <v>19</v>
      </c>
      <c r="D942" s="52" t="s">
        <v>19</v>
      </c>
      <c r="E942" s="53" t="s">
        <v>19</v>
      </c>
      <c r="F942" t="s">
        <v>19</v>
      </c>
    </row>
    <row r="943" spans="2:6" x14ac:dyDescent="0.4">
      <c r="B943" s="54" t="s">
        <v>19</v>
      </c>
      <c r="C943" s="52" t="s">
        <v>19</v>
      </c>
      <c r="D943" s="52" t="s">
        <v>19</v>
      </c>
      <c r="E943" s="53" t="s">
        <v>19</v>
      </c>
      <c r="F943" t="s">
        <v>19</v>
      </c>
    </row>
    <row r="944" spans="2:6" x14ac:dyDescent="0.4">
      <c r="B944" s="54" t="s">
        <v>19</v>
      </c>
      <c r="C944" s="52" t="s">
        <v>19</v>
      </c>
      <c r="D944" s="52" t="s">
        <v>19</v>
      </c>
      <c r="E944" s="53" t="s">
        <v>19</v>
      </c>
      <c r="F944" t="s">
        <v>19</v>
      </c>
    </row>
    <row r="945" spans="2:6" x14ac:dyDescent="0.4">
      <c r="B945" s="54" t="s">
        <v>19</v>
      </c>
      <c r="C945" s="52" t="s">
        <v>19</v>
      </c>
      <c r="D945" s="52" t="s">
        <v>19</v>
      </c>
      <c r="E945" s="53" t="s">
        <v>19</v>
      </c>
      <c r="F945" t="s">
        <v>19</v>
      </c>
    </row>
    <row r="946" spans="2:6" x14ac:dyDescent="0.4">
      <c r="B946" s="54" t="s">
        <v>19</v>
      </c>
      <c r="C946" s="52" t="s">
        <v>19</v>
      </c>
      <c r="D946" s="52" t="s">
        <v>19</v>
      </c>
      <c r="E946" s="53" t="s">
        <v>19</v>
      </c>
      <c r="F946" t="s">
        <v>19</v>
      </c>
    </row>
    <row r="947" spans="2:6" x14ac:dyDescent="0.4">
      <c r="B947" s="54" t="s">
        <v>19</v>
      </c>
      <c r="C947" s="52" t="s">
        <v>19</v>
      </c>
      <c r="D947" s="52" t="s">
        <v>19</v>
      </c>
      <c r="E947" s="53" t="s">
        <v>19</v>
      </c>
      <c r="F947" t="s">
        <v>19</v>
      </c>
    </row>
    <row r="948" spans="2:6" x14ac:dyDescent="0.4">
      <c r="B948" s="54" t="s">
        <v>19</v>
      </c>
      <c r="C948" s="52" t="s">
        <v>19</v>
      </c>
      <c r="D948" s="52" t="s">
        <v>19</v>
      </c>
      <c r="E948" s="53" t="s">
        <v>19</v>
      </c>
      <c r="F948" t="s">
        <v>19</v>
      </c>
    </row>
    <row r="949" spans="2:6" x14ac:dyDescent="0.4">
      <c r="B949" s="54" t="s">
        <v>19</v>
      </c>
      <c r="C949" s="52" t="s">
        <v>19</v>
      </c>
      <c r="D949" s="52" t="s">
        <v>19</v>
      </c>
      <c r="E949" s="53" t="s">
        <v>19</v>
      </c>
      <c r="F949" t="s">
        <v>19</v>
      </c>
    </row>
    <row r="950" spans="2:6" x14ac:dyDescent="0.4">
      <c r="B950" s="54" t="s">
        <v>19</v>
      </c>
      <c r="C950" s="52" t="s">
        <v>19</v>
      </c>
      <c r="D950" s="52" t="s">
        <v>19</v>
      </c>
      <c r="E950" s="53" t="s">
        <v>19</v>
      </c>
      <c r="F950" t="s">
        <v>19</v>
      </c>
    </row>
    <row r="951" spans="2:6" x14ac:dyDescent="0.4">
      <c r="B951" s="54" t="s">
        <v>19</v>
      </c>
      <c r="C951" s="52" t="s">
        <v>19</v>
      </c>
      <c r="D951" s="52" t="s">
        <v>19</v>
      </c>
      <c r="E951" s="53" t="s">
        <v>19</v>
      </c>
      <c r="F951" t="s">
        <v>19</v>
      </c>
    </row>
    <row r="952" spans="2:6" x14ac:dyDescent="0.4">
      <c r="B952" s="54" t="s">
        <v>19</v>
      </c>
      <c r="C952" s="52" t="s">
        <v>19</v>
      </c>
      <c r="D952" s="52" t="s">
        <v>19</v>
      </c>
      <c r="E952" s="53" t="s">
        <v>19</v>
      </c>
      <c r="F952" t="s">
        <v>19</v>
      </c>
    </row>
    <row r="953" spans="2:6" x14ac:dyDescent="0.4">
      <c r="B953" s="54" t="s">
        <v>19</v>
      </c>
      <c r="C953" s="52" t="s">
        <v>19</v>
      </c>
      <c r="D953" s="52" t="s">
        <v>19</v>
      </c>
      <c r="E953" s="53" t="s">
        <v>19</v>
      </c>
      <c r="F953" t="s">
        <v>19</v>
      </c>
    </row>
    <row r="954" spans="2:6" x14ac:dyDescent="0.4">
      <c r="B954" s="54" t="s">
        <v>19</v>
      </c>
      <c r="C954" s="52" t="s">
        <v>19</v>
      </c>
      <c r="D954" s="52" t="s">
        <v>19</v>
      </c>
      <c r="E954" s="53" t="s">
        <v>19</v>
      </c>
      <c r="F954" t="s">
        <v>19</v>
      </c>
    </row>
    <row r="955" spans="2:6" x14ac:dyDescent="0.4">
      <c r="B955" s="54" t="s">
        <v>19</v>
      </c>
      <c r="C955" s="52" t="s">
        <v>19</v>
      </c>
      <c r="D955" s="52" t="s">
        <v>19</v>
      </c>
      <c r="E955" s="53" t="s">
        <v>19</v>
      </c>
      <c r="F955" t="s">
        <v>19</v>
      </c>
    </row>
    <row r="956" spans="2:6" x14ac:dyDescent="0.4">
      <c r="B956" s="54" t="s">
        <v>19</v>
      </c>
      <c r="C956" s="52" t="s">
        <v>19</v>
      </c>
      <c r="D956" s="52" t="s">
        <v>19</v>
      </c>
      <c r="E956" s="53" t="s">
        <v>19</v>
      </c>
      <c r="F956" t="s">
        <v>19</v>
      </c>
    </row>
    <row r="957" spans="2:6" x14ac:dyDescent="0.4">
      <c r="B957" s="54" t="s">
        <v>19</v>
      </c>
      <c r="C957" s="52" t="s">
        <v>19</v>
      </c>
      <c r="D957" s="52" t="s">
        <v>19</v>
      </c>
      <c r="E957" s="53" t="s">
        <v>19</v>
      </c>
      <c r="F957" t="s">
        <v>19</v>
      </c>
    </row>
    <row r="958" spans="2:6" x14ac:dyDescent="0.4">
      <c r="B958" s="54" t="s">
        <v>19</v>
      </c>
      <c r="C958" s="52" t="s">
        <v>19</v>
      </c>
      <c r="D958" s="52" t="s">
        <v>19</v>
      </c>
      <c r="E958" s="53" t="s">
        <v>19</v>
      </c>
      <c r="F958" t="s">
        <v>19</v>
      </c>
    </row>
    <row r="959" spans="2:6" x14ac:dyDescent="0.4">
      <c r="B959" s="54" t="s">
        <v>19</v>
      </c>
      <c r="C959" s="52" t="s">
        <v>19</v>
      </c>
      <c r="D959" s="52" t="s">
        <v>19</v>
      </c>
      <c r="E959" s="53" t="s">
        <v>19</v>
      </c>
      <c r="F959" t="s">
        <v>19</v>
      </c>
    </row>
    <row r="960" spans="2:6" x14ac:dyDescent="0.4">
      <c r="B960" s="54" t="s">
        <v>19</v>
      </c>
      <c r="C960" s="52" t="s">
        <v>19</v>
      </c>
      <c r="D960" s="52" t="s">
        <v>19</v>
      </c>
      <c r="E960" s="53" t="s">
        <v>19</v>
      </c>
      <c r="F960" t="s">
        <v>19</v>
      </c>
    </row>
    <row r="961" spans="2:6" x14ac:dyDescent="0.4">
      <c r="B961" s="54" t="s">
        <v>19</v>
      </c>
      <c r="C961" s="52" t="s">
        <v>19</v>
      </c>
      <c r="D961" s="52" t="s">
        <v>19</v>
      </c>
      <c r="E961" s="53" t="s">
        <v>19</v>
      </c>
      <c r="F961" t="s">
        <v>19</v>
      </c>
    </row>
    <row r="962" spans="2:6" x14ac:dyDescent="0.4">
      <c r="B962" s="54" t="s">
        <v>19</v>
      </c>
      <c r="C962" s="52" t="s">
        <v>19</v>
      </c>
      <c r="D962" s="52" t="s">
        <v>19</v>
      </c>
      <c r="E962" s="53" t="s">
        <v>19</v>
      </c>
      <c r="F962" t="s">
        <v>19</v>
      </c>
    </row>
    <row r="963" spans="2:6" x14ac:dyDescent="0.4">
      <c r="B963" s="54" t="s">
        <v>19</v>
      </c>
      <c r="C963" s="52" t="s">
        <v>19</v>
      </c>
      <c r="D963" s="52" t="s">
        <v>19</v>
      </c>
      <c r="E963" s="53" t="s">
        <v>19</v>
      </c>
      <c r="F963" t="s">
        <v>19</v>
      </c>
    </row>
    <row r="964" spans="2:6" x14ac:dyDescent="0.4">
      <c r="B964" s="54" t="s">
        <v>19</v>
      </c>
      <c r="C964" s="52" t="s">
        <v>19</v>
      </c>
      <c r="D964" s="52" t="s">
        <v>19</v>
      </c>
      <c r="E964" s="53" t="s">
        <v>19</v>
      </c>
      <c r="F964" t="s">
        <v>19</v>
      </c>
    </row>
    <row r="965" spans="2:6" x14ac:dyDescent="0.4">
      <c r="B965" s="54" t="s">
        <v>19</v>
      </c>
      <c r="C965" s="52" t="s">
        <v>19</v>
      </c>
      <c r="D965" s="52" t="s">
        <v>19</v>
      </c>
      <c r="E965" s="53" t="s">
        <v>19</v>
      </c>
      <c r="F965" t="s">
        <v>19</v>
      </c>
    </row>
    <row r="966" spans="2:6" x14ac:dyDescent="0.4">
      <c r="B966" s="54" t="s">
        <v>19</v>
      </c>
      <c r="C966" s="52" t="s">
        <v>19</v>
      </c>
      <c r="D966" s="52" t="s">
        <v>19</v>
      </c>
      <c r="E966" s="53" t="s">
        <v>19</v>
      </c>
      <c r="F966" t="s">
        <v>19</v>
      </c>
    </row>
    <row r="967" spans="2:6" x14ac:dyDescent="0.4">
      <c r="B967" s="54" t="s">
        <v>19</v>
      </c>
      <c r="C967" s="52" t="s">
        <v>19</v>
      </c>
      <c r="D967" s="52" t="s">
        <v>19</v>
      </c>
      <c r="E967" s="53" t="s">
        <v>19</v>
      </c>
      <c r="F967" t="s">
        <v>19</v>
      </c>
    </row>
    <row r="968" spans="2:6" x14ac:dyDescent="0.4">
      <c r="B968" s="54" t="s">
        <v>19</v>
      </c>
      <c r="C968" s="52" t="s">
        <v>19</v>
      </c>
      <c r="D968" s="52" t="s">
        <v>19</v>
      </c>
      <c r="E968" s="53" t="s">
        <v>19</v>
      </c>
      <c r="F968" t="s">
        <v>19</v>
      </c>
    </row>
    <row r="969" spans="2:6" x14ac:dyDescent="0.4">
      <c r="B969" s="54" t="s">
        <v>19</v>
      </c>
      <c r="C969" s="52" t="s">
        <v>19</v>
      </c>
      <c r="D969" s="52" t="s">
        <v>19</v>
      </c>
      <c r="E969" s="53" t="s">
        <v>19</v>
      </c>
      <c r="F969" t="s">
        <v>19</v>
      </c>
    </row>
    <row r="970" spans="2:6" x14ac:dyDescent="0.4">
      <c r="B970" s="54" t="s">
        <v>19</v>
      </c>
      <c r="C970" s="52" t="s">
        <v>19</v>
      </c>
      <c r="D970" s="52" t="s">
        <v>19</v>
      </c>
      <c r="E970" s="53" t="s">
        <v>19</v>
      </c>
      <c r="F970" t="s">
        <v>19</v>
      </c>
    </row>
    <row r="971" spans="2:6" x14ac:dyDescent="0.4">
      <c r="B971" s="54" t="s">
        <v>19</v>
      </c>
      <c r="C971" s="52" t="s">
        <v>19</v>
      </c>
      <c r="D971" s="52" t="s">
        <v>19</v>
      </c>
      <c r="E971" s="53" t="s">
        <v>19</v>
      </c>
      <c r="F971" t="s">
        <v>19</v>
      </c>
    </row>
    <row r="972" spans="2:6" x14ac:dyDescent="0.4">
      <c r="B972" s="54" t="s">
        <v>19</v>
      </c>
      <c r="C972" s="52" t="s">
        <v>19</v>
      </c>
      <c r="D972" s="52" t="s">
        <v>19</v>
      </c>
      <c r="E972" s="53" t="s">
        <v>19</v>
      </c>
      <c r="F972" t="s">
        <v>19</v>
      </c>
    </row>
    <row r="973" spans="2:6" x14ac:dyDescent="0.4">
      <c r="B973" s="54" t="s">
        <v>19</v>
      </c>
      <c r="C973" s="52" t="s">
        <v>19</v>
      </c>
      <c r="D973" s="52" t="s">
        <v>19</v>
      </c>
      <c r="E973" s="53" t="s">
        <v>19</v>
      </c>
      <c r="F973" t="s">
        <v>19</v>
      </c>
    </row>
    <row r="974" spans="2:6" x14ac:dyDescent="0.4">
      <c r="B974" s="54" t="s">
        <v>19</v>
      </c>
      <c r="C974" s="52" t="s">
        <v>19</v>
      </c>
      <c r="D974" s="52" t="s">
        <v>19</v>
      </c>
      <c r="E974" s="53" t="s">
        <v>19</v>
      </c>
      <c r="F974" t="s">
        <v>19</v>
      </c>
    </row>
    <row r="975" spans="2:6" x14ac:dyDescent="0.4">
      <c r="B975" s="54" t="s">
        <v>19</v>
      </c>
      <c r="C975" s="52" t="s">
        <v>19</v>
      </c>
      <c r="D975" s="52" t="s">
        <v>19</v>
      </c>
      <c r="E975" s="53" t="s">
        <v>19</v>
      </c>
      <c r="F975" t="s">
        <v>19</v>
      </c>
    </row>
    <row r="976" spans="2:6" x14ac:dyDescent="0.4">
      <c r="B976" s="54" t="s">
        <v>19</v>
      </c>
      <c r="C976" s="52" t="s">
        <v>19</v>
      </c>
      <c r="D976" s="52" t="s">
        <v>19</v>
      </c>
      <c r="E976" s="53" t="s">
        <v>19</v>
      </c>
      <c r="F976" t="s">
        <v>19</v>
      </c>
    </row>
    <row r="977" spans="2:6" x14ac:dyDescent="0.4">
      <c r="B977" s="54" t="s">
        <v>19</v>
      </c>
      <c r="C977" s="52" t="s">
        <v>19</v>
      </c>
      <c r="D977" s="52" t="s">
        <v>19</v>
      </c>
      <c r="E977" s="53" t="s">
        <v>19</v>
      </c>
      <c r="F977" t="s">
        <v>19</v>
      </c>
    </row>
    <row r="978" spans="2:6" x14ac:dyDescent="0.4">
      <c r="B978" s="54" t="s">
        <v>19</v>
      </c>
      <c r="C978" s="52" t="s">
        <v>19</v>
      </c>
      <c r="D978" s="52" t="s">
        <v>19</v>
      </c>
      <c r="E978" s="53" t="s">
        <v>19</v>
      </c>
      <c r="F978" t="s">
        <v>19</v>
      </c>
    </row>
    <row r="979" spans="2:6" x14ac:dyDescent="0.4">
      <c r="B979" s="54" t="s">
        <v>19</v>
      </c>
      <c r="C979" s="52" t="s">
        <v>19</v>
      </c>
      <c r="D979" s="52" t="s">
        <v>19</v>
      </c>
      <c r="E979" s="53" t="s">
        <v>19</v>
      </c>
      <c r="F979" t="s">
        <v>19</v>
      </c>
    </row>
    <row r="980" spans="2:6" x14ac:dyDescent="0.4">
      <c r="B980" s="54" t="s">
        <v>19</v>
      </c>
      <c r="C980" s="52" t="s">
        <v>19</v>
      </c>
      <c r="D980" s="52" t="s">
        <v>19</v>
      </c>
      <c r="E980" s="53" t="s">
        <v>19</v>
      </c>
      <c r="F980" t="s">
        <v>19</v>
      </c>
    </row>
    <row r="981" spans="2:6" x14ac:dyDescent="0.4">
      <c r="B981" s="54" t="s">
        <v>19</v>
      </c>
      <c r="C981" s="52" t="s">
        <v>19</v>
      </c>
      <c r="D981" s="52" t="s">
        <v>19</v>
      </c>
      <c r="E981" s="53" t="s">
        <v>19</v>
      </c>
      <c r="F981" t="s">
        <v>19</v>
      </c>
    </row>
    <row r="982" spans="2:6" x14ac:dyDescent="0.4">
      <c r="B982" s="54" t="s">
        <v>19</v>
      </c>
      <c r="C982" s="52" t="s">
        <v>19</v>
      </c>
      <c r="D982" s="52" t="s">
        <v>19</v>
      </c>
      <c r="E982" s="53" t="s">
        <v>19</v>
      </c>
      <c r="F982" t="s">
        <v>19</v>
      </c>
    </row>
    <row r="983" spans="2:6" x14ac:dyDescent="0.4">
      <c r="B983" s="54" t="s">
        <v>19</v>
      </c>
      <c r="C983" s="52" t="s">
        <v>19</v>
      </c>
      <c r="D983" s="52" t="s">
        <v>19</v>
      </c>
      <c r="E983" s="53" t="s">
        <v>19</v>
      </c>
      <c r="F983" t="s">
        <v>19</v>
      </c>
    </row>
    <row r="984" spans="2:6" x14ac:dyDescent="0.4">
      <c r="B984" s="54" t="s">
        <v>19</v>
      </c>
      <c r="C984" s="52" t="s">
        <v>19</v>
      </c>
      <c r="D984" s="52" t="s">
        <v>19</v>
      </c>
      <c r="E984" s="53" t="s">
        <v>19</v>
      </c>
      <c r="F984" t="s">
        <v>19</v>
      </c>
    </row>
    <row r="985" spans="2:6" x14ac:dyDescent="0.4">
      <c r="B985" s="54" t="s">
        <v>19</v>
      </c>
      <c r="C985" s="52" t="s">
        <v>19</v>
      </c>
      <c r="D985" s="52" t="s">
        <v>19</v>
      </c>
      <c r="E985" s="53" t="s">
        <v>19</v>
      </c>
      <c r="F985" t="s">
        <v>19</v>
      </c>
    </row>
    <row r="986" spans="2:6" x14ac:dyDescent="0.4">
      <c r="B986" s="54" t="s">
        <v>19</v>
      </c>
      <c r="C986" s="52" t="s">
        <v>19</v>
      </c>
      <c r="D986" s="52" t="s">
        <v>19</v>
      </c>
      <c r="E986" s="53" t="s">
        <v>19</v>
      </c>
      <c r="F986" t="s">
        <v>19</v>
      </c>
    </row>
    <row r="987" spans="2:6" x14ac:dyDescent="0.4">
      <c r="B987" s="54" t="s">
        <v>19</v>
      </c>
      <c r="C987" s="52" t="s">
        <v>19</v>
      </c>
      <c r="D987" s="52" t="s">
        <v>19</v>
      </c>
      <c r="E987" s="53" t="s">
        <v>19</v>
      </c>
      <c r="F987" t="s">
        <v>19</v>
      </c>
    </row>
    <row r="988" spans="2:6" x14ac:dyDescent="0.4">
      <c r="B988" s="54" t="s">
        <v>19</v>
      </c>
      <c r="C988" s="52" t="s">
        <v>19</v>
      </c>
      <c r="D988" s="52" t="s">
        <v>19</v>
      </c>
      <c r="E988" s="53" t="s">
        <v>19</v>
      </c>
      <c r="F988" t="s">
        <v>19</v>
      </c>
    </row>
    <row r="989" spans="2:6" x14ac:dyDescent="0.4">
      <c r="B989" s="54" t="s">
        <v>19</v>
      </c>
      <c r="C989" s="52" t="s">
        <v>19</v>
      </c>
      <c r="D989" s="52" t="s">
        <v>19</v>
      </c>
      <c r="E989" s="53" t="s">
        <v>19</v>
      </c>
      <c r="F989" t="s">
        <v>19</v>
      </c>
    </row>
    <row r="990" spans="2:6" x14ac:dyDescent="0.4">
      <c r="B990" s="54" t="s">
        <v>19</v>
      </c>
      <c r="C990" s="52" t="s">
        <v>19</v>
      </c>
      <c r="D990" s="52" t="s">
        <v>19</v>
      </c>
      <c r="E990" s="53" t="s">
        <v>19</v>
      </c>
      <c r="F990" t="s">
        <v>19</v>
      </c>
    </row>
    <row r="991" spans="2:6" x14ac:dyDescent="0.4">
      <c r="B991" s="54" t="s">
        <v>19</v>
      </c>
      <c r="C991" s="52" t="s">
        <v>19</v>
      </c>
      <c r="D991" s="52" t="s">
        <v>19</v>
      </c>
      <c r="E991" s="53" t="s">
        <v>19</v>
      </c>
      <c r="F991" t="s">
        <v>19</v>
      </c>
    </row>
    <row r="992" spans="2:6" x14ac:dyDescent="0.4">
      <c r="B992" s="54" t="s">
        <v>19</v>
      </c>
      <c r="C992" s="52" t="s">
        <v>19</v>
      </c>
      <c r="D992" s="52" t="s">
        <v>19</v>
      </c>
      <c r="E992" s="53" t="s">
        <v>19</v>
      </c>
      <c r="F992" t="s">
        <v>19</v>
      </c>
    </row>
    <row r="993" spans="2:6" x14ac:dyDescent="0.4">
      <c r="B993" s="54" t="s">
        <v>19</v>
      </c>
      <c r="C993" s="52" t="s">
        <v>19</v>
      </c>
      <c r="D993" s="52" t="s">
        <v>19</v>
      </c>
      <c r="E993" s="53" t="s">
        <v>19</v>
      </c>
      <c r="F993" t="s">
        <v>19</v>
      </c>
    </row>
    <row r="994" spans="2:6" x14ac:dyDescent="0.4">
      <c r="B994" s="54" t="s">
        <v>19</v>
      </c>
      <c r="C994" s="52" t="s">
        <v>19</v>
      </c>
      <c r="D994" s="52" t="s">
        <v>19</v>
      </c>
      <c r="E994" s="53" t="s">
        <v>19</v>
      </c>
      <c r="F994" t="s">
        <v>19</v>
      </c>
    </row>
    <row r="995" spans="2:6" x14ac:dyDescent="0.4">
      <c r="B995" s="54" t="s">
        <v>19</v>
      </c>
      <c r="C995" s="52" t="s">
        <v>19</v>
      </c>
      <c r="D995" s="52" t="s">
        <v>19</v>
      </c>
      <c r="E995" s="53" t="s">
        <v>19</v>
      </c>
      <c r="F995" t="s">
        <v>19</v>
      </c>
    </row>
    <row r="996" spans="2:6" x14ac:dyDescent="0.4">
      <c r="B996" s="54" t="s">
        <v>19</v>
      </c>
      <c r="C996" s="52" t="s">
        <v>19</v>
      </c>
      <c r="D996" s="52" t="s">
        <v>19</v>
      </c>
      <c r="E996" s="53" t="s">
        <v>19</v>
      </c>
      <c r="F996" t="s">
        <v>19</v>
      </c>
    </row>
    <row r="997" spans="2:6" x14ac:dyDescent="0.4">
      <c r="B997" s="54" t="s">
        <v>19</v>
      </c>
      <c r="C997" s="52" t="s">
        <v>19</v>
      </c>
      <c r="D997" s="52" t="s">
        <v>19</v>
      </c>
      <c r="E997" s="53" t="s">
        <v>19</v>
      </c>
      <c r="F997" t="s">
        <v>19</v>
      </c>
    </row>
    <row r="998" spans="2:6" x14ac:dyDescent="0.4">
      <c r="B998" s="54" t="s">
        <v>19</v>
      </c>
      <c r="C998" s="52" t="s">
        <v>19</v>
      </c>
      <c r="D998" s="52" t="s">
        <v>19</v>
      </c>
      <c r="E998" s="53" t="s">
        <v>19</v>
      </c>
      <c r="F998" t="s">
        <v>19</v>
      </c>
    </row>
    <row r="999" spans="2:6" x14ac:dyDescent="0.4">
      <c r="B999" s="54" t="s">
        <v>19</v>
      </c>
      <c r="C999" s="52" t="s">
        <v>19</v>
      </c>
      <c r="D999" s="52" t="s">
        <v>19</v>
      </c>
      <c r="E999" s="53" t="s">
        <v>19</v>
      </c>
      <c r="F999" t="s">
        <v>19</v>
      </c>
    </row>
    <row r="1000" spans="2:6" x14ac:dyDescent="0.4">
      <c r="B1000" s="54" t="s">
        <v>19</v>
      </c>
      <c r="C1000" s="52" t="s">
        <v>19</v>
      </c>
      <c r="D1000" s="52" t="s">
        <v>19</v>
      </c>
      <c r="E1000" s="53" t="s">
        <v>19</v>
      </c>
      <c r="F1000" t="s">
        <v>19</v>
      </c>
    </row>
    <row r="1001" spans="2:6" x14ac:dyDescent="0.4">
      <c r="B1001" s="54" t="s">
        <v>19</v>
      </c>
      <c r="C1001" s="52" t="s">
        <v>19</v>
      </c>
      <c r="D1001" s="52" t="s">
        <v>19</v>
      </c>
      <c r="E1001" s="53" t="s">
        <v>19</v>
      </c>
      <c r="F1001" t="s">
        <v>19</v>
      </c>
    </row>
    <row r="1002" spans="2:6" x14ac:dyDescent="0.4">
      <c r="B1002" s="54" t="s">
        <v>19</v>
      </c>
      <c r="C1002" s="52" t="s">
        <v>19</v>
      </c>
      <c r="D1002" s="52" t="s">
        <v>19</v>
      </c>
      <c r="E1002" s="53" t="s">
        <v>19</v>
      </c>
      <c r="F1002" t="s">
        <v>19</v>
      </c>
    </row>
    <row r="1003" spans="2:6" x14ac:dyDescent="0.4">
      <c r="B1003" s="54" t="s">
        <v>19</v>
      </c>
      <c r="C1003" s="52" t="s">
        <v>19</v>
      </c>
      <c r="D1003" s="52" t="s">
        <v>19</v>
      </c>
      <c r="E1003" s="53" t="s">
        <v>19</v>
      </c>
      <c r="F1003" t="s">
        <v>19</v>
      </c>
    </row>
    <row r="1004" spans="2:6" x14ac:dyDescent="0.4">
      <c r="B1004" s="54" t="s">
        <v>19</v>
      </c>
      <c r="C1004" s="52" t="s">
        <v>19</v>
      </c>
      <c r="D1004" s="52" t="s">
        <v>19</v>
      </c>
      <c r="E1004" s="53" t="s">
        <v>19</v>
      </c>
      <c r="F1004" t="s">
        <v>19</v>
      </c>
    </row>
    <row r="1005" spans="2:6" x14ac:dyDescent="0.4">
      <c r="B1005" s="54" t="s">
        <v>19</v>
      </c>
      <c r="C1005" s="52" t="s">
        <v>19</v>
      </c>
      <c r="D1005" s="52" t="s">
        <v>19</v>
      </c>
      <c r="E1005" s="53" t="s">
        <v>19</v>
      </c>
      <c r="F1005" t="s">
        <v>19</v>
      </c>
    </row>
    <row r="1006" spans="2:6" x14ac:dyDescent="0.4">
      <c r="B1006" s="54" t="s">
        <v>19</v>
      </c>
      <c r="C1006" s="52" t="s">
        <v>19</v>
      </c>
      <c r="D1006" s="52" t="s">
        <v>19</v>
      </c>
      <c r="E1006" s="53" t="s">
        <v>19</v>
      </c>
      <c r="F1006" t="s">
        <v>19</v>
      </c>
    </row>
    <row r="1007" spans="2:6" x14ac:dyDescent="0.4">
      <c r="B1007" s="54" t="s">
        <v>19</v>
      </c>
      <c r="C1007" s="52" t="s">
        <v>19</v>
      </c>
      <c r="D1007" s="52" t="s">
        <v>19</v>
      </c>
      <c r="E1007" s="53" t="s">
        <v>19</v>
      </c>
      <c r="F1007" t="s">
        <v>19</v>
      </c>
    </row>
    <row r="1008" spans="2:6" x14ac:dyDescent="0.4">
      <c r="B1008" s="54" t="s">
        <v>19</v>
      </c>
      <c r="C1008" s="52" t="s">
        <v>19</v>
      </c>
      <c r="D1008" s="52" t="s">
        <v>19</v>
      </c>
      <c r="E1008" s="53" t="s">
        <v>19</v>
      </c>
      <c r="F1008" t="s">
        <v>19</v>
      </c>
    </row>
    <row r="1009" spans="2:6" x14ac:dyDescent="0.4">
      <c r="B1009" s="54" t="s">
        <v>19</v>
      </c>
      <c r="C1009" s="52" t="s">
        <v>19</v>
      </c>
      <c r="D1009" s="52" t="s">
        <v>19</v>
      </c>
      <c r="E1009" s="53" t="s">
        <v>19</v>
      </c>
      <c r="F1009" t="s">
        <v>19</v>
      </c>
    </row>
    <row r="1010" spans="2:6" x14ac:dyDescent="0.4">
      <c r="B1010" s="54" t="s">
        <v>19</v>
      </c>
      <c r="C1010" s="52" t="s">
        <v>19</v>
      </c>
      <c r="D1010" s="52" t="s">
        <v>19</v>
      </c>
      <c r="E1010" s="53" t="s">
        <v>19</v>
      </c>
      <c r="F1010" t="s">
        <v>19</v>
      </c>
    </row>
    <row r="1011" spans="2:6" x14ac:dyDescent="0.4">
      <c r="B1011" s="54" t="s">
        <v>19</v>
      </c>
      <c r="C1011" s="52" t="s">
        <v>19</v>
      </c>
      <c r="D1011" s="52" t="s">
        <v>19</v>
      </c>
      <c r="E1011" s="53" t="s">
        <v>19</v>
      </c>
      <c r="F1011" t="s">
        <v>19</v>
      </c>
    </row>
    <row r="1012" spans="2:6" x14ac:dyDescent="0.4">
      <c r="B1012" s="54" t="s">
        <v>19</v>
      </c>
      <c r="C1012" s="52" t="s">
        <v>19</v>
      </c>
      <c r="D1012" s="52" t="s">
        <v>19</v>
      </c>
      <c r="E1012" s="53" t="s">
        <v>19</v>
      </c>
      <c r="F1012" t="s">
        <v>19</v>
      </c>
    </row>
    <row r="1013" spans="2:6" x14ac:dyDescent="0.4">
      <c r="B1013" s="54" t="s">
        <v>19</v>
      </c>
      <c r="C1013" s="52" t="s">
        <v>19</v>
      </c>
      <c r="D1013" s="52" t="s">
        <v>19</v>
      </c>
      <c r="E1013" s="53" t="s">
        <v>19</v>
      </c>
      <c r="F1013" t="s">
        <v>19</v>
      </c>
    </row>
    <row r="1014" spans="2:6" x14ac:dyDescent="0.4">
      <c r="B1014" s="54" t="s">
        <v>19</v>
      </c>
      <c r="C1014" s="52" t="s">
        <v>19</v>
      </c>
      <c r="D1014" s="52" t="s">
        <v>19</v>
      </c>
      <c r="E1014" s="53" t="s">
        <v>19</v>
      </c>
      <c r="F1014" t="s">
        <v>19</v>
      </c>
    </row>
    <row r="1015" spans="2:6" x14ac:dyDescent="0.4">
      <c r="B1015" s="54" t="s">
        <v>19</v>
      </c>
      <c r="C1015" s="52" t="s">
        <v>19</v>
      </c>
      <c r="D1015" s="52" t="s">
        <v>19</v>
      </c>
      <c r="E1015" s="53" t="s">
        <v>19</v>
      </c>
      <c r="F1015" t="s">
        <v>19</v>
      </c>
    </row>
    <row r="1016" spans="2:6" x14ac:dyDescent="0.4">
      <c r="B1016" s="54" t="s">
        <v>19</v>
      </c>
      <c r="C1016" s="52" t="s">
        <v>19</v>
      </c>
      <c r="D1016" s="52" t="s">
        <v>19</v>
      </c>
      <c r="E1016" s="53" t="s">
        <v>19</v>
      </c>
      <c r="F1016" t="s">
        <v>19</v>
      </c>
    </row>
    <row r="1017" spans="2:6" x14ac:dyDescent="0.4">
      <c r="B1017" s="54" t="s">
        <v>19</v>
      </c>
      <c r="C1017" s="52" t="s">
        <v>19</v>
      </c>
      <c r="D1017" s="52" t="s">
        <v>19</v>
      </c>
      <c r="E1017" s="53" t="s">
        <v>19</v>
      </c>
      <c r="F1017" t="s">
        <v>19</v>
      </c>
    </row>
    <row r="1018" spans="2:6" x14ac:dyDescent="0.4">
      <c r="B1018" s="54" t="s">
        <v>19</v>
      </c>
      <c r="C1018" s="52" t="s">
        <v>19</v>
      </c>
      <c r="D1018" s="52" t="s">
        <v>19</v>
      </c>
      <c r="E1018" s="53" t="s">
        <v>19</v>
      </c>
      <c r="F1018" t="s">
        <v>19</v>
      </c>
    </row>
    <row r="1019" spans="2:6" x14ac:dyDescent="0.4">
      <c r="B1019" s="54" t="s">
        <v>19</v>
      </c>
      <c r="C1019" s="52" t="s">
        <v>19</v>
      </c>
      <c r="D1019" s="52" t="s">
        <v>19</v>
      </c>
      <c r="E1019" s="53" t="s">
        <v>19</v>
      </c>
      <c r="F1019" t="s">
        <v>19</v>
      </c>
    </row>
    <row r="1020" spans="2:6" x14ac:dyDescent="0.4">
      <c r="B1020" s="54" t="s">
        <v>19</v>
      </c>
      <c r="C1020" s="52" t="s">
        <v>19</v>
      </c>
      <c r="D1020" s="52" t="s">
        <v>19</v>
      </c>
      <c r="E1020" s="53" t="s">
        <v>19</v>
      </c>
      <c r="F1020" t="s">
        <v>19</v>
      </c>
    </row>
    <row r="1021" spans="2:6" x14ac:dyDescent="0.4">
      <c r="B1021" s="54" t="s">
        <v>19</v>
      </c>
      <c r="C1021" s="52" t="s">
        <v>19</v>
      </c>
      <c r="D1021" s="52" t="s">
        <v>19</v>
      </c>
      <c r="E1021" s="53" t="s">
        <v>19</v>
      </c>
      <c r="F1021" t="s">
        <v>19</v>
      </c>
    </row>
    <row r="1022" spans="2:6" x14ac:dyDescent="0.4">
      <c r="B1022" s="54" t="s">
        <v>19</v>
      </c>
      <c r="C1022" s="52" t="s">
        <v>19</v>
      </c>
      <c r="D1022" s="52" t="s">
        <v>19</v>
      </c>
      <c r="E1022" s="53" t="s">
        <v>19</v>
      </c>
      <c r="F1022" t="s">
        <v>19</v>
      </c>
    </row>
    <row r="1023" spans="2:6" x14ac:dyDescent="0.4">
      <c r="B1023" s="54" t="s">
        <v>19</v>
      </c>
      <c r="C1023" s="52" t="s">
        <v>19</v>
      </c>
      <c r="D1023" s="52" t="s">
        <v>19</v>
      </c>
      <c r="E1023" s="53" t="s">
        <v>19</v>
      </c>
      <c r="F1023" t="s">
        <v>19</v>
      </c>
    </row>
    <row r="1024" spans="2:6" x14ac:dyDescent="0.4">
      <c r="B1024" s="54" t="s">
        <v>19</v>
      </c>
      <c r="C1024" s="52" t="s">
        <v>19</v>
      </c>
      <c r="D1024" s="52" t="s">
        <v>19</v>
      </c>
      <c r="E1024" s="53" t="s">
        <v>19</v>
      </c>
      <c r="F1024" t="s">
        <v>19</v>
      </c>
    </row>
    <row r="1025" spans="2:6" x14ac:dyDescent="0.4">
      <c r="B1025" s="54" t="s">
        <v>19</v>
      </c>
      <c r="C1025" s="52" t="s">
        <v>19</v>
      </c>
      <c r="D1025" s="52" t="s">
        <v>19</v>
      </c>
      <c r="E1025" s="53" t="s">
        <v>19</v>
      </c>
      <c r="F1025" t="s">
        <v>19</v>
      </c>
    </row>
    <row r="1026" spans="2:6" x14ac:dyDescent="0.4">
      <c r="B1026" s="54" t="s">
        <v>19</v>
      </c>
      <c r="C1026" s="52" t="s">
        <v>19</v>
      </c>
      <c r="D1026" s="52" t="s">
        <v>19</v>
      </c>
      <c r="E1026" s="53" t="s">
        <v>19</v>
      </c>
      <c r="F1026" t="s">
        <v>19</v>
      </c>
    </row>
    <row r="1027" spans="2:6" x14ac:dyDescent="0.4">
      <c r="B1027" s="54" t="s">
        <v>19</v>
      </c>
      <c r="C1027" s="52" t="s">
        <v>19</v>
      </c>
      <c r="D1027" s="52" t="s">
        <v>19</v>
      </c>
      <c r="E1027" s="53" t="s">
        <v>19</v>
      </c>
      <c r="F1027" t="s">
        <v>19</v>
      </c>
    </row>
    <row r="1028" spans="2:6" x14ac:dyDescent="0.4">
      <c r="B1028" s="54" t="s">
        <v>19</v>
      </c>
      <c r="C1028" s="52" t="s">
        <v>19</v>
      </c>
      <c r="D1028" s="52" t="s">
        <v>19</v>
      </c>
      <c r="E1028" s="53" t="s">
        <v>19</v>
      </c>
      <c r="F1028" t="s">
        <v>19</v>
      </c>
    </row>
    <row r="1029" spans="2:6" x14ac:dyDescent="0.4">
      <c r="B1029" s="54" t="s">
        <v>19</v>
      </c>
      <c r="C1029" s="52" t="s">
        <v>19</v>
      </c>
      <c r="D1029" s="52" t="s">
        <v>19</v>
      </c>
      <c r="E1029" s="53" t="s">
        <v>19</v>
      </c>
      <c r="F1029" t="s">
        <v>19</v>
      </c>
    </row>
    <row r="1030" spans="2:6" x14ac:dyDescent="0.4">
      <c r="B1030" s="54" t="s">
        <v>19</v>
      </c>
      <c r="C1030" s="52" t="s">
        <v>19</v>
      </c>
      <c r="D1030" s="52" t="s">
        <v>19</v>
      </c>
      <c r="E1030" s="53" t="s">
        <v>19</v>
      </c>
      <c r="F1030" t="s">
        <v>19</v>
      </c>
    </row>
    <row r="1031" spans="2:6" x14ac:dyDescent="0.4">
      <c r="B1031" s="54" t="s">
        <v>19</v>
      </c>
      <c r="C1031" s="52" t="s">
        <v>19</v>
      </c>
      <c r="D1031" s="52" t="s">
        <v>19</v>
      </c>
      <c r="E1031" s="53" t="s">
        <v>19</v>
      </c>
      <c r="F1031" t="s">
        <v>19</v>
      </c>
    </row>
    <row r="1032" spans="2:6" x14ac:dyDescent="0.4">
      <c r="B1032" s="54" t="s">
        <v>19</v>
      </c>
      <c r="C1032" s="52" t="s">
        <v>19</v>
      </c>
      <c r="D1032" s="52" t="s">
        <v>19</v>
      </c>
      <c r="E1032" s="53" t="s">
        <v>19</v>
      </c>
      <c r="F1032" t="s">
        <v>19</v>
      </c>
    </row>
    <row r="1033" spans="2:6" x14ac:dyDescent="0.4">
      <c r="B1033" s="54" t="s">
        <v>19</v>
      </c>
      <c r="C1033" s="52" t="s">
        <v>19</v>
      </c>
      <c r="D1033" s="52" t="s">
        <v>19</v>
      </c>
      <c r="E1033" s="53" t="s">
        <v>19</v>
      </c>
      <c r="F1033" t="s">
        <v>19</v>
      </c>
    </row>
    <row r="1034" spans="2:6" x14ac:dyDescent="0.4">
      <c r="B1034" s="54" t="s">
        <v>19</v>
      </c>
      <c r="C1034" s="52" t="s">
        <v>19</v>
      </c>
      <c r="D1034" s="52" t="s">
        <v>19</v>
      </c>
      <c r="E1034" s="53" t="s">
        <v>19</v>
      </c>
      <c r="F1034" t="s">
        <v>19</v>
      </c>
    </row>
    <row r="1035" spans="2:6" x14ac:dyDescent="0.4">
      <c r="B1035" s="54" t="s">
        <v>19</v>
      </c>
      <c r="C1035" s="52" t="s">
        <v>19</v>
      </c>
      <c r="D1035" s="52" t="s">
        <v>19</v>
      </c>
      <c r="E1035" s="53" t="s">
        <v>19</v>
      </c>
      <c r="F1035" t="s">
        <v>19</v>
      </c>
    </row>
    <row r="1036" spans="2:6" x14ac:dyDescent="0.4">
      <c r="B1036" s="54" t="s">
        <v>19</v>
      </c>
      <c r="C1036" s="52" t="s">
        <v>19</v>
      </c>
      <c r="D1036" s="52" t="s">
        <v>19</v>
      </c>
      <c r="E1036" s="53" t="s">
        <v>19</v>
      </c>
      <c r="F1036" t="s">
        <v>19</v>
      </c>
    </row>
    <row r="1037" spans="2:6" x14ac:dyDescent="0.4">
      <c r="B1037" s="54" t="s">
        <v>19</v>
      </c>
      <c r="C1037" s="52" t="s">
        <v>19</v>
      </c>
      <c r="D1037" s="52" t="s">
        <v>19</v>
      </c>
      <c r="E1037" s="53" t="s">
        <v>19</v>
      </c>
      <c r="F1037" t="s">
        <v>19</v>
      </c>
    </row>
    <row r="1038" spans="2:6" x14ac:dyDescent="0.4">
      <c r="B1038" s="54" t="s">
        <v>19</v>
      </c>
      <c r="C1038" s="52" t="s">
        <v>19</v>
      </c>
      <c r="D1038" s="52" t="s">
        <v>19</v>
      </c>
      <c r="E1038" s="53" t="s">
        <v>19</v>
      </c>
      <c r="F1038" t="s">
        <v>19</v>
      </c>
    </row>
    <row r="1039" spans="2:6" x14ac:dyDescent="0.4">
      <c r="B1039" s="54" t="s">
        <v>19</v>
      </c>
      <c r="C1039" s="52" t="s">
        <v>19</v>
      </c>
      <c r="D1039" s="52" t="s">
        <v>19</v>
      </c>
      <c r="E1039" s="53" t="s">
        <v>19</v>
      </c>
      <c r="F1039" t="s">
        <v>19</v>
      </c>
    </row>
    <row r="1040" spans="2:6" x14ac:dyDescent="0.4">
      <c r="B1040" s="54" t="s">
        <v>19</v>
      </c>
      <c r="C1040" s="52" t="s">
        <v>19</v>
      </c>
      <c r="D1040" s="52" t="s">
        <v>19</v>
      </c>
      <c r="E1040" s="53" t="s">
        <v>19</v>
      </c>
      <c r="F1040" t="s">
        <v>19</v>
      </c>
    </row>
    <row r="1041" spans="2:6" x14ac:dyDescent="0.4">
      <c r="B1041" s="54" t="s">
        <v>19</v>
      </c>
      <c r="C1041" s="52" t="s">
        <v>19</v>
      </c>
      <c r="D1041" s="52" t="s">
        <v>19</v>
      </c>
      <c r="E1041" s="53" t="s">
        <v>19</v>
      </c>
      <c r="F1041" t="s">
        <v>19</v>
      </c>
    </row>
    <row r="1042" spans="2:6" x14ac:dyDescent="0.4">
      <c r="B1042" s="54" t="s">
        <v>19</v>
      </c>
      <c r="C1042" s="52" t="s">
        <v>19</v>
      </c>
      <c r="D1042" s="52" t="s">
        <v>19</v>
      </c>
      <c r="E1042" s="53" t="s">
        <v>19</v>
      </c>
      <c r="F1042" t="s">
        <v>19</v>
      </c>
    </row>
    <row r="1043" spans="2:6" x14ac:dyDescent="0.4">
      <c r="B1043" s="54" t="s">
        <v>19</v>
      </c>
      <c r="C1043" s="52" t="s">
        <v>19</v>
      </c>
      <c r="D1043" s="52" t="s">
        <v>19</v>
      </c>
      <c r="E1043" s="53" t="s">
        <v>19</v>
      </c>
      <c r="F1043" t="s">
        <v>19</v>
      </c>
    </row>
    <row r="1044" spans="2:6" x14ac:dyDescent="0.4">
      <c r="B1044" s="54" t="s">
        <v>19</v>
      </c>
      <c r="C1044" s="52" t="s">
        <v>19</v>
      </c>
      <c r="D1044" s="52" t="s">
        <v>19</v>
      </c>
      <c r="E1044" s="53" t="s">
        <v>19</v>
      </c>
      <c r="F1044" t="s">
        <v>19</v>
      </c>
    </row>
    <row r="1045" spans="2:6" x14ac:dyDescent="0.4">
      <c r="B1045" s="54" t="s">
        <v>19</v>
      </c>
      <c r="C1045" s="52" t="s">
        <v>19</v>
      </c>
      <c r="D1045" s="52" t="s">
        <v>19</v>
      </c>
      <c r="E1045" s="53" t="s">
        <v>19</v>
      </c>
      <c r="F1045" t="s">
        <v>19</v>
      </c>
    </row>
    <row r="1046" spans="2:6" x14ac:dyDescent="0.4">
      <c r="B1046" s="54" t="s">
        <v>19</v>
      </c>
      <c r="C1046" s="52" t="s">
        <v>19</v>
      </c>
      <c r="D1046" s="52" t="s">
        <v>19</v>
      </c>
      <c r="E1046" s="53" t="s">
        <v>19</v>
      </c>
      <c r="F1046" t="s">
        <v>19</v>
      </c>
    </row>
    <row r="1047" spans="2:6" x14ac:dyDescent="0.4">
      <c r="B1047" s="54" t="s">
        <v>19</v>
      </c>
      <c r="C1047" s="52" t="s">
        <v>19</v>
      </c>
      <c r="D1047" s="52" t="s">
        <v>19</v>
      </c>
      <c r="E1047" s="53" t="s">
        <v>19</v>
      </c>
      <c r="F1047" t="s">
        <v>19</v>
      </c>
    </row>
    <row r="1048" spans="2:6" x14ac:dyDescent="0.4">
      <c r="B1048" s="54" t="s">
        <v>19</v>
      </c>
      <c r="C1048" s="52" t="s">
        <v>19</v>
      </c>
      <c r="D1048" s="52" t="s">
        <v>19</v>
      </c>
      <c r="E1048" s="53" t="s">
        <v>19</v>
      </c>
      <c r="F1048" t="s">
        <v>19</v>
      </c>
    </row>
    <row r="1049" spans="2:6" x14ac:dyDescent="0.4">
      <c r="B1049" s="54" t="s">
        <v>19</v>
      </c>
      <c r="C1049" s="52" t="s">
        <v>19</v>
      </c>
      <c r="D1049" s="52" t="s">
        <v>19</v>
      </c>
      <c r="E1049" s="53" t="s">
        <v>19</v>
      </c>
      <c r="F1049" t="s">
        <v>19</v>
      </c>
    </row>
    <row r="1050" spans="2:6" x14ac:dyDescent="0.4">
      <c r="B1050" s="54" t="s">
        <v>19</v>
      </c>
      <c r="C1050" s="52" t="s">
        <v>19</v>
      </c>
      <c r="D1050" s="52" t="s">
        <v>19</v>
      </c>
      <c r="E1050" s="53" t="s">
        <v>19</v>
      </c>
      <c r="F1050" t="s">
        <v>19</v>
      </c>
    </row>
    <row r="1051" spans="2:6" x14ac:dyDescent="0.4">
      <c r="B1051" s="54" t="s">
        <v>19</v>
      </c>
      <c r="C1051" s="52" t="s">
        <v>19</v>
      </c>
      <c r="D1051" s="52" t="s">
        <v>19</v>
      </c>
      <c r="E1051" s="53" t="s">
        <v>19</v>
      </c>
      <c r="F1051" t="s">
        <v>19</v>
      </c>
    </row>
    <row r="1052" spans="2:6" x14ac:dyDescent="0.4">
      <c r="B1052" s="54" t="s">
        <v>19</v>
      </c>
      <c r="C1052" s="52" t="s">
        <v>19</v>
      </c>
      <c r="D1052" s="52" t="s">
        <v>19</v>
      </c>
      <c r="E1052" s="53" t="s">
        <v>19</v>
      </c>
      <c r="F1052" t="s">
        <v>19</v>
      </c>
    </row>
    <row r="1053" spans="2:6" x14ac:dyDescent="0.4">
      <c r="B1053" s="54" t="s">
        <v>19</v>
      </c>
      <c r="C1053" s="52" t="s">
        <v>19</v>
      </c>
      <c r="D1053" s="52" t="s">
        <v>19</v>
      </c>
      <c r="E1053" s="53" t="s">
        <v>19</v>
      </c>
      <c r="F1053" t="s">
        <v>19</v>
      </c>
    </row>
    <row r="1054" spans="2:6" x14ac:dyDescent="0.4">
      <c r="B1054" s="54" t="s">
        <v>19</v>
      </c>
      <c r="C1054" s="52" t="s">
        <v>19</v>
      </c>
      <c r="D1054" s="52" t="s">
        <v>19</v>
      </c>
      <c r="E1054" s="53" t="s">
        <v>19</v>
      </c>
      <c r="F1054" t="s">
        <v>19</v>
      </c>
    </row>
    <row r="1055" spans="2:6" x14ac:dyDescent="0.4">
      <c r="B1055" s="54" t="s">
        <v>19</v>
      </c>
      <c r="C1055" s="52" t="s">
        <v>19</v>
      </c>
      <c r="D1055" s="52" t="s">
        <v>19</v>
      </c>
      <c r="E1055" s="53" t="s">
        <v>19</v>
      </c>
      <c r="F1055" t="s">
        <v>19</v>
      </c>
    </row>
    <row r="1056" spans="2:6" x14ac:dyDescent="0.4">
      <c r="B1056" s="54" t="s">
        <v>19</v>
      </c>
      <c r="C1056" s="52" t="s">
        <v>19</v>
      </c>
      <c r="D1056" s="52" t="s">
        <v>19</v>
      </c>
      <c r="E1056" s="53" t="s">
        <v>19</v>
      </c>
      <c r="F1056" t="s">
        <v>19</v>
      </c>
    </row>
    <row r="1057" spans="2:6" x14ac:dyDescent="0.4">
      <c r="B1057" s="54" t="s">
        <v>19</v>
      </c>
      <c r="C1057" s="52" t="s">
        <v>19</v>
      </c>
      <c r="D1057" s="52" t="s">
        <v>19</v>
      </c>
      <c r="E1057" s="53" t="s">
        <v>19</v>
      </c>
      <c r="F1057" t="s">
        <v>19</v>
      </c>
    </row>
    <row r="1058" spans="2:6" x14ac:dyDescent="0.4">
      <c r="B1058" s="54" t="s">
        <v>19</v>
      </c>
      <c r="C1058" s="52" t="s">
        <v>19</v>
      </c>
      <c r="D1058" s="52" t="s">
        <v>19</v>
      </c>
      <c r="E1058" s="53" t="s">
        <v>19</v>
      </c>
      <c r="F1058" t="s">
        <v>19</v>
      </c>
    </row>
    <row r="1059" spans="2:6" x14ac:dyDescent="0.4">
      <c r="B1059" s="54" t="s">
        <v>19</v>
      </c>
      <c r="C1059" s="52" t="s">
        <v>19</v>
      </c>
      <c r="D1059" s="52" t="s">
        <v>19</v>
      </c>
      <c r="E1059" s="53" t="s">
        <v>19</v>
      </c>
      <c r="F1059" t="s">
        <v>19</v>
      </c>
    </row>
    <row r="1060" spans="2:6" x14ac:dyDescent="0.4">
      <c r="B1060" s="54" t="s">
        <v>19</v>
      </c>
      <c r="C1060" s="52" t="s">
        <v>19</v>
      </c>
      <c r="D1060" s="52" t="s">
        <v>19</v>
      </c>
      <c r="E1060" s="53" t="s">
        <v>19</v>
      </c>
      <c r="F1060" t="s">
        <v>19</v>
      </c>
    </row>
    <row r="1061" spans="2:6" x14ac:dyDescent="0.4">
      <c r="B1061" s="54" t="s">
        <v>19</v>
      </c>
      <c r="C1061" s="52" t="s">
        <v>19</v>
      </c>
      <c r="D1061" s="52" t="s">
        <v>19</v>
      </c>
      <c r="E1061" s="53" t="s">
        <v>19</v>
      </c>
      <c r="F1061" t="s">
        <v>19</v>
      </c>
    </row>
    <row r="1062" spans="2:6" x14ac:dyDescent="0.4">
      <c r="B1062" s="54" t="s">
        <v>19</v>
      </c>
      <c r="C1062" s="52" t="s">
        <v>19</v>
      </c>
      <c r="D1062" s="52" t="s">
        <v>19</v>
      </c>
      <c r="E1062" s="53" t="s">
        <v>19</v>
      </c>
      <c r="F1062" t="s">
        <v>19</v>
      </c>
    </row>
    <row r="1063" spans="2:6" x14ac:dyDescent="0.4">
      <c r="B1063" s="54" t="s">
        <v>19</v>
      </c>
      <c r="C1063" s="52" t="s">
        <v>19</v>
      </c>
      <c r="D1063" s="52" t="s">
        <v>19</v>
      </c>
      <c r="E1063" s="53" t="s">
        <v>19</v>
      </c>
      <c r="F1063" t="s">
        <v>19</v>
      </c>
    </row>
    <row r="1064" spans="2:6" x14ac:dyDescent="0.4">
      <c r="B1064" s="54" t="s">
        <v>19</v>
      </c>
      <c r="C1064" s="52" t="s">
        <v>19</v>
      </c>
      <c r="D1064" s="52" t="s">
        <v>19</v>
      </c>
      <c r="E1064" s="53" t="s">
        <v>19</v>
      </c>
      <c r="F1064" t="s">
        <v>19</v>
      </c>
    </row>
    <row r="1065" spans="2:6" x14ac:dyDescent="0.4">
      <c r="B1065" s="54" t="s">
        <v>19</v>
      </c>
      <c r="C1065" s="52" t="s">
        <v>19</v>
      </c>
      <c r="D1065" s="52" t="s">
        <v>19</v>
      </c>
      <c r="E1065" s="53" t="s">
        <v>19</v>
      </c>
      <c r="F1065" t="s">
        <v>19</v>
      </c>
    </row>
    <row r="1066" spans="2:6" x14ac:dyDescent="0.4">
      <c r="B1066" s="54" t="s">
        <v>19</v>
      </c>
      <c r="C1066" s="52" t="s">
        <v>19</v>
      </c>
      <c r="D1066" s="52" t="s">
        <v>19</v>
      </c>
      <c r="E1066" s="53" t="s">
        <v>19</v>
      </c>
      <c r="F1066" t="s">
        <v>19</v>
      </c>
    </row>
    <row r="1067" spans="2:6" x14ac:dyDescent="0.4">
      <c r="B1067" s="54" t="s">
        <v>19</v>
      </c>
      <c r="C1067" s="52" t="s">
        <v>19</v>
      </c>
      <c r="D1067" s="52" t="s">
        <v>19</v>
      </c>
      <c r="E1067" s="53" t="s">
        <v>19</v>
      </c>
      <c r="F1067" t="s">
        <v>19</v>
      </c>
    </row>
    <row r="1068" spans="2:6" x14ac:dyDescent="0.4">
      <c r="B1068" s="54" t="s">
        <v>19</v>
      </c>
      <c r="C1068" s="52" t="s">
        <v>19</v>
      </c>
      <c r="D1068" s="52" t="s">
        <v>19</v>
      </c>
      <c r="E1068" s="53" t="s">
        <v>19</v>
      </c>
      <c r="F1068" t="s">
        <v>19</v>
      </c>
    </row>
    <row r="1069" spans="2:6" x14ac:dyDescent="0.4">
      <c r="B1069" s="54" t="s">
        <v>19</v>
      </c>
      <c r="C1069" s="52" t="s">
        <v>19</v>
      </c>
      <c r="D1069" s="52" t="s">
        <v>19</v>
      </c>
      <c r="E1069" s="53" t="s">
        <v>19</v>
      </c>
      <c r="F1069" t="s">
        <v>19</v>
      </c>
    </row>
    <row r="1070" spans="2:6" x14ac:dyDescent="0.4">
      <c r="B1070" s="54" t="s">
        <v>19</v>
      </c>
      <c r="C1070" s="52" t="s">
        <v>19</v>
      </c>
      <c r="D1070" s="52" t="s">
        <v>19</v>
      </c>
      <c r="E1070" s="53" t="s">
        <v>19</v>
      </c>
      <c r="F1070" t="s">
        <v>19</v>
      </c>
    </row>
    <row r="1071" spans="2:6" x14ac:dyDescent="0.4">
      <c r="B1071" s="54" t="s">
        <v>19</v>
      </c>
      <c r="C1071" s="52" t="s">
        <v>19</v>
      </c>
      <c r="D1071" s="52" t="s">
        <v>19</v>
      </c>
      <c r="E1071" s="53" t="s">
        <v>19</v>
      </c>
      <c r="F1071" t="s">
        <v>19</v>
      </c>
    </row>
    <row r="1072" spans="2:6" x14ac:dyDescent="0.4">
      <c r="B1072" s="54" t="s">
        <v>19</v>
      </c>
      <c r="C1072" s="52" t="s">
        <v>19</v>
      </c>
      <c r="D1072" s="52" t="s">
        <v>19</v>
      </c>
      <c r="E1072" s="53" t="s">
        <v>19</v>
      </c>
      <c r="F1072" t="s">
        <v>19</v>
      </c>
    </row>
    <row r="1073" spans="2:6" x14ac:dyDescent="0.4">
      <c r="B1073" s="54" t="s">
        <v>19</v>
      </c>
      <c r="C1073" s="52" t="s">
        <v>19</v>
      </c>
      <c r="D1073" s="52" t="s">
        <v>19</v>
      </c>
      <c r="E1073" s="53" t="s">
        <v>19</v>
      </c>
      <c r="F1073" t="s">
        <v>19</v>
      </c>
    </row>
    <row r="1074" spans="2:6" x14ac:dyDescent="0.4">
      <c r="B1074" s="54" t="s">
        <v>19</v>
      </c>
      <c r="C1074" s="52" t="s">
        <v>19</v>
      </c>
      <c r="D1074" s="52" t="s">
        <v>19</v>
      </c>
      <c r="E1074" s="53" t="s">
        <v>19</v>
      </c>
      <c r="F1074" t="s">
        <v>19</v>
      </c>
    </row>
    <row r="1075" spans="2:6" x14ac:dyDescent="0.4">
      <c r="B1075" s="54" t="s">
        <v>19</v>
      </c>
      <c r="C1075" s="52" t="s">
        <v>19</v>
      </c>
      <c r="D1075" s="52" t="s">
        <v>19</v>
      </c>
      <c r="E1075" s="53" t="s">
        <v>19</v>
      </c>
      <c r="F1075" t="s">
        <v>19</v>
      </c>
    </row>
    <row r="1076" spans="2:6" x14ac:dyDescent="0.4">
      <c r="B1076" s="54" t="s">
        <v>19</v>
      </c>
      <c r="C1076" s="52" t="s">
        <v>19</v>
      </c>
      <c r="D1076" s="52" t="s">
        <v>19</v>
      </c>
      <c r="E1076" s="53" t="s">
        <v>19</v>
      </c>
      <c r="F1076" t="s">
        <v>19</v>
      </c>
    </row>
    <row r="1077" spans="2:6" x14ac:dyDescent="0.4">
      <c r="B1077" s="54" t="s">
        <v>19</v>
      </c>
      <c r="C1077" s="52" t="s">
        <v>19</v>
      </c>
      <c r="D1077" s="52" t="s">
        <v>19</v>
      </c>
      <c r="E1077" s="53" t="s">
        <v>19</v>
      </c>
      <c r="F1077" t="s">
        <v>19</v>
      </c>
    </row>
    <row r="1078" spans="2:6" x14ac:dyDescent="0.4">
      <c r="B1078" s="54" t="s">
        <v>19</v>
      </c>
      <c r="C1078" s="52" t="s">
        <v>19</v>
      </c>
      <c r="D1078" s="52" t="s">
        <v>19</v>
      </c>
      <c r="E1078" s="53" t="s">
        <v>19</v>
      </c>
      <c r="F1078" t="s">
        <v>19</v>
      </c>
    </row>
    <row r="1079" spans="2:6" x14ac:dyDescent="0.4">
      <c r="B1079" s="54" t="s">
        <v>19</v>
      </c>
      <c r="C1079" s="52" t="s">
        <v>19</v>
      </c>
      <c r="D1079" s="52" t="s">
        <v>19</v>
      </c>
      <c r="E1079" s="53" t="s">
        <v>19</v>
      </c>
      <c r="F1079" t="s">
        <v>19</v>
      </c>
    </row>
    <row r="1080" spans="2:6" x14ac:dyDescent="0.4">
      <c r="B1080" s="54" t="s">
        <v>19</v>
      </c>
      <c r="C1080" s="52" t="s">
        <v>19</v>
      </c>
      <c r="D1080" s="52" t="s">
        <v>19</v>
      </c>
      <c r="E1080" s="53" t="s">
        <v>19</v>
      </c>
      <c r="F1080" t="s">
        <v>19</v>
      </c>
    </row>
    <row r="1081" spans="2:6" x14ac:dyDescent="0.4">
      <c r="B1081" s="54" t="s">
        <v>19</v>
      </c>
      <c r="C1081" s="52" t="s">
        <v>19</v>
      </c>
      <c r="D1081" s="52" t="s">
        <v>19</v>
      </c>
      <c r="E1081" s="53" t="s">
        <v>19</v>
      </c>
      <c r="F1081" t="s">
        <v>19</v>
      </c>
    </row>
    <row r="1082" spans="2:6" x14ac:dyDescent="0.4">
      <c r="B1082" s="54" t="s">
        <v>19</v>
      </c>
      <c r="C1082" s="52" t="s">
        <v>19</v>
      </c>
      <c r="D1082" s="52" t="s">
        <v>19</v>
      </c>
      <c r="E1082" s="53" t="s">
        <v>19</v>
      </c>
      <c r="F1082" t="s">
        <v>19</v>
      </c>
    </row>
    <row r="1083" spans="2:6" x14ac:dyDescent="0.4">
      <c r="B1083" s="54" t="s">
        <v>19</v>
      </c>
      <c r="C1083" s="52" t="s">
        <v>19</v>
      </c>
      <c r="D1083" s="52" t="s">
        <v>19</v>
      </c>
      <c r="E1083" s="53" t="s">
        <v>19</v>
      </c>
      <c r="F1083" t="s">
        <v>19</v>
      </c>
    </row>
    <row r="1084" spans="2:6" x14ac:dyDescent="0.4">
      <c r="B1084" s="54" t="s">
        <v>19</v>
      </c>
      <c r="C1084" s="52" t="s">
        <v>19</v>
      </c>
      <c r="D1084" s="52" t="s">
        <v>19</v>
      </c>
      <c r="E1084" s="53" t="s">
        <v>19</v>
      </c>
      <c r="F1084" t="s">
        <v>19</v>
      </c>
    </row>
    <row r="1085" spans="2:6" x14ac:dyDescent="0.4">
      <c r="B1085" s="54" t="s">
        <v>19</v>
      </c>
      <c r="C1085" s="52" t="s">
        <v>19</v>
      </c>
      <c r="D1085" s="52" t="s">
        <v>19</v>
      </c>
      <c r="E1085" s="53" t="s">
        <v>19</v>
      </c>
      <c r="F1085" t="s">
        <v>19</v>
      </c>
    </row>
    <row r="1086" spans="2:6" x14ac:dyDescent="0.4">
      <c r="B1086" s="54" t="s">
        <v>19</v>
      </c>
      <c r="C1086" s="52" t="s">
        <v>19</v>
      </c>
      <c r="D1086" s="52" t="s">
        <v>19</v>
      </c>
      <c r="E1086" s="53" t="s">
        <v>19</v>
      </c>
      <c r="F1086" t="s">
        <v>19</v>
      </c>
    </row>
    <row r="1087" spans="2:6" x14ac:dyDescent="0.4">
      <c r="B1087" s="54" t="s">
        <v>19</v>
      </c>
      <c r="C1087" s="52" t="s">
        <v>19</v>
      </c>
      <c r="D1087" s="52" t="s">
        <v>19</v>
      </c>
      <c r="E1087" s="53" t="s">
        <v>19</v>
      </c>
      <c r="F1087" t="s">
        <v>19</v>
      </c>
    </row>
    <row r="1088" spans="2:6" x14ac:dyDescent="0.4">
      <c r="B1088" s="54" t="s">
        <v>19</v>
      </c>
      <c r="C1088" s="52" t="s">
        <v>19</v>
      </c>
      <c r="D1088" s="52" t="s">
        <v>19</v>
      </c>
      <c r="E1088" s="53" t="s">
        <v>19</v>
      </c>
      <c r="F1088" t="s">
        <v>19</v>
      </c>
    </row>
    <row r="1089" spans="2:6" x14ac:dyDescent="0.4">
      <c r="B1089" s="54" t="s">
        <v>19</v>
      </c>
      <c r="C1089" s="52" t="s">
        <v>19</v>
      </c>
      <c r="D1089" s="52" t="s">
        <v>19</v>
      </c>
      <c r="E1089" s="53" t="s">
        <v>19</v>
      </c>
      <c r="F1089" t="s">
        <v>19</v>
      </c>
    </row>
    <row r="1090" spans="2:6" x14ac:dyDescent="0.4">
      <c r="B1090" s="54" t="s">
        <v>19</v>
      </c>
      <c r="C1090" s="52" t="s">
        <v>19</v>
      </c>
      <c r="D1090" s="52" t="s">
        <v>19</v>
      </c>
      <c r="E1090" s="53" t="s">
        <v>19</v>
      </c>
      <c r="F1090" t="s">
        <v>19</v>
      </c>
    </row>
    <row r="1091" spans="2:6" x14ac:dyDescent="0.4">
      <c r="B1091" s="54" t="s">
        <v>19</v>
      </c>
      <c r="C1091" s="52" t="s">
        <v>19</v>
      </c>
      <c r="D1091" s="52" t="s">
        <v>19</v>
      </c>
      <c r="E1091" s="53" t="s">
        <v>19</v>
      </c>
      <c r="F1091" t="s">
        <v>19</v>
      </c>
    </row>
    <row r="1092" spans="2:6" x14ac:dyDescent="0.4">
      <c r="B1092" s="54" t="s">
        <v>19</v>
      </c>
      <c r="C1092" s="52" t="s">
        <v>19</v>
      </c>
      <c r="D1092" s="52" t="s">
        <v>19</v>
      </c>
      <c r="E1092" s="53" t="s">
        <v>19</v>
      </c>
      <c r="F1092" t="s">
        <v>19</v>
      </c>
    </row>
    <row r="1093" spans="2:6" x14ac:dyDescent="0.4">
      <c r="B1093" s="54" t="s">
        <v>19</v>
      </c>
      <c r="C1093" s="52" t="s">
        <v>19</v>
      </c>
      <c r="D1093" s="52" t="s">
        <v>19</v>
      </c>
      <c r="E1093" s="53" t="s">
        <v>19</v>
      </c>
      <c r="F1093" t="s">
        <v>19</v>
      </c>
    </row>
    <row r="1094" spans="2:6" x14ac:dyDescent="0.4">
      <c r="B1094" s="54" t="s">
        <v>19</v>
      </c>
      <c r="C1094" s="52" t="s">
        <v>19</v>
      </c>
      <c r="D1094" s="52" t="s">
        <v>19</v>
      </c>
      <c r="E1094" s="53" t="s">
        <v>19</v>
      </c>
      <c r="F1094" t="s">
        <v>19</v>
      </c>
    </row>
    <row r="1095" spans="2:6" x14ac:dyDescent="0.4">
      <c r="B1095" s="54" t="s">
        <v>19</v>
      </c>
      <c r="C1095" s="52" t="s">
        <v>19</v>
      </c>
      <c r="D1095" s="52" t="s">
        <v>19</v>
      </c>
      <c r="E1095" s="53" t="s">
        <v>19</v>
      </c>
      <c r="F1095" t="s">
        <v>19</v>
      </c>
    </row>
    <row r="1096" spans="2:6" x14ac:dyDescent="0.4">
      <c r="B1096" s="54" t="s">
        <v>19</v>
      </c>
      <c r="C1096" s="52" t="s">
        <v>19</v>
      </c>
      <c r="D1096" s="52" t="s">
        <v>19</v>
      </c>
      <c r="E1096" s="53" t="s">
        <v>19</v>
      </c>
      <c r="F1096" t="s">
        <v>19</v>
      </c>
    </row>
    <row r="1097" spans="2:6" x14ac:dyDescent="0.4">
      <c r="B1097" s="54" t="s">
        <v>19</v>
      </c>
      <c r="C1097" s="52" t="s">
        <v>19</v>
      </c>
      <c r="D1097" s="52" t="s">
        <v>19</v>
      </c>
      <c r="E1097" s="53" t="s">
        <v>19</v>
      </c>
      <c r="F1097" t="s">
        <v>19</v>
      </c>
    </row>
    <row r="1098" spans="2:6" x14ac:dyDescent="0.4">
      <c r="B1098" s="54" t="s">
        <v>19</v>
      </c>
      <c r="C1098" s="52" t="s">
        <v>19</v>
      </c>
      <c r="D1098" s="52" t="s">
        <v>19</v>
      </c>
      <c r="E1098" s="53" t="s">
        <v>19</v>
      </c>
      <c r="F1098" t="s">
        <v>19</v>
      </c>
    </row>
    <row r="1099" spans="2:6" x14ac:dyDescent="0.4">
      <c r="B1099" s="54" t="s">
        <v>19</v>
      </c>
      <c r="C1099" s="52" t="s">
        <v>19</v>
      </c>
      <c r="D1099" s="52" t="s">
        <v>19</v>
      </c>
      <c r="E1099" s="53" t="s">
        <v>19</v>
      </c>
      <c r="F1099" t="s">
        <v>19</v>
      </c>
    </row>
    <row r="1100" spans="2:6" x14ac:dyDescent="0.4">
      <c r="B1100" s="54" t="s">
        <v>19</v>
      </c>
      <c r="C1100" s="52" t="s">
        <v>19</v>
      </c>
      <c r="D1100" s="52" t="s">
        <v>19</v>
      </c>
      <c r="E1100" s="53" t="s">
        <v>19</v>
      </c>
      <c r="F1100" t="s">
        <v>19</v>
      </c>
    </row>
    <row r="1101" spans="2:6" x14ac:dyDescent="0.4">
      <c r="B1101" s="54" t="s">
        <v>19</v>
      </c>
      <c r="C1101" s="52" t="s">
        <v>19</v>
      </c>
      <c r="D1101" s="52" t="s">
        <v>19</v>
      </c>
      <c r="E1101" s="53" t="s">
        <v>19</v>
      </c>
      <c r="F1101" t="s">
        <v>19</v>
      </c>
    </row>
    <row r="1102" spans="2:6" x14ac:dyDescent="0.4">
      <c r="B1102" s="54" t="s">
        <v>19</v>
      </c>
      <c r="C1102" s="52" t="s">
        <v>19</v>
      </c>
      <c r="D1102" s="52" t="s">
        <v>19</v>
      </c>
      <c r="E1102" s="53" t="s">
        <v>19</v>
      </c>
      <c r="F1102" t="s">
        <v>19</v>
      </c>
    </row>
    <row r="1103" spans="2:6" x14ac:dyDescent="0.4">
      <c r="B1103" s="54" t="s">
        <v>19</v>
      </c>
      <c r="C1103" s="52" t="s">
        <v>19</v>
      </c>
      <c r="D1103" s="52" t="s">
        <v>19</v>
      </c>
      <c r="E1103" s="53" t="s">
        <v>19</v>
      </c>
      <c r="F1103" t="s">
        <v>19</v>
      </c>
    </row>
  </sheetData>
  <phoneticPr fontId="1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5257B-D78C-4A9A-BFCF-17F0A7996621}">
  <sheetPr codeName="Sheet2"/>
  <dimension ref="A1"/>
  <sheetViews>
    <sheetView showGridLines="0" tabSelected="1" workbookViewId="0">
      <selection activeCell="E7" sqref="E7"/>
    </sheetView>
  </sheetViews>
  <sheetFormatPr defaultRowHeight="18.75" x14ac:dyDescent="0.4"/>
  <sheetData/>
  <phoneticPr fontId="10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15C15-DBFC-4EC5-92E9-5F19E609184D}">
  <sheetPr codeName="Sheet3">
    <tabColor theme="9"/>
  </sheetPr>
  <dimension ref="A1:P10000"/>
  <sheetViews>
    <sheetView showGridLines="0" zoomScale="86" zoomScaleNormal="86" workbookViewId="0">
      <selection activeCell="E6" sqref="E6"/>
    </sheetView>
  </sheetViews>
  <sheetFormatPr defaultColWidth="9.125" defaultRowHeight="18.75" x14ac:dyDescent="0.4"/>
  <cols>
    <col min="1" max="1" width="10.125" style="62" bestFit="1" customWidth="1"/>
    <col min="2" max="2" width="13.5" style="7" bestFit="1" customWidth="1"/>
    <col min="3" max="3" width="12.875" style="7" bestFit="1" customWidth="1"/>
    <col min="4" max="4" width="10.625" style="7" bestFit="1" customWidth="1"/>
    <col min="5" max="5" width="17.375" style="8" bestFit="1" customWidth="1"/>
    <col min="6" max="6" width="8" style="9" bestFit="1" customWidth="1"/>
    <col min="7" max="7" width="9.125" style="19" customWidth="1"/>
    <col min="8" max="8" width="36.5" style="19" bestFit="1" customWidth="1"/>
    <col min="9" max="9" width="4.875" style="19" bestFit="1" customWidth="1"/>
    <col min="10" max="10" width="50.5" style="19" bestFit="1" customWidth="1"/>
    <col min="11" max="16" width="9.125" style="19" hidden="1" customWidth="1"/>
    <col min="17" max="19" width="9.125" style="19" customWidth="1"/>
    <col min="20" max="16384" width="9.125" style="19"/>
  </cols>
  <sheetData>
    <row r="1" spans="1:8" x14ac:dyDescent="0.4">
      <c r="A1" s="29"/>
      <c r="B1" s="19"/>
      <c r="C1" s="19"/>
      <c r="D1" s="19"/>
      <c r="E1" s="19"/>
      <c r="F1" s="30"/>
    </row>
    <row r="2" spans="1:8" ht="22.5" x14ac:dyDescent="0.4">
      <c r="A2" s="43" t="s">
        <v>8</v>
      </c>
      <c r="B2" s="44"/>
      <c r="C2" s="45"/>
      <c r="D2" s="45"/>
      <c r="E2" s="46"/>
      <c r="F2" s="43"/>
    </row>
    <row r="3" spans="1:8" ht="19.5" x14ac:dyDescent="0.4">
      <c r="A3" s="19"/>
      <c r="B3" s="47"/>
      <c r="C3" s="48"/>
      <c r="D3" s="48"/>
      <c r="E3" s="20"/>
      <c r="F3" s="21"/>
    </row>
    <row r="4" spans="1:8" ht="19.5" x14ac:dyDescent="0.4">
      <c r="A4" s="31"/>
      <c r="B4" s="32"/>
      <c r="C4" s="33"/>
      <c r="D4" s="33"/>
      <c r="E4" s="22"/>
      <c r="F4" s="22"/>
    </row>
    <row r="5" spans="1:8" ht="19.5" x14ac:dyDescent="0.4">
      <c r="A5" s="31"/>
      <c r="B5" s="34"/>
      <c r="C5" s="35"/>
      <c r="D5" s="35"/>
      <c r="E5" s="20" t="s">
        <v>0</v>
      </c>
      <c r="F5" s="21"/>
    </row>
    <row r="6" spans="1:8" ht="19.5" x14ac:dyDescent="0.4">
      <c r="A6" s="31"/>
      <c r="B6" s="34"/>
      <c r="C6" s="36"/>
      <c r="D6" s="36"/>
      <c r="E6" s="23">
        <f>SUM($E$9:$E$1048576)</f>
        <v>0</v>
      </c>
      <c r="F6" s="22"/>
    </row>
    <row r="7" spans="1:8" ht="19.5" x14ac:dyDescent="0.4">
      <c r="A7" s="19"/>
      <c r="B7" s="32"/>
      <c r="C7" s="36"/>
      <c r="D7" s="36"/>
      <c r="E7" s="37"/>
      <c r="F7" s="30"/>
    </row>
    <row r="8" spans="1:8" ht="25.5" x14ac:dyDescent="0.4">
      <c r="A8" s="38" t="s">
        <v>7</v>
      </c>
      <c r="B8" s="39" t="s">
        <v>2</v>
      </c>
      <c r="C8" s="40" t="s">
        <v>6</v>
      </c>
      <c r="D8" s="40" t="s">
        <v>3</v>
      </c>
      <c r="E8" s="41" t="s">
        <v>4</v>
      </c>
      <c r="F8" s="42" t="s">
        <v>5</v>
      </c>
      <c r="H8" s="49"/>
    </row>
    <row r="9" spans="1:8" x14ac:dyDescent="0.4">
      <c r="A9" s="59"/>
      <c r="B9" s="25" t="str">
        <f t="array" ref="B9">IFERROR(MIN(IF(Raw!$A$2:$A$26=MHT!A9,Raw!$B$2:$B$20)),"")</f>
        <v/>
      </c>
      <c r="C9" s="26" t="str">
        <f t="array" ref="C9">IFERROR(MIN(IF(Raw!$A$2:$A$26=MHT!A9,Raw!$C$2:$C$20)),"")</f>
        <v/>
      </c>
      <c r="D9" s="27" t="str">
        <f t="array" ref="D9">IF(Raw!D2="","",IFERROR(MAX(IF(Raw!$A$2:$A$26=MHT!A9,Raw!$D$2:$D$20)),""))</f>
        <v/>
      </c>
      <c r="E9" s="28" t="str">
        <f>IF(SUMIF(Raw!$A$2:$A$500, MHT!A9, Raw!$F$2:$F$500) = TIME(0,0,0), "", SUMIF(Raw!$A$2:$A$500, MHT!A9, Raw!$F$2:$F$500))</f>
        <v/>
      </c>
      <c r="F9" s="12" t="str">
        <f t="array" ref="F9">IF(A9="", "", IF(COUNTIF(Raw!$H$1:$I$500, A9) &gt; 0, "Done", IF(COUNTIF(Raw!$J$1:$J$500, A9) &gt; 0, "Pause", IF(COUNTIF(Raw!$K$1:$K$500, A9) &gt; 0, "On-Going", "Pause"))))</f>
        <v/>
      </c>
      <c r="G9" s="51"/>
      <c r="H9" s="50"/>
    </row>
    <row r="10" spans="1:8" x14ac:dyDescent="0.4">
      <c r="A10" s="59"/>
      <c r="B10" s="16" t="str">
        <f t="array" ref="B10">IFERROR(MIN(IF(Raw!$A$2:$A$26=MHT!A10,Raw!$B$2:$B$20)),"")</f>
        <v/>
      </c>
      <c r="C10" s="13" t="str">
        <f t="array" ref="C10">IFERROR(MIN(IF(Raw!$A$2:$A$26=MHT!A10,Raw!$C$2:$C$20)),"")</f>
        <v/>
      </c>
      <c r="D10" s="14" t="str">
        <f t="array" ref="D10">IF(Raw!D3="","",IFERROR(MAX(IF(Raw!$A$2:$A$26=MHT!A10,Raw!$D$2:$D$20)),""))</f>
        <v/>
      </c>
      <c r="E10" s="6" t="str">
        <f>IF(SUMIF(Raw!$A$2:$A$500, MHT!A10, Raw!$F$2:$F$500) = TIME(0,0,0), "", SUMIF(Raw!$A$2:$A$500, MHT!A10, Raw!$F$2:$F$500))</f>
        <v/>
      </c>
      <c r="F10" s="12" t="str">
        <f t="array" ref="F10">IF(A10="", "", IF(COUNTIF(Raw!$H$1:$I$500, A10) &gt; 0, "Done", IF(COUNTIF(Raw!$J$1:$J$500, A10) &gt; 0, "Pause", IF(COUNTIF(Raw!$K$1:$K$500, A10) &gt; 0, "On-Going", "Pause"))))</f>
        <v/>
      </c>
      <c r="G10" s="51"/>
      <c r="H10" s="50"/>
    </row>
    <row r="11" spans="1:8" x14ac:dyDescent="0.4">
      <c r="A11" s="59"/>
      <c r="B11" s="16" t="str">
        <f t="array" ref="B11">IFERROR(MIN(IF(Raw!$A$2:$A$26=MHT!A11,Raw!$B$2:$B$20)),"")</f>
        <v/>
      </c>
      <c r="C11" s="13" t="str">
        <f t="array" ref="C11">IFERROR(MIN(IF(Raw!$A$2:$A$26=MHT!A11,Raw!$C$2:$C$20)),"")</f>
        <v/>
      </c>
      <c r="D11" s="14" t="str">
        <f t="array" ref="D11">IF(Raw!D4="","",IFERROR(MAX(IF(Raw!$A$2:$A$26=MHT!A11,Raw!$D$2:$D$20)),""))</f>
        <v/>
      </c>
      <c r="E11" s="6" t="str">
        <f>IF(SUMIF(Raw!$A$2:$A$500, MHT!A11, Raw!$F$2:$F$500) = TIME(0,0,0), "", SUMIF(Raw!$A$2:$A$500, MHT!A11, Raw!$F$2:$F$500))</f>
        <v/>
      </c>
      <c r="F11" s="12" t="str">
        <f t="array" ref="F11">IF(A11="", "", IF(COUNTIF(Raw!$H$1:$I$500, A11) &gt; 0, "Done", IF(COUNTIF(Raw!$J$1:$J$500, A11) &gt; 0, "Pause", IF(COUNTIF(Raw!$K$1:$K$500, A11) &gt; 0, "On-Going", "Pause"))))</f>
        <v/>
      </c>
      <c r="G11" s="51"/>
      <c r="H11" s="50"/>
    </row>
    <row r="12" spans="1:8" x14ac:dyDescent="0.4">
      <c r="A12" s="59"/>
      <c r="B12" s="16" t="str">
        <f t="array" ref="B12">IFERROR(MIN(IF(Raw!$A$2:$A$26=MHT!A12,Raw!$B$2:$B$20)),"")</f>
        <v/>
      </c>
      <c r="C12" s="13" t="str">
        <f t="array" ref="C12">IFERROR(MIN(IF(Raw!$A$2:$A$26=MHT!A12,Raw!$C$2:$C$20)),"")</f>
        <v/>
      </c>
      <c r="D12" s="14" t="str">
        <f t="array" ref="D12">IF(Raw!D5="","",IFERROR(MAX(IF(Raw!$A$2:$A$26=MHT!A12,Raw!$D$2:$D$20)),""))</f>
        <v/>
      </c>
      <c r="E12" s="6" t="str">
        <f>IF(SUMIF(Raw!$A$2:$A$500, MHT!A12, Raw!$F$2:$F$500) = TIME(0,0,0), "", SUMIF(Raw!$A$2:$A$500, MHT!A12, Raw!$F$2:$F$500))</f>
        <v/>
      </c>
      <c r="F12" s="12" t="str">
        <f t="array" ref="F12">IF(A12="", "", IF(COUNTIF(Raw!$H$1:$I$500, A12) &gt; 0, "Done", IF(COUNTIF(Raw!$J$1:$J$500, A12) &gt; 0, "Pause", IF(COUNTIF(Raw!$K$1:$K$500, A12) &gt; 0, "On-Going", "Pause"))))</f>
        <v/>
      </c>
      <c r="G12" s="51"/>
      <c r="H12" s="50"/>
    </row>
    <row r="13" spans="1:8" x14ac:dyDescent="0.4">
      <c r="A13" s="59"/>
      <c r="B13" s="16" t="str">
        <f t="array" ref="B13">IFERROR(MIN(IF(Raw!$A$2:$A$26=MHT!A13,Raw!$B$2:$B$20)),"")</f>
        <v/>
      </c>
      <c r="C13" s="13" t="str">
        <f t="array" ref="C13">IFERROR(MIN(IF(Raw!$A$2:$A$26=MHT!A13,Raw!$C$2:$C$20)),"")</f>
        <v/>
      </c>
      <c r="D13" s="14" t="str">
        <f t="array" ref="D13">IF(Raw!D6="","",IFERROR(MAX(IF(Raw!$A$2:$A$26=MHT!A13,Raw!$D$2:$D$20)),""))</f>
        <v/>
      </c>
      <c r="E13" s="6" t="str">
        <f>IF(SUMIF(Raw!$A$2:$A$500, MHT!A13, Raw!$F$2:$F$500) = TIME(0,0,0), "", SUMIF(Raw!$A$2:$A$500, MHT!A13, Raw!$F$2:$F$500))</f>
        <v/>
      </c>
      <c r="F13" s="12" t="str">
        <f t="array" ref="F13">IF(A13="", "", IF(COUNTIF(Raw!$H$1:$I$500, A13) &gt; 0, "Done", IF(COUNTIF(Raw!$J$1:$J$500, A13) &gt; 0, "Pause", IF(COUNTIF(Raw!$K$1:$K$500, A13) &gt; 0, "On-Going", "Pause"))))</f>
        <v/>
      </c>
      <c r="G13" s="51"/>
      <c r="H13" s="50"/>
    </row>
    <row r="14" spans="1:8" x14ac:dyDescent="0.4">
      <c r="A14" s="60"/>
      <c r="B14" s="16" t="str">
        <f t="array" ref="B14">IFERROR(MIN(IF(Raw!$A$2:$A$26=MHT!A14,Raw!$B$2:$B$20)),"")</f>
        <v/>
      </c>
      <c r="C14" s="13" t="str">
        <f t="array" ref="C14">IFERROR(MIN(IF(Raw!$A$2:$A$26=MHT!A14,Raw!$C$2:$C$20)),"")</f>
        <v/>
      </c>
      <c r="D14" s="14" t="str">
        <f t="array" ref="D14">IF(Raw!D7="","",IFERROR(MAX(IF(Raw!$A$2:$A$26=MHT!A14,Raw!$D$2:$D$20)),""))</f>
        <v/>
      </c>
      <c r="E14" s="6" t="str">
        <f>IF(SUMIF(Raw!$A$2:$A$500, MHT!A14, Raw!$F$2:$F$500) = TIME(0,0,0), "", SUMIF(Raw!$A$2:$A$500, MHT!A14, Raw!$F$2:$F$500))</f>
        <v/>
      </c>
      <c r="F14" s="12" t="str">
        <f t="array" ref="F14">IF(A14="", "", IF(COUNTIF(Raw!$H$1:$I$500, A14) &gt; 0, "Done", IF(COUNTIF(Raw!$J$1:$J$500, A14) &gt; 0, "Pause", IF(COUNTIF(Raw!$K$1:$K$500, A14) &gt; 0, "On-Going", "Pause"))))</f>
        <v/>
      </c>
      <c r="G14" s="51"/>
      <c r="H14" s="50"/>
    </row>
    <row r="15" spans="1:8" x14ac:dyDescent="0.4">
      <c r="A15" s="60"/>
      <c r="B15" s="16" t="str">
        <f t="array" ref="B15">IFERROR(MIN(IF(Raw!$A$2:$A$26=MHT!A15,Raw!$B$2:$B$20)),"")</f>
        <v/>
      </c>
      <c r="C15" s="13" t="str">
        <f t="array" ref="C15">IFERROR(MIN(IF(Raw!$A$2:$A$26=MHT!A15,Raw!$C$2:$C$20)),"")</f>
        <v/>
      </c>
      <c r="D15" s="14" t="str">
        <f t="array" ref="D15">IF(Raw!D8="","",IFERROR(MAX(IF(Raw!$A$2:$A$26=MHT!A15,Raw!$D$2:$D$20)),""))</f>
        <v/>
      </c>
      <c r="E15" s="6" t="str">
        <f>IF(SUMIF(Raw!$A$2:$A$500, MHT!A15, Raw!$F$2:$F$500) = TIME(0,0,0), "", SUMIF(Raw!$A$2:$A$500, MHT!A15, Raw!$F$2:$F$500))</f>
        <v/>
      </c>
      <c r="F15" s="12" t="str">
        <f t="array" ref="F15">IF(A15="", "", IF(COUNTIF(Raw!$H$1:$I$500, A15) &gt; 0, "Done", IF(COUNTIF(Raw!$J$1:$J$500, A15) &gt; 0, "Pause", IF(COUNTIF(Raw!$K$1:$K$500, A15) &gt; 0, "On-Going", "Pause"))))</f>
        <v/>
      </c>
      <c r="G15" s="51"/>
      <c r="H15" s="50"/>
    </row>
    <row r="16" spans="1:8" x14ac:dyDescent="0.4">
      <c r="A16" s="60"/>
      <c r="B16" s="16" t="str">
        <f t="array" ref="B16">IFERROR(MIN(IF(Raw!$A$2:$A$26=MHT!A16,Raw!$B$2:$B$20)),"")</f>
        <v/>
      </c>
      <c r="C16" s="13" t="str">
        <f t="array" ref="C16">IFERROR(MIN(IF(Raw!$A$2:$A$26=MHT!A16,Raw!$C$2:$C$20)),"")</f>
        <v/>
      </c>
      <c r="D16" s="14" t="str">
        <f t="array" ref="D16">IF(Raw!D9="","",IFERROR(MAX(IF(Raw!$A$2:$A$26=MHT!A16,Raw!$D$2:$D$20)),""))</f>
        <v/>
      </c>
      <c r="E16" s="6" t="str">
        <f>IF(SUMIF(Raw!$A$2:$A$500, MHT!A16, Raw!$F$2:$F$500) = TIME(0,0,0), "", SUMIF(Raw!$A$2:$A$500, MHT!A16, Raw!$F$2:$F$500))</f>
        <v/>
      </c>
      <c r="F16" s="12" t="str">
        <f t="array" ref="F16">IF(A16="", "", IF(COUNTIF(Raw!$H$1:$I$500, A16) &gt; 0, "Done", IF(COUNTIF(Raw!$J$1:$J$500, A16) &gt; 0, "Pause", IF(COUNTIF(Raw!$K$1:$K$500, A16) &gt; 0, "On-Going", "Pause"))))</f>
        <v/>
      </c>
      <c r="G16" s="51"/>
      <c r="H16" s="50"/>
    </row>
    <row r="17" spans="1:8" x14ac:dyDescent="0.4">
      <c r="A17" s="61"/>
      <c r="B17" s="16" t="str">
        <f t="array" ref="B17">IFERROR(MIN(IF(Raw!$A$2:$A$26=MHT!A17,Raw!$B$2:$B$20)),"")</f>
        <v/>
      </c>
      <c r="C17" s="13" t="str">
        <f t="array" ref="C17">IFERROR(MIN(IF(Raw!$A$2:$A$26=MHT!A17,Raw!$C$2:$C$20)),"")</f>
        <v/>
      </c>
      <c r="D17" s="14" t="str">
        <f t="array" ref="D17">IF(Raw!D10="","",IFERROR(MAX(IF(Raw!$A$2:$A$26=MHT!A17,Raw!$D$2:$D$20)),""))</f>
        <v/>
      </c>
      <c r="E17" s="6" t="str">
        <f>IF(SUMIF(Raw!$A$2:$A$500, MHT!A17, Raw!$F$2:$F$500) = TIME(0,0,0), "", SUMIF(Raw!$A$2:$A$500, MHT!A17, Raw!$F$2:$F$500))</f>
        <v/>
      </c>
      <c r="F17" s="12" t="str">
        <f t="array" ref="F17">IF(A17="", "", IF(COUNTIF(Raw!$H$1:$I$500, A17) &gt; 0, "Done", IF(COUNTIF(Raw!$J$1:$J$500, A17) &gt; 0, "Pause", IF(COUNTIF(Raw!$K$1:$K$500, A17) &gt; 0, "On-Going", "Pause"))))</f>
        <v/>
      </c>
      <c r="G17" s="51"/>
      <c r="H17" s="50"/>
    </row>
    <row r="18" spans="1:8" x14ac:dyDescent="0.4">
      <c r="A18" s="61"/>
      <c r="B18" s="16" t="str">
        <f t="array" ref="B18">IFERROR(MIN(IF(Raw!$A$2:$A$26=MHT!A18,Raw!$B$2:$B$20)),"")</f>
        <v/>
      </c>
      <c r="C18" s="13" t="str">
        <f t="array" ref="C18">IFERROR(MIN(IF(Raw!$A$2:$A$26=MHT!A18,Raw!$C$2:$C$20)),"")</f>
        <v/>
      </c>
      <c r="D18" s="14" t="str">
        <f t="array" ref="D18">IF(Raw!D11="","",IFERROR(MAX(IF(Raw!$A$2:$A$26=MHT!A18,Raw!$D$2:$D$20)),""))</f>
        <v/>
      </c>
      <c r="E18" s="6" t="str">
        <f>IF(SUMIF(Raw!$A$2:$A$500, MHT!A18, Raw!$F$2:$F$500) = TIME(0,0,0), "", SUMIF(Raw!$A$2:$A$500, MHT!A18, Raw!$F$2:$F$500))</f>
        <v/>
      </c>
      <c r="F18" s="12" t="str">
        <f t="array" ref="F18">IF(A18="", "", IF(COUNTIF(Raw!$H$1:$I$500, A18) &gt; 0, "Done", IF(COUNTIF(Raw!$J$1:$J$500, A18) &gt; 0, "Pause", IF(COUNTIF(Raw!$K$1:$K$500, A18) &gt; 0, "On-Going", "Pause"))))</f>
        <v/>
      </c>
      <c r="G18" s="51"/>
      <c r="H18" s="50"/>
    </row>
    <row r="19" spans="1:8" x14ac:dyDescent="0.4">
      <c r="A19" s="61"/>
      <c r="B19" s="16" t="str">
        <f t="array" ref="B19">IFERROR(MIN(IF(Raw!$A$2:$A$26=MHT!A19,Raw!$B$2:$B$20)),"")</f>
        <v/>
      </c>
      <c r="C19" s="13" t="str">
        <f t="array" ref="C19">IFERROR(MIN(IF(Raw!$A$2:$A$26=MHT!A19,Raw!$C$2:$C$20)),"")</f>
        <v/>
      </c>
      <c r="D19" s="14" t="str">
        <f t="array" ref="D19">IF(Raw!D12="","",IFERROR(MAX(IF(Raw!$A$2:$A$26=MHT!A19,Raw!$D$2:$D$20)),""))</f>
        <v/>
      </c>
      <c r="E19" s="6" t="str">
        <f>IF(SUMIF(Raw!$A$2:$A$500, MHT!A19, Raw!$F$2:$F$500) = TIME(0,0,0), "", SUMIF(Raw!$A$2:$A$500, MHT!A19, Raw!$F$2:$F$500))</f>
        <v/>
      </c>
      <c r="F19" s="12" t="str">
        <f t="array" ref="F19">IF(A19="", "", IF(COUNTIF(Raw!$H$1:$I$500, A19) &gt; 0, "Done", IF(COUNTIF(Raw!$J$1:$J$500, A19) &gt; 0, "Pause", IF(COUNTIF(Raw!$K$1:$K$500, A19) &gt; 0, "On-Going", "Pause"))))</f>
        <v/>
      </c>
      <c r="G19" s="51"/>
      <c r="H19" s="50"/>
    </row>
    <row r="20" spans="1:8" x14ac:dyDescent="0.4">
      <c r="A20" s="61"/>
      <c r="B20" s="16" t="str">
        <f t="array" ref="B20">IFERROR(MIN(IF(Raw!$A$2:$A$26=MHT!A20,Raw!$B$2:$B$20)),"")</f>
        <v/>
      </c>
      <c r="C20" s="13" t="str">
        <f t="array" ref="C20">IFERROR(MIN(IF(Raw!$A$2:$A$26=MHT!A20,Raw!$C$2:$C$20)),"")</f>
        <v/>
      </c>
      <c r="D20" s="14" t="str">
        <f t="array" ref="D20">IF(Raw!D13="","",IFERROR(MAX(IF(Raw!$A$2:$A$26=MHT!A20,Raw!$D$2:$D$20)),""))</f>
        <v/>
      </c>
      <c r="E20" s="6" t="str">
        <f>IF(SUMIF(Raw!$A$2:$A$500, MHT!A20, Raw!$F$2:$F$500) = TIME(0,0,0), "", SUMIF(Raw!$A$2:$A$500, MHT!A20, Raw!$F$2:$F$500))</f>
        <v/>
      </c>
      <c r="F20" s="12" t="str">
        <f t="array" ref="F20">IF(A20="", "", IF(COUNTIF(Raw!$H$1:$I$500, A20) &gt; 0, "Done", IF(COUNTIF(Raw!$J$1:$J$500, A20) &gt; 0, "Pause", IF(COUNTIF(Raw!$K$1:$K$500, A20) &gt; 0, "On-Going", "Pause"))))</f>
        <v/>
      </c>
      <c r="G20" s="51"/>
      <c r="H20" s="50"/>
    </row>
    <row r="21" spans="1:8" x14ac:dyDescent="0.4">
      <c r="A21" s="61"/>
      <c r="B21" s="16" t="str">
        <f t="array" ref="B21">IFERROR(MIN(IF(Raw!$A$2:$A$26=MHT!A21,Raw!$B$2:$B$20)),"")</f>
        <v/>
      </c>
      <c r="C21" s="13" t="str">
        <f t="array" ref="C21">IFERROR(MIN(IF(Raw!$A$2:$A$26=MHT!A21,Raw!$C$2:$C$20)),"")</f>
        <v/>
      </c>
      <c r="D21" s="14" t="str">
        <f t="array" ref="D21">IF(Raw!D14="","",IFERROR(MAX(IF(Raw!$A$2:$A$26=MHT!A21,Raw!$D$2:$D$20)),""))</f>
        <v/>
      </c>
      <c r="E21" s="6" t="str">
        <f>IF(SUMIF(Raw!$A$2:$A$500, MHT!A21, Raw!$F$2:$F$500) = TIME(0,0,0), "", SUMIF(Raw!$A$2:$A$500, MHT!A21, Raw!$F$2:$F$500))</f>
        <v/>
      </c>
      <c r="F21" s="12" t="str">
        <f t="array" ref="F21">IF(A21="", "", IF(COUNTIF(Raw!$H$1:$I$500, A21) &gt; 0, "Done", IF(COUNTIF(Raw!$J$1:$J$500, A21) &gt; 0, "Pause", IF(COUNTIF(Raw!$K$1:$K$500, A21) &gt; 0, "On-Going", "Pause"))))</f>
        <v/>
      </c>
      <c r="G21" s="51"/>
      <c r="H21" s="50"/>
    </row>
    <row r="22" spans="1:8" x14ac:dyDescent="0.4">
      <c r="A22" s="61"/>
      <c r="B22" s="16" t="str">
        <f t="array" ref="B22">IFERROR(MIN(IF(Raw!$A$2:$A$26=MHT!A22,Raw!$B$2:$B$20)),"")</f>
        <v/>
      </c>
      <c r="C22" s="13" t="str">
        <f t="array" ref="C22">IFERROR(MIN(IF(Raw!$A$2:$A$26=MHT!A22,Raw!$C$2:$C$20)),"")</f>
        <v/>
      </c>
      <c r="D22" s="14" t="str">
        <f t="array" ref="D22">IF(Raw!D15="","",IFERROR(MAX(IF(Raw!$A$2:$A$26=MHT!A22,Raw!$D$2:$D$20)),""))</f>
        <v/>
      </c>
      <c r="E22" s="6" t="str">
        <f>IF(SUMIF(Raw!$A$2:$A$500, MHT!A22, Raw!$F$2:$F$500) = TIME(0,0,0), "", SUMIF(Raw!$A$2:$A$500, MHT!A22, Raw!$F$2:$F$500))</f>
        <v/>
      </c>
      <c r="F22" s="12" t="str">
        <f t="array" ref="F22">IF(A22="", "", IF(COUNTIF(Raw!$H$1:$I$500, A22) &gt; 0, "Done", IF(COUNTIF(Raw!$J$1:$J$500, A22) &gt; 0, "Pause", IF(COUNTIF(Raw!$K$1:$K$500, A22) &gt; 0, "On-Going", "Pause"))))</f>
        <v/>
      </c>
      <c r="G22" s="51"/>
      <c r="H22" s="50"/>
    </row>
    <row r="23" spans="1:8" x14ac:dyDescent="0.4">
      <c r="A23" s="61"/>
      <c r="B23" s="16" t="str">
        <f t="array" ref="B23">IFERROR(MIN(IF(Raw!$A$2:$A$26=MHT!A23,Raw!$B$2:$B$20)),"")</f>
        <v/>
      </c>
      <c r="C23" s="13" t="str">
        <f t="array" ref="C23">IFERROR(MIN(IF(Raw!$A$2:$A$26=MHT!A23,Raw!$C$2:$C$20)),"")</f>
        <v/>
      </c>
      <c r="D23" s="14" t="str">
        <f t="array" ref="D23">IF(Raw!D16="","",IFERROR(MAX(IF(Raw!$A$2:$A$26=MHT!A23,Raw!$D$2:$D$20)),""))</f>
        <v/>
      </c>
      <c r="E23" s="6" t="str">
        <f>IF(SUMIF(Raw!$A$2:$A$500, MHT!A23, Raw!$F$2:$F$500) = TIME(0,0,0), "", SUMIF(Raw!$A$2:$A$500, MHT!A23, Raw!$F$2:$F$500))</f>
        <v/>
      </c>
      <c r="F23" s="12" t="str">
        <f t="array" ref="F23">IF(A23="", "", IF(COUNTIF(Raw!$H$1:$I$500, A23) &gt; 0, "Done", IF(COUNTIF(Raw!$J$1:$J$500, A23) &gt; 0, "Pause", IF(COUNTIF(Raw!$K$1:$K$500, A23) &gt; 0, "On-Going", "Pause"))))</f>
        <v/>
      </c>
      <c r="G23" s="51"/>
      <c r="H23" s="50"/>
    </row>
    <row r="24" spans="1:8" x14ac:dyDescent="0.4">
      <c r="A24" s="61"/>
      <c r="B24" s="16" t="str">
        <f t="array" ref="B24">IFERROR(MIN(IF(Raw!$A$2:$A$26=MHT!A24,Raw!$B$2:$B$20)),"")</f>
        <v/>
      </c>
      <c r="C24" s="13" t="str">
        <f t="array" ref="C24">IFERROR(MIN(IF(Raw!$A$2:$A$26=MHT!A24,Raw!$C$2:$C$20)),"")</f>
        <v/>
      </c>
      <c r="D24" s="14" t="str">
        <f t="array" ref="D24">IF(Raw!D17="","",IFERROR(MAX(IF(Raw!$A$2:$A$26=MHT!A24,Raw!$D$2:$D$20)),""))</f>
        <v/>
      </c>
      <c r="E24" s="6" t="str">
        <f>IF(SUMIF(Raw!$A$2:$A$500, MHT!A24, Raw!$F$2:$F$500) = TIME(0,0,0), "", SUMIF(Raw!$A$2:$A$500, MHT!A24, Raw!$F$2:$F$500))</f>
        <v/>
      </c>
      <c r="F24" s="12" t="str">
        <f t="array" ref="F24">IF(A24="", "", IF(COUNTIF(Raw!$H$1:$I$500, A24) &gt; 0, "Done", IF(COUNTIF(Raw!$J$1:$J$500, A24) &gt; 0, "Pause", IF(COUNTIF(Raw!$K$1:$K$500, A24) &gt; 0, "On-Going", "Pause"))))</f>
        <v/>
      </c>
      <c r="G24" s="51"/>
      <c r="H24" s="50"/>
    </row>
    <row r="25" spans="1:8" x14ac:dyDescent="0.4">
      <c r="A25" s="61"/>
      <c r="B25" s="16" t="str">
        <f t="array" ref="B25">IFERROR(MIN(IF(Raw!$A$2:$A$26=MHT!A25,Raw!$B$2:$B$20)),"")</f>
        <v/>
      </c>
      <c r="C25" s="13" t="str">
        <f t="array" ref="C25">IFERROR(MIN(IF(Raw!$A$2:$A$26=MHT!A25,Raw!$C$2:$C$20)),"")</f>
        <v/>
      </c>
      <c r="D25" s="14" t="str">
        <f t="array" ref="D25">IF(Raw!D18="","",IFERROR(MAX(IF(Raw!$A$2:$A$26=MHT!A25,Raw!$D$2:$D$20)),""))</f>
        <v/>
      </c>
      <c r="E25" s="6" t="str">
        <f>IF(SUMIF(Raw!$A$2:$A$500, MHT!A25, Raw!$F$2:$F$500) = TIME(0,0,0), "", SUMIF(Raw!$A$2:$A$500, MHT!A25, Raw!$F$2:$F$500))</f>
        <v/>
      </c>
      <c r="F25" s="12" t="str">
        <f t="array" ref="F25">IF(A25="", "", IF(COUNTIF(Raw!$H$1:$I$500, A25) &gt; 0, "Done", IF(COUNTIF(Raw!$J$1:$J$500, A25) &gt; 0, "Pause", IF(COUNTIF(Raw!$K$1:$K$500, A25) &gt; 0, "On-Going", "Pause"))))</f>
        <v/>
      </c>
      <c r="G25" s="51"/>
      <c r="H25" s="50"/>
    </row>
    <row r="26" spans="1:8" x14ac:dyDescent="0.4">
      <c r="A26" s="61"/>
      <c r="B26" s="16" t="str">
        <f t="array" ref="B26">IFERROR(MIN(IF(Raw!$A$2:$A$26=MHT!A26,Raw!$B$2:$B$20)),"")</f>
        <v/>
      </c>
      <c r="C26" s="13" t="str">
        <f t="array" ref="C26">IFERROR(MIN(IF(Raw!$A$2:$A$26=MHT!A26,Raw!$C$2:$C$20)),"")</f>
        <v/>
      </c>
      <c r="D26" s="14" t="str">
        <f t="array" ref="D26">IF(Raw!D19="","",IFERROR(MAX(IF(Raw!$A$2:$A$26=MHT!A26,Raw!$D$2:$D$20)),""))</f>
        <v/>
      </c>
      <c r="E26" s="6" t="str">
        <f>IF(SUMIF(Raw!$A$2:$A$500, MHT!A26, Raw!$F$2:$F$500) = TIME(0,0,0), "", SUMIF(Raw!$A$2:$A$500, MHT!A26, Raw!$F$2:$F$500))</f>
        <v/>
      </c>
      <c r="F26" s="12" t="str">
        <f t="array" ref="F26">IF(A26="", "", IF(COUNTIF(Raw!$H$1:$I$500, A26) &gt; 0, "Done", IF(COUNTIF(Raw!$J$1:$J$500, A26) &gt; 0, "Pause", IF(COUNTIF(Raw!$K$1:$K$500, A26) &gt; 0, "On-Going", "Pause"))))</f>
        <v/>
      </c>
      <c r="G26" s="51"/>
      <c r="H26" s="50"/>
    </row>
    <row r="27" spans="1:8" x14ac:dyDescent="0.4">
      <c r="A27" s="61"/>
      <c r="B27" s="16" t="str">
        <f t="array" ref="B27">IFERROR(MIN(IF(Raw!$A$2:$A$26=MHT!A27,Raw!$B$2:$B$20)),"")</f>
        <v/>
      </c>
      <c r="C27" s="13" t="str">
        <f t="array" ref="C27">IFERROR(MIN(IF(Raw!$A$2:$A$26=MHT!A27,Raw!$C$2:$C$20)),"")</f>
        <v/>
      </c>
      <c r="D27" s="14" t="str">
        <f t="array" ref="D27">IF(Raw!D20="","",IFERROR(MAX(IF(Raw!$A$2:$A$26=MHT!A27,Raw!$D$2:$D$20)),""))</f>
        <v/>
      </c>
      <c r="E27" s="6" t="str">
        <f>IF(SUMIF(Raw!$A$2:$A$500, MHT!A27, Raw!$F$2:$F$500) = TIME(0,0,0), "", SUMIF(Raw!$A$2:$A$500, MHT!A27, Raw!$F$2:$F$500))</f>
        <v/>
      </c>
      <c r="F27" s="12" t="str">
        <f t="array" ref="F27">IF(A27="", "", IF(COUNTIF(Raw!$H$1:$I$500, A27) &gt; 0, "Done", IF(COUNTIF(Raw!$J$1:$J$500, A27) &gt; 0, "Pause", IF(COUNTIF(Raw!$K$1:$K$500, A27) &gt; 0, "On-Going", "Pause"))))</f>
        <v/>
      </c>
      <c r="G27" s="51"/>
      <c r="H27" s="50"/>
    </row>
    <row r="28" spans="1:8" x14ac:dyDescent="0.4">
      <c r="A28" s="61"/>
      <c r="B28" s="16" t="str">
        <f t="array" ref="B28">IFERROR(MIN(IF(Raw!$A$2:$A$26=MHT!A28,Raw!$B$2:$B$20)),"")</f>
        <v/>
      </c>
      <c r="C28" s="13" t="str">
        <f t="array" ref="C28">IFERROR(MIN(IF(Raw!$A$2:$A$26=MHT!A28,Raw!$C$2:$C$20)),"")</f>
        <v/>
      </c>
      <c r="D28" s="14" t="str">
        <f t="array" ref="D28">IF(Raw!D21="","",IFERROR(MAX(IF(Raw!$A$2:$A$26=MHT!A28,Raw!$D$2:$D$20)),""))</f>
        <v/>
      </c>
      <c r="E28" s="6" t="str">
        <f>IF(SUMIF(Raw!$A$2:$A$500, MHT!A28, Raw!$F$2:$F$500) = TIME(0,0,0), "", SUMIF(Raw!$A$2:$A$500, MHT!A28, Raw!$F$2:$F$500))</f>
        <v/>
      </c>
      <c r="F28" s="12" t="str">
        <f t="array" ref="F28">IF(A28="", "", IF(COUNTIF(Raw!$H$1:$I$500, A28) &gt; 0, "Done", IF(COUNTIF(Raw!$J$1:$J$500, A28) &gt; 0, "Pause", IF(COUNTIF(Raw!$K$1:$K$500, A28) &gt; 0, "On-Going", "Pause"))))</f>
        <v/>
      </c>
      <c r="G28" s="51"/>
      <c r="H28" s="50"/>
    </row>
    <row r="29" spans="1:8" x14ac:dyDescent="0.4">
      <c r="A29" s="61"/>
      <c r="B29" s="16" t="str">
        <f t="array" ref="B29">IFERROR(MIN(IF(Raw!$A$2:$A$26=MHT!A29,Raw!$B$2:$B$20)),"")</f>
        <v/>
      </c>
      <c r="C29" s="13" t="str">
        <f t="array" ref="C29">IFERROR(MIN(IF(Raw!$A$2:$A$26=MHT!A29,Raw!$C$2:$C$20)),"")</f>
        <v/>
      </c>
      <c r="D29" s="14" t="str">
        <f t="array" ref="D29">IF(Raw!D22="","",IFERROR(MAX(IF(Raw!$A$2:$A$26=MHT!A29,Raw!$D$2:$D$20)),""))</f>
        <v/>
      </c>
      <c r="E29" s="6" t="str">
        <f>IF(SUMIF(Raw!$A$2:$A$500, MHT!A29, Raw!$F$2:$F$500) = TIME(0,0,0), "", SUMIF(Raw!$A$2:$A$500, MHT!A29, Raw!$F$2:$F$500))</f>
        <v/>
      </c>
      <c r="F29" s="12" t="str">
        <f t="array" ref="F29">IF(A29="", "", IF(COUNTIF(Raw!$H$1:$I$500, A29) &gt; 0, "Done", IF(COUNTIF(Raw!$J$1:$J$500, A29) &gt; 0, "Pause", IF(COUNTIF(Raw!$K$1:$K$500, A29) &gt; 0, "On-Going", "Pause"))))</f>
        <v/>
      </c>
      <c r="G29" s="51"/>
      <c r="H29" s="50"/>
    </row>
    <row r="30" spans="1:8" x14ac:dyDescent="0.4">
      <c r="A30" s="61"/>
      <c r="B30" s="16" t="str">
        <f t="array" ref="B30">IFERROR(MIN(IF(Raw!$A$2:$A$26=MHT!A30,Raw!$B$2:$B$20)),"")</f>
        <v/>
      </c>
      <c r="C30" s="13" t="str">
        <f t="array" ref="C30">IFERROR(MIN(IF(Raw!$A$2:$A$26=MHT!A30,Raw!$C$2:$C$20)),"")</f>
        <v/>
      </c>
      <c r="D30" s="14" t="str">
        <f t="array" ref="D30">IF(Raw!D23="","",IFERROR(MAX(IF(Raw!$A$2:$A$26=MHT!A30,Raw!$D$2:$D$20)),""))</f>
        <v/>
      </c>
      <c r="E30" s="6" t="str">
        <f>IF(SUMIF(Raw!$A$2:$A$500, MHT!A30, Raw!$F$2:$F$500) = TIME(0,0,0), "", SUMIF(Raw!$A$2:$A$500, MHT!A30, Raw!$F$2:$F$500))</f>
        <v/>
      </c>
      <c r="F30" s="12" t="str">
        <f t="array" ref="F30">IF(A30="", "", IF(COUNTIF(Raw!$H$1:$I$500, A30) &gt; 0, "Done", IF(COUNTIF(Raw!$J$1:$J$500, A30) &gt; 0, "Pause", IF(COUNTIF(Raw!$K$1:$K$500, A30) &gt; 0, "On-Going", "Pause"))))</f>
        <v/>
      </c>
      <c r="G30" s="51"/>
      <c r="H30" s="50"/>
    </row>
    <row r="31" spans="1:8" x14ac:dyDescent="0.4">
      <c r="A31" s="61"/>
      <c r="B31" s="16" t="str">
        <f t="array" ref="B31">IFERROR(MIN(IF(Raw!$A$2:$A$26=MHT!A31,Raw!$B$2:$B$20)),"")</f>
        <v/>
      </c>
      <c r="C31" s="13" t="str">
        <f t="array" ref="C31">IFERROR(MIN(IF(Raw!$A$2:$A$26=MHT!A31,Raw!$C$2:$C$20)),"")</f>
        <v/>
      </c>
      <c r="D31" s="14" t="str">
        <f t="array" ref="D31">IF(Raw!D24="","",IFERROR(MAX(IF(Raw!$A$2:$A$26=MHT!A31,Raw!$D$2:$D$20)),""))</f>
        <v/>
      </c>
      <c r="E31" s="6" t="str">
        <f>IF(SUMIF(Raw!$A$2:$A$500, MHT!A31, Raw!$F$2:$F$500) = TIME(0,0,0), "", SUMIF(Raw!$A$2:$A$500, MHT!A31, Raw!$F$2:$F$500))</f>
        <v/>
      </c>
      <c r="F31" s="12" t="str">
        <f t="array" ref="F31">IF(A31="", "", IF(COUNTIF(Raw!$H$1:$I$500, A31) &gt; 0, "Done", IF(COUNTIF(Raw!$J$1:$J$500, A31) &gt; 0, "Pause", IF(COUNTIF(Raw!$K$1:$K$500, A31) &gt; 0, "On-Going", "Pause"))))</f>
        <v/>
      </c>
      <c r="G31" s="51"/>
      <c r="H31" s="50"/>
    </row>
    <row r="32" spans="1:8" x14ac:dyDescent="0.4">
      <c r="A32" s="61"/>
      <c r="B32" s="16" t="str">
        <f t="array" ref="B32">IFERROR(MIN(IF(Raw!$A$2:$A$26=MHT!A32,Raw!$B$2:$B$20)),"")</f>
        <v/>
      </c>
      <c r="C32" s="13" t="str">
        <f t="array" ref="C32">IFERROR(MIN(IF(Raw!$A$2:$A$26=MHT!A32,Raw!$C$2:$C$20)),"")</f>
        <v/>
      </c>
      <c r="D32" s="14" t="str">
        <f t="array" ref="D32">IF(Raw!D25="","",IFERROR(MAX(IF(Raw!$A$2:$A$26=MHT!A32,Raw!$D$2:$D$20)),""))</f>
        <v/>
      </c>
      <c r="E32" s="6" t="str">
        <f>IF(SUMIF(Raw!$A$2:$A$500, MHT!A32, Raw!$F$2:$F$500) = TIME(0,0,0), "", SUMIF(Raw!$A$2:$A$500, MHT!A32, Raw!$F$2:$F$500))</f>
        <v/>
      </c>
      <c r="F32" s="12" t="str">
        <f t="array" ref="F32">IF(A32="", "", IF(COUNTIF(Raw!$H$1:$I$500, A32) &gt; 0, "Done", IF(COUNTIF(Raw!$J$1:$J$500, A32) &gt; 0, "Pause", IF(COUNTIF(Raw!$K$1:$K$500, A32) &gt; 0, "On-Going", "Pause"))))</f>
        <v/>
      </c>
      <c r="G32" s="51"/>
      <c r="H32" s="50"/>
    </row>
    <row r="33" spans="1:8" x14ac:dyDescent="0.4">
      <c r="A33" s="61"/>
      <c r="B33" s="16" t="str">
        <f t="array" ref="B33">IFERROR(MIN(IF(Raw!$A$2:$A$26=MHT!A33,Raw!$B$2:$B$20)),"")</f>
        <v/>
      </c>
      <c r="C33" s="13" t="str">
        <f t="array" ref="C33">IFERROR(MIN(IF(Raw!$A$2:$A$26=MHT!A33,Raw!$C$2:$C$20)),"")</f>
        <v/>
      </c>
      <c r="D33" s="14" t="str">
        <f t="array" ref="D33">IF(Raw!D26="","",IFERROR(MAX(IF(Raw!$A$2:$A$26=MHT!A33,Raw!$D$2:$D$20)),""))</f>
        <v/>
      </c>
      <c r="E33" s="6" t="str">
        <f>IF(SUMIF(Raw!$A$2:$A$500, MHT!A33, Raw!$F$2:$F$500) = TIME(0,0,0), "", SUMIF(Raw!$A$2:$A$500, MHT!A33, Raw!$F$2:$F$500))</f>
        <v/>
      </c>
      <c r="F33" s="12" t="str">
        <f t="array" ref="F33">IF(A33="", "", IF(COUNTIF(Raw!$H$1:$I$500, A33) &gt; 0, "Done", IF(COUNTIF(Raw!$J$1:$J$500, A33) &gt; 0, "Pause", IF(COUNTIF(Raw!$K$1:$K$500, A33) &gt; 0, "On-Going", "Pause"))))</f>
        <v/>
      </c>
      <c r="G33" s="51"/>
      <c r="H33" s="50"/>
    </row>
    <row r="34" spans="1:8" x14ac:dyDescent="0.4">
      <c r="A34" s="61"/>
      <c r="B34" s="16" t="str">
        <f t="array" ref="B34">IFERROR(MIN(IF(Raw!$A$2:$A$26=MHT!A34,Raw!$B$2:$B$20)),"")</f>
        <v/>
      </c>
      <c r="C34" s="13" t="str">
        <f t="array" ref="C34">IFERROR(MIN(IF(Raw!$A$2:$A$26=MHT!A34,Raw!$C$2:$C$20)),"")</f>
        <v/>
      </c>
      <c r="D34" s="14" t="str">
        <f t="array" ref="D34">IF(Raw!D27="","",IFERROR(MAX(IF(Raw!$A$2:$A$26=MHT!A34,Raw!$D$2:$D$20)),""))</f>
        <v/>
      </c>
      <c r="E34" s="6" t="str">
        <f>IF(SUMIF(Raw!$A$2:$A$500, MHT!A34, Raw!$F$2:$F$500) = TIME(0,0,0), "", SUMIF(Raw!$A$2:$A$500, MHT!A34, Raw!$F$2:$F$500))</f>
        <v/>
      </c>
      <c r="F34" s="12" t="str">
        <f t="array" ref="F34">IF(A34="", "", IF(COUNTIF(Raw!$H$1:$I$500, A34) &gt; 0, "Done", IF(COUNTIF(Raw!$J$1:$J$500, A34) &gt; 0, "Pause", IF(COUNTIF(Raw!$K$1:$K$500, A34) &gt; 0, "On-Going", "Pause"))))</f>
        <v/>
      </c>
      <c r="G34" s="51"/>
      <c r="H34" s="50"/>
    </row>
    <row r="35" spans="1:8" x14ac:dyDescent="0.4">
      <c r="A35" s="61"/>
      <c r="B35" s="16" t="str">
        <f t="array" ref="B35">IFERROR(MIN(IF(Raw!$A$2:$A$26=MHT!A35,Raw!$B$2:$B$20)),"")</f>
        <v/>
      </c>
      <c r="C35" s="13" t="str">
        <f t="array" ref="C35">IFERROR(MIN(IF(Raw!$A$2:$A$26=MHT!A35,Raw!$C$2:$C$20)),"")</f>
        <v/>
      </c>
      <c r="D35" s="14" t="str">
        <f t="array" ref="D35">IF(Raw!D28="","",IFERROR(MAX(IF(Raw!$A$2:$A$26=MHT!A35,Raw!$D$2:$D$20)),""))</f>
        <v/>
      </c>
      <c r="E35" s="6" t="str">
        <f>IF(SUMIF(Raw!$A$2:$A$500, MHT!A35, Raw!$F$2:$F$500) = TIME(0,0,0), "", SUMIF(Raw!$A$2:$A$500, MHT!A35, Raw!$F$2:$F$500))</f>
        <v/>
      </c>
      <c r="F35" s="12" t="str">
        <f t="array" ref="F35">IF(A35="", "", IF(COUNTIF(Raw!$H$1:$I$500, A35) &gt; 0, "Done", IF(COUNTIF(Raw!$J$1:$J$500, A35) &gt; 0, "Pause", IF(COUNTIF(Raw!$K$1:$K$500, A35) &gt; 0, "On-Going", "Pause"))))</f>
        <v/>
      </c>
      <c r="G35" s="51"/>
      <c r="H35" s="50"/>
    </row>
    <row r="36" spans="1:8" x14ac:dyDescent="0.4">
      <c r="A36" s="61"/>
      <c r="B36" s="16" t="str">
        <f t="array" ref="B36">IFERROR(MIN(IF(Raw!$A$2:$A$26=MHT!A36,Raw!$B$2:$B$20)),"")</f>
        <v/>
      </c>
      <c r="C36" s="13" t="str">
        <f t="array" ref="C36">IFERROR(MIN(IF(Raw!$A$2:$A$26=MHT!A36,Raw!$C$2:$C$20)),"")</f>
        <v/>
      </c>
      <c r="D36" s="14" t="str">
        <f t="array" ref="D36">IF(Raw!D29="","",IFERROR(MAX(IF(Raw!$A$2:$A$26=MHT!A36,Raw!$D$2:$D$20)),""))</f>
        <v/>
      </c>
      <c r="E36" s="6" t="str">
        <f>IF(SUMIF(Raw!$A$2:$A$500, MHT!A36, Raw!$F$2:$F$500) = TIME(0,0,0), "", SUMIF(Raw!$A$2:$A$500, MHT!A36, Raw!$F$2:$F$500))</f>
        <v/>
      </c>
      <c r="F36" s="12" t="str">
        <f t="array" ref="F36">IF(A36="", "", IF(COUNTIF(Raw!$H$1:$I$500, A36) &gt; 0, "Done", IF(COUNTIF(Raw!$J$1:$J$500, A36) &gt; 0, "Pause", IF(COUNTIF(Raw!$K$1:$K$500, A36) &gt; 0, "On-Going", "Pause"))))</f>
        <v/>
      </c>
      <c r="G36" s="51"/>
      <c r="H36" s="50"/>
    </row>
    <row r="37" spans="1:8" x14ac:dyDescent="0.4">
      <c r="A37" s="61"/>
      <c r="B37" s="16" t="str">
        <f t="array" ref="B37">IFERROR(MIN(IF(Raw!$A$2:$A$26=MHT!A37,Raw!$B$2:$B$20)),"")</f>
        <v/>
      </c>
      <c r="C37" s="13" t="str">
        <f t="array" ref="C37">IFERROR(MIN(IF(Raw!$A$2:$A$26=MHT!A37,Raw!$C$2:$C$20)),"")</f>
        <v/>
      </c>
      <c r="D37" s="14" t="str">
        <f t="array" ref="D37">IF(Raw!D30="","",IFERROR(MAX(IF(Raw!$A$2:$A$26=MHT!A37,Raw!$D$2:$D$20)),""))</f>
        <v/>
      </c>
      <c r="E37" s="6" t="str">
        <f>IF(SUMIF(Raw!$A$2:$A$500, MHT!A37, Raw!$F$2:$F$500) = TIME(0,0,0), "", SUMIF(Raw!$A$2:$A$500, MHT!A37, Raw!$F$2:$F$500))</f>
        <v/>
      </c>
      <c r="F37" s="12" t="str">
        <f t="array" ref="F37">IF(A37="", "", IF(COUNTIF(Raw!$H$1:$I$500, A37) &gt; 0, "Done", IF(COUNTIF(Raw!$J$1:$J$500, A37) &gt; 0, "Pause", IF(COUNTIF(Raw!$K$1:$K$500, A37) &gt; 0, "On-Going", "Pause"))))</f>
        <v/>
      </c>
      <c r="G37" s="51"/>
      <c r="H37" s="50"/>
    </row>
    <row r="38" spans="1:8" x14ac:dyDescent="0.4">
      <c r="A38" s="61"/>
      <c r="B38" s="16" t="str">
        <f t="array" ref="B38">IFERROR(MIN(IF(Raw!$A$2:$A$26=MHT!A38,Raw!$B$2:$B$20)),"")</f>
        <v/>
      </c>
      <c r="C38" s="13" t="str">
        <f t="array" ref="C38">IFERROR(MIN(IF(Raw!$A$2:$A$26=MHT!A38,Raw!$C$2:$C$20)),"")</f>
        <v/>
      </c>
      <c r="D38" s="14" t="str">
        <f t="array" ref="D38">IF(Raw!D31="","",IFERROR(MAX(IF(Raw!$A$2:$A$26=MHT!A38,Raw!$D$2:$D$20)),""))</f>
        <v/>
      </c>
      <c r="E38" s="6" t="str">
        <f>IF(SUMIF(Raw!$A$2:$A$500, MHT!A38, Raw!$F$2:$F$500) = TIME(0,0,0), "", SUMIF(Raw!$A$2:$A$500, MHT!A38, Raw!$F$2:$F$500))</f>
        <v/>
      </c>
      <c r="F38" s="12" t="str">
        <f t="array" ref="F38">IF(A38="", "", IF(COUNTIF(Raw!$H$1:$I$500, A38) &gt; 0, "Done", IF(COUNTIF(Raw!$J$1:$J$500, A38) &gt; 0, "Pause", IF(COUNTIF(Raw!$K$1:$K$500, A38) &gt; 0, "On-Going", "Pause"))))</f>
        <v/>
      </c>
      <c r="G38" s="51"/>
      <c r="H38" s="50"/>
    </row>
    <row r="39" spans="1:8" x14ac:dyDescent="0.4">
      <c r="A39" s="61"/>
      <c r="B39" s="16" t="str">
        <f t="array" ref="B39">IFERROR(MIN(IF(Raw!$A$2:$A$26=MHT!A39,Raw!$B$2:$B$20)),"")</f>
        <v/>
      </c>
      <c r="C39" s="13" t="str">
        <f t="array" ref="C39">IFERROR(MIN(IF(Raw!$A$2:$A$26=MHT!A39,Raw!$C$2:$C$20)),"")</f>
        <v/>
      </c>
      <c r="D39" s="14" t="str">
        <f t="array" ref="D39">IF(Raw!D32="","",IFERROR(MAX(IF(Raw!$A$2:$A$26=MHT!A39,Raw!$D$2:$D$20)),""))</f>
        <v/>
      </c>
      <c r="E39" s="6" t="str">
        <f>IF(SUMIF(Raw!$A$2:$A$500, MHT!A39, Raw!$F$2:$F$500) = TIME(0,0,0), "", SUMIF(Raw!$A$2:$A$500, MHT!A39, Raw!$F$2:$F$500))</f>
        <v/>
      </c>
      <c r="F39" s="12" t="str">
        <f t="array" ref="F39">IF(A39="", "", IF(COUNTIF(Raw!$H$1:$I$500, A39) &gt; 0, "Done", IF(COUNTIF(Raw!$J$1:$J$500, A39) &gt; 0, "Pause", IF(COUNTIF(Raw!$K$1:$K$500, A39) &gt; 0, "On-Going", "Pause"))))</f>
        <v/>
      </c>
      <c r="G39" s="51"/>
      <c r="H39" s="50"/>
    </row>
    <row r="40" spans="1:8" x14ac:dyDescent="0.4">
      <c r="A40" s="61"/>
      <c r="B40" s="16" t="str">
        <f t="array" ref="B40">IFERROR(MIN(IF(Raw!$A$2:$A$26=MHT!A40,Raw!$B$2:$B$20)),"")</f>
        <v/>
      </c>
      <c r="C40" s="13" t="str">
        <f t="array" ref="C40">IFERROR(MIN(IF(Raw!$A$2:$A$26=MHT!A40,Raw!$C$2:$C$20)),"")</f>
        <v/>
      </c>
      <c r="D40" s="14" t="str">
        <f t="array" ref="D40">IF(Raw!D33="","",IFERROR(MAX(IF(Raw!$A$2:$A$26=MHT!A40,Raw!$D$2:$D$20)),""))</f>
        <v/>
      </c>
      <c r="E40" s="6" t="str">
        <f>IF(SUMIF(Raw!$A$2:$A$500, MHT!A40, Raw!$F$2:$F$500) = TIME(0,0,0), "", SUMIF(Raw!$A$2:$A$500, MHT!A40, Raw!$F$2:$F$500))</f>
        <v/>
      </c>
      <c r="F40" s="12" t="str">
        <f t="array" ref="F40">IF(A40="", "", IF(COUNTIF(Raw!$H$1:$I$500, A40) &gt; 0, "Done", IF(COUNTIF(Raw!$J$1:$J$500, A40) &gt; 0, "Pause", IF(COUNTIF(Raw!$K$1:$K$500, A40) &gt; 0, "On-Going", "Pause"))))</f>
        <v/>
      </c>
      <c r="G40" s="51"/>
      <c r="H40" s="50"/>
    </row>
    <row r="41" spans="1:8" x14ac:dyDescent="0.4">
      <c r="A41" s="61"/>
      <c r="B41" s="16" t="str">
        <f t="array" ref="B41">IFERROR(MIN(IF(Raw!$A$2:$A$26=MHT!A41,Raw!$B$2:$B$20)),"")</f>
        <v/>
      </c>
      <c r="C41" s="13" t="str">
        <f t="array" ref="C41">IFERROR(MIN(IF(Raw!$A$2:$A$26=MHT!A41,Raw!$C$2:$C$20)),"")</f>
        <v/>
      </c>
      <c r="D41" s="14" t="str">
        <f t="array" ref="D41">IF(Raw!D34="","",IFERROR(MAX(IF(Raw!$A$2:$A$26=MHT!A41,Raw!$D$2:$D$20)),""))</f>
        <v/>
      </c>
      <c r="E41" s="6" t="str">
        <f>IF(SUMIF(Raw!$A$2:$A$500, MHT!A41, Raw!$F$2:$F$500) = TIME(0,0,0), "", SUMIF(Raw!$A$2:$A$500, MHT!A41, Raw!$F$2:$F$500))</f>
        <v/>
      </c>
      <c r="F41" s="12" t="str">
        <f t="array" ref="F41">IF(A41="", "", IF(COUNTIF(Raw!$H$1:$I$500, A41) &gt; 0, "Done", IF(COUNTIF(Raw!$J$1:$J$500, A41) &gt; 0, "Pause", IF(COUNTIF(Raw!$K$1:$K$500, A41) &gt; 0, "On-Going", "Pause"))))</f>
        <v/>
      </c>
      <c r="G41" s="51"/>
      <c r="H41" s="50"/>
    </row>
    <row r="42" spans="1:8" x14ac:dyDescent="0.4">
      <c r="A42" s="61"/>
      <c r="B42" s="16" t="str">
        <f t="array" ref="B42">IFERROR(MIN(IF(Raw!$A$2:$A$26=MHT!A42,Raw!$B$2:$B$20)),"")</f>
        <v/>
      </c>
      <c r="C42" s="13" t="str">
        <f t="array" ref="C42">IFERROR(MIN(IF(Raw!$A$2:$A$26=MHT!A42,Raw!$C$2:$C$20)),"")</f>
        <v/>
      </c>
      <c r="D42" s="14" t="str">
        <f t="array" ref="D42">IF(Raw!D35="","",IFERROR(MAX(IF(Raw!$A$2:$A$26=MHT!A42,Raw!$D$2:$D$20)),""))</f>
        <v/>
      </c>
      <c r="E42" s="6" t="str">
        <f>IF(SUMIF(Raw!$A$2:$A$500, MHT!A42, Raw!$F$2:$F$500) = TIME(0,0,0), "", SUMIF(Raw!$A$2:$A$500, MHT!A42, Raw!$F$2:$F$500))</f>
        <v/>
      </c>
      <c r="F42" s="12" t="str">
        <f t="array" ref="F42">IF(A42="", "", IF(COUNTIF(Raw!$H$1:$I$500, A42) &gt; 0, "Done", IF(COUNTIF(Raw!$J$1:$J$500, A42) &gt; 0, "Pause", IF(COUNTIF(Raw!$K$1:$K$500, A42) &gt; 0, "On-Going", "Pause"))))</f>
        <v/>
      </c>
      <c r="G42" s="51"/>
      <c r="H42" s="50"/>
    </row>
    <row r="43" spans="1:8" x14ac:dyDescent="0.4">
      <c r="A43" s="61"/>
      <c r="B43" s="16" t="str">
        <f t="array" ref="B43">IFERROR(MIN(IF(Raw!$A$2:$A$26=MHT!A43,Raw!$B$2:$B$20)),"")</f>
        <v/>
      </c>
      <c r="C43" s="13" t="str">
        <f t="array" ref="C43">IFERROR(MIN(IF(Raw!$A$2:$A$26=MHT!A43,Raw!$C$2:$C$20)),"")</f>
        <v/>
      </c>
      <c r="D43" s="14" t="str">
        <f t="array" ref="D43">IF(Raw!D36="","",IFERROR(MAX(IF(Raw!$A$2:$A$26=MHT!A43,Raw!$D$2:$D$20)),""))</f>
        <v/>
      </c>
      <c r="E43" s="6" t="str">
        <f>IF(SUMIF(Raw!$A$2:$A$500, MHT!A43, Raw!$F$2:$F$500) = TIME(0,0,0), "", SUMIF(Raw!$A$2:$A$500, MHT!A43, Raw!$F$2:$F$500))</f>
        <v/>
      </c>
      <c r="F43" s="12" t="str">
        <f t="array" ref="F43">IF(A43="", "", IF(COUNTIF(Raw!$H$1:$I$500, A43) &gt; 0, "Done", IF(COUNTIF(Raw!$J$1:$J$500, A43) &gt; 0, "Pause", IF(COUNTIF(Raw!$K$1:$K$500, A43) &gt; 0, "On-Going", "Pause"))))</f>
        <v/>
      </c>
      <c r="G43" s="51"/>
      <c r="H43" s="50"/>
    </row>
    <row r="44" spans="1:8" x14ac:dyDescent="0.4">
      <c r="A44" s="61"/>
      <c r="B44" s="16" t="str">
        <f t="array" ref="B44">IFERROR(MIN(IF(Raw!$A$2:$A$26=MHT!A44,Raw!$B$2:$B$20)),"")</f>
        <v/>
      </c>
      <c r="C44" s="13" t="str">
        <f t="array" ref="C44">IFERROR(MIN(IF(Raw!$A$2:$A$26=MHT!A44,Raw!$C$2:$C$20)),"")</f>
        <v/>
      </c>
      <c r="D44" s="14" t="str">
        <f t="array" ref="D44">IF(Raw!D37="","",IFERROR(MAX(IF(Raw!$A$2:$A$26=MHT!A44,Raw!$D$2:$D$20)),""))</f>
        <v/>
      </c>
      <c r="E44" s="6" t="str">
        <f>IF(SUMIF(Raw!$A$2:$A$500, MHT!A44, Raw!$F$2:$F$500) = TIME(0,0,0), "", SUMIF(Raw!$A$2:$A$500, MHT!A44, Raw!$F$2:$F$500))</f>
        <v/>
      </c>
      <c r="F44" s="12" t="str">
        <f t="array" ref="F44">IF(A44="", "", IF(COUNTIF(Raw!$H$1:$I$500, A44) &gt; 0, "Done", IF(COUNTIF(Raw!$J$1:$J$500, A44) &gt; 0, "Pause", IF(COUNTIF(Raw!$K$1:$K$500, A44) &gt; 0, "On-Going", "Pause"))))</f>
        <v/>
      </c>
      <c r="G44" s="51"/>
      <c r="H44" s="50"/>
    </row>
    <row r="45" spans="1:8" x14ac:dyDescent="0.4">
      <c r="A45" s="61"/>
      <c r="B45" s="16" t="str">
        <f t="array" ref="B45">IFERROR(MIN(IF(Raw!$A$2:$A$26=MHT!A45,Raw!$B$2:$B$20)),"")</f>
        <v/>
      </c>
      <c r="C45" s="13" t="str">
        <f t="array" ref="C45">IFERROR(MIN(IF(Raw!$A$2:$A$26=MHT!A45,Raw!$C$2:$C$20)),"")</f>
        <v/>
      </c>
      <c r="D45" s="14" t="str">
        <f t="array" ref="D45">IF(Raw!D38="","",IFERROR(MAX(IF(Raw!$A$2:$A$26=MHT!A45,Raw!$D$2:$D$20)),""))</f>
        <v/>
      </c>
      <c r="E45" s="6" t="str">
        <f>IF(SUMIF(Raw!$A$2:$A$500, MHT!A45, Raw!$F$2:$F$500) = TIME(0,0,0), "", SUMIF(Raw!$A$2:$A$500, MHT!A45, Raw!$F$2:$F$500))</f>
        <v/>
      </c>
      <c r="F45" s="12" t="str">
        <f t="array" ref="F45">IF(A45="", "", IF(COUNTIF(Raw!$H$1:$I$500, A45) &gt; 0, "Done", IF(COUNTIF(Raw!$J$1:$J$500, A45) &gt; 0, "Pause", IF(COUNTIF(Raw!$K$1:$K$500, A45) &gt; 0, "On-Going", "Pause"))))</f>
        <v/>
      </c>
      <c r="G45" s="51"/>
      <c r="H45" s="50"/>
    </row>
    <row r="46" spans="1:8" x14ac:dyDescent="0.4">
      <c r="A46" s="61"/>
      <c r="B46" s="16" t="str">
        <f t="array" ref="B46">IFERROR(MIN(IF(Raw!$A$2:$A$26=MHT!A46,Raw!$B$2:$B$20)),"")</f>
        <v/>
      </c>
      <c r="C46" s="13" t="str">
        <f t="array" ref="C46">IFERROR(MIN(IF(Raw!$A$2:$A$26=MHT!A46,Raw!$C$2:$C$20)),"")</f>
        <v/>
      </c>
      <c r="D46" s="14" t="str">
        <f t="array" ref="D46">IF(Raw!D39="","",IFERROR(MAX(IF(Raw!$A$2:$A$26=MHT!A46,Raw!$D$2:$D$20)),""))</f>
        <v/>
      </c>
      <c r="E46" s="6" t="str">
        <f>IF(SUMIF(Raw!$A$2:$A$500, MHT!A46, Raw!$F$2:$F$500) = TIME(0,0,0), "", SUMIF(Raw!$A$2:$A$500, MHT!A46, Raw!$F$2:$F$500))</f>
        <v/>
      </c>
      <c r="F46" s="12" t="str">
        <f t="array" ref="F46">IF(A46="", "", IF(COUNTIF(Raw!$H$1:$I$500, A46) &gt; 0, "Done", IF(COUNTIF(Raw!$J$1:$J$500, A46) &gt; 0, "Pause", IF(COUNTIF(Raw!$K$1:$K$500, A46) &gt; 0, "On-Going", "Pause"))))</f>
        <v/>
      </c>
      <c r="G46" s="51"/>
      <c r="H46" s="50"/>
    </row>
    <row r="47" spans="1:8" x14ac:dyDescent="0.4">
      <c r="A47" s="61"/>
      <c r="B47" s="16" t="str">
        <f t="array" ref="B47">IFERROR(MIN(IF(Raw!$A$2:$A$26=MHT!A47,Raw!$B$2:$B$20)),"")</f>
        <v/>
      </c>
      <c r="C47" s="13" t="str">
        <f t="array" ref="C47">IFERROR(MIN(IF(Raw!$A$2:$A$26=MHT!A47,Raw!$C$2:$C$20)),"")</f>
        <v/>
      </c>
      <c r="D47" s="14" t="str">
        <f t="array" ref="D47">IF(Raw!D40="","",IFERROR(MAX(IF(Raw!$A$2:$A$26=MHT!A47,Raw!$D$2:$D$20)),""))</f>
        <v/>
      </c>
      <c r="E47" s="6" t="str">
        <f>IF(SUMIF(Raw!$A$2:$A$500, MHT!A47, Raw!$F$2:$F$500) = TIME(0,0,0), "", SUMIF(Raw!$A$2:$A$500, MHT!A47, Raw!$F$2:$F$500))</f>
        <v/>
      </c>
      <c r="F47" s="12" t="str">
        <f t="array" ref="F47">IF(A47="", "", IF(COUNTIF(Raw!$H$1:$I$500, A47) &gt; 0, "Done", IF(COUNTIF(Raw!$J$1:$J$500, A47) &gt; 0, "Pause", IF(COUNTIF(Raw!$K$1:$K$500, A47) &gt; 0, "On-Going", "Pause"))))</f>
        <v/>
      </c>
      <c r="G47" s="51"/>
      <c r="H47" s="50"/>
    </row>
    <row r="48" spans="1:8" x14ac:dyDescent="0.4">
      <c r="A48" s="61"/>
      <c r="B48" s="16" t="str">
        <f t="array" ref="B48">IFERROR(MIN(IF(Raw!$A$2:$A$26=MHT!A48,Raw!$B$2:$B$20)),"")</f>
        <v/>
      </c>
      <c r="C48" s="13" t="str">
        <f t="array" ref="C48">IFERROR(MIN(IF(Raw!$A$2:$A$26=MHT!A48,Raw!$C$2:$C$20)),"")</f>
        <v/>
      </c>
      <c r="D48" s="14" t="str">
        <f t="array" ref="D48">IF(Raw!D41="","",IFERROR(MAX(IF(Raw!$A$2:$A$26=MHT!A48,Raw!$D$2:$D$20)),""))</f>
        <v/>
      </c>
      <c r="E48" s="6" t="str">
        <f>IF(SUMIF(Raw!$A$2:$A$500, MHT!A48, Raw!$F$2:$F$500) = TIME(0,0,0), "", SUMIF(Raw!$A$2:$A$500, MHT!A48, Raw!$F$2:$F$500))</f>
        <v/>
      </c>
      <c r="F48" s="12" t="str">
        <f t="array" ref="F48">IF(A48="", "", IF(COUNTIF(Raw!$H$1:$I$500, A48) &gt; 0, "Done", IF(COUNTIF(Raw!$J$1:$J$500, A48) &gt; 0, "Pause", IF(COUNTIF(Raw!$K$1:$K$500, A48) &gt; 0, "On-Going", "Pause"))))</f>
        <v/>
      </c>
      <c r="G48" s="51"/>
      <c r="H48" s="50"/>
    </row>
    <row r="49" spans="1:8" x14ac:dyDescent="0.4">
      <c r="A49" s="61"/>
      <c r="B49" s="16" t="str">
        <f t="array" ref="B49">IFERROR(MIN(IF(Raw!$A$2:$A$26=MHT!A49,Raw!$B$2:$B$20)),"")</f>
        <v/>
      </c>
      <c r="C49" s="13" t="str">
        <f t="array" ref="C49">IFERROR(MIN(IF(Raw!$A$2:$A$26=MHT!A49,Raw!$C$2:$C$20)),"")</f>
        <v/>
      </c>
      <c r="D49" s="14" t="str">
        <f t="array" ref="D49">IF(Raw!D42="","",IFERROR(MAX(IF(Raw!$A$2:$A$26=MHT!A49,Raw!$D$2:$D$20)),""))</f>
        <v/>
      </c>
      <c r="E49" s="6" t="str">
        <f>IF(SUMIF(Raw!$A$2:$A$500, MHT!A49, Raw!$F$2:$F$500) = TIME(0,0,0), "", SUMIF(Raw!$A$2:$A$500, MHT!A49, Raw!$F$2:$F$500))</f>
        <v/>
      </c>
      <c r="F49" s="12" t="str">
        <f t="array" ref="F49">IF(A49="", "", IF(COUNTIF(Raw!$H$1:$I$500, A49) &gt; 0, "Done", IF(COUNTIF(Raw!$J$1:$J$500, A49) &gt; 0, "Pause", IF(COUNTIF(Raw!$K$1:$K$500, A49) &gt; 0, "On-Going", "Pause"))))</f>
        <v/>
      </c>
      <c r="G49" s="51"/>
      <c r="H49" s="50"/>
    </row>
    <row r="50" spans="1:8" x14ac:dyDescent="0.4">
      <c r="A50" s="61"/>
      <c r="B50" s="16" t="str">
        <f t="array" ref="B50">IFERROR(MIN(IF(Raw!$A$2:$A$26=MHT!A50,Raw!$B$2:$B$20)),"")</f>
        <v/>
      </c>
      <c r="C50" s="13" t="str">
        <f t="array" ref="C50">IFERROR(MIN(IF(Raw!$A$2:$A$26=MHT!A50,Raw!$C$2:$C$20)),"")</f>
        <v/>
      </c>
      <c r="D50" s="14" t="str">
        <f t="array" ref="D50">IF(Raw!D43="","",IFERROR(MAX(IF(Raw!$A$2:$A$26=MHT!A50,Raw!$D$2:$D$20)),""))</f>
        <v/>
      </c>
      <c r="E50" s="6" t="str">
        <f>IF(SUMIF(Raw!$A$2:$A$500, MHT!A50, Raw!$F$2:$F$500) = TIME(0,0,0), "", SUMIF(Raw!$A$2:$A$500, MHT!A50, Raw!$F$2:$F$500))</f>
        <v/>
      </c>
      <c r="F50" s="12" t="str">
        <f t="array" ref="F50">IF(A50="", "", IF(COUNTIF(Raw!$H$1:$I$500, A50) &gt; 0, "Done", IF(COUNTIF(Raw!$J$1:$J$500, A50) &gt; 0, "Pause", IF(COUNTIF(Raw!$K$1:$K$500, A50) &gt; 0, "On-Going", "Pause"))))</f>
        <v/>
      </c>
      <c r="G50" s="51"/>
      <c r="H50" s="50"/>
    </row>
    <row r="51" spans="1:8" x14ac:dyDescent="0.4">
      <c r="A51" s="61"/>
      <c r="B51" s="16" t="str">
        <f t="array" ref="B51">IFERROR(MIN(IF(Raw!$A$2:$A$26=MHT!A51,Raw!$B$2:$B$20)),"")</f>
        <v/>
      </c>
      <c r="C51" s="13" t="str">
        <f t="array" ref="C51">IFERROR(MIN(IF(Raw!$A$2:$A$26=MHT!A51,Raw!$C$2:$C$20)),"")</f>
        <v/>
      </c>
      <c r="D51" s="14" t="str">
        <f t="array" ref="D51">IF(Raw!D44="","",IFERROR(MAX(IF(Raw!$A$2:$A$26=MHT!A51,Raw!$D$2:$D$20)),""))</f>
        <v/>
      </c>
      <c r="E51" s="6" t="str">
        <f>IF(SUMIF(Raw!$A$2:$A$500, MHT!A51, Raw!$F$2:$F$500) = TIME(0,0,0), "", SUMIF(Raw!$A$2:$A$500, MHT!A51, Raw!$F$2:$F$500))</f>
        <v/>
      </c>
      <c r="F51" s="12" t="str">
        <f t="array" ref="F51">IF(A51="", "", IF(COUNTIF(Raw!$H$1:$I$500, A51) &gt; 0, "Done", IF(COUNTIF(Raw!$J$1:$J$500, A51) &gt; 0, "Pause", IF(COUNTIF(Raw!$K$1:$K$500, A51) &gt; 0, "On-Going", "Pause"))))</f>
        <v/>
      </c>
      <c r="G51" s="51"/>
      <c r="H51" s="50"/>
    </row>
    <row r="52" spans="1:8" x14ac:dyDescent="0.4">
      <c r="A52" s="61"/>
      <c r="B52" s="16" t="str">
        <f t="array" ref="B52">IFERROR(MIN(IF(Raw!$A$2:$A$26=MHT!A52,Raw!$B$2:$B$20)),"")</f>
        <v/>
      </c>
      <c r="C52" s="13" t="str">
        <f t="array" ref="C52">IFERROR(MIN(IF(Raw!$A$2:$A$26=MHT!A52,Raw!$C$2:$C$20)),"")</f>
        <v/>
      </c>
      <c r="D52" s="14" t="str">
        <f t="array" ref="D52">IF(Raw!D45="","",IFERROR(MAX(IF(Raw!$A$2:$A$26=MHT!A52,Raw!$D$2:$D$20)),""))</f>
        <v/>
      </c>
      <c r="E52" s="6" t="str">
        <f>IF(SUMIF(Raw!$A$2:$A$500, MHT!A52, Raw!$F$2:$F$500) = TIME(0,0,0), "", SUMIF(Raw!$A$2:$A$500, MHT!A52, Raw!$F$2:$F$500))</f>
        <v/>
      </c>
      <c r="F52" s="12" t="str">
        <f t="array" ref="F52">IF(A52="", "", IF(COUNTIF(Raw!$H$1:$I$500, A52) &gt; 0, "Done", IF(COUNTIF(Raw!$J$1:$J$500, A52) &gt; 0, "Pause", IF(COUNTIF(Raw!$K$1:$K$500, A52) &gt; 0, "On-Going", "Pause"))))</f>
        <v/>
      </c>
      <c r="G52" s="51"/>
      <c r="H52" s="50"/>
    </row>
    <row r="53" spans="1:8" x14ac:dyDescent="0.4">
      <c r="A53" s="61"/>
      <c r="B53" s="16" t="str">
        <f t="array" ref="B53">IFERROR(MIN(IF(Raw!$A$2:$A$26=MHT!A53,Raw!$B$2:$B$20)),"")</f>
        <v/>
      </c>
      <c r="C53" s="13" t="str">
        <f t="array" ref="C53">IFERROR(MIN(IF(Raw!$A$2:$A$26=MHT!A53,Raw!$C$2:$C$20)),"")</f>
        <v/>
      </c>
      <c r="D53" s="14" t="str">
        <f t="array" ref="D53">IF(Raw!D46="","",IFERROR(MAX(IF(Raw!$A$2:$A$26=MHT!A53,Raw!$D$2:$D$20)),""))</f>
        <v/>
      </c>
      <c r="E53" s="6" t="str">
        <f>IF(SUMIF(Raw!$A$2:$A$500, MHT!A53, Raw!$F$2:$F$500) = TIME(0,0,0), "", SUMIF(Raw!$A$2:$A$500, MHT!A53, Raw!$F$2:$F$500))</f>
        <v/>
      </c>
      <c r="F53" s="12" t="str">
        <f t="array" ref="F53">IF(A53="", "", IF(COUNTIF(Raw!$H$1:$I$500, A53) &gt; 0, "Done", IF(COUNTIF(Raw!$J$1:$J$500, A53) &gt; 0, "Pause", IF(COUNTIF(Raw!$K$1:$K$500, A53) &gt; 0, "On-Going", "Pause"))))</f>
        <v/>
      </c>
      <c r="G53" s="51"/>
      <c r="H53" s="50"/>
    </row>
    <row r="54" spans="1:8" x14ac:dyDescent="0.4">
      <c r="A54" s="61"/>
      <c r="B54" s="16" t="str">
        <f t="array" ref="B54">IFERROR(MIN(IF(Raw!$A$2:$A$26=MHT!A54,Raw!$B$2:$B$20)),"")</f>
        <v/>
      </c>
      <c r="C54" s="13" t="str">
        <f t="array" ref="C54">IFERROR(MIN(IF(Raw!$A$2:$A$26=MHT!A54,Raw!$C$2:$C$20)),"")</f>
        <v/>
      </c>
      <c r="D54" s="14" t="str">
        <f t="array" ref="D54">IF(Raw!D47="","",IFERROR(MAX(IF(Raw!$A$2:$A$26=MHT!A54,Raw!$D$2:$D$20)),""))</f>
        <v/>
      </c>
      <c r="E54" s="6" t="str">
        <f>IF(SUMIF(Raw!$A$2:$A$500, MHT!A54, Raw!$F$2:$F$500) = TIME(0,0,0), "", SUMIF(Raw!$A$2:$A$500, MHT!A54, Raw!$F$2:$F$500))</f>
        <v/>
      </c>
      <c r="F54" s="12" t="str">
        <f t="array" ref="F54">IF(A54="", "", IF(COUNTIF(Raw!$H$1:$I$500, A54) &gt; 0, "Done", IF(COUNTIF(Raw!$J$1:$J$500, A54) &gt; 0, "Pause", IF(COUNTIF(Raw!$K$1:$K$500, A54) &gt; 0, "On-Going", "Pause"))))</f>
        <v/>
      </c>
      <c r="G54" s="51"/>
      <c r="H54" s="50"/>
    </row>
    <row r="55" spans="1:8" x14ac:dyDescent="0.4">
      <c r="A55" s="61"/>
      <c r="B55" s="16" t="str">
        <f t="array" ref="B55">IFERROR(MIN(IF(Raw!$A$2:$A$26=MHT!A55,Raw!$B$2:$B$20)),"")</f>
        <v/>
      </c>
      <c r="C55" s="13" t="str">
        <f t="array" ref="C55">IFERROR(MIN(IF(Raw!$A$2:$A$26=MHT!A55,Raw!$C$2:$C$20)),"")</f>
        <v/>
      </c>
      <c r="D55" s="14" t="str">
        <f t="array" ref="D55">IF(Raw!D48="","",IFERROR(MAX(IF(Raw!$A$2:$A$26=MHT!A55,Raw!$D$2:$D$20)),""))</f>
        <v/>
      </c>
      <c r="E55" s="6" t="str">
        <f>IF(SUMIF(Raw!$A$2:$A$500, MHT!A55, Raw!$F$2:$F$500) = TIME(0,0,0), "", SUMIF(Raw!$A$2:$A$500, MHT!A55, Raw!$F$2:$F$500))</f>
        <v/>
      </c>
      <c r="F55" s="12" t="str">
        <f t="array" ref="F55">IF(A55="", "", IF(COUNTIF(Raw!$H$1:$I$500, A55) &gt; 0, "Done", IF(COUNTIF(Raw!$J$1:$J$500, A55) &gt; 0, "Pause", IF(COUNTIF(Raw!$K$1:$K$500, A55) &gt; 0, "On-Going", "Pause"))))</f>
        <v/>
      </c>
      <c r="G55" s="51"/>
      <c r="H55" s="50"/>
    </row>
    <row r="56" spans="1:8" x14ac:dyDescent="0.4">
      <c r="A56" s="61"/>
      <c r="B56" s="16" t="str">
        <f t="array" ref="B56">IFERROR(MIN(IF(Raw!$A$2:$A$26=MHT!A56,Raw!$B$2:$B$20)),"")</f>
        <v/>
      </c>
      <c r="C56" s="13" t="str">
        <f t="array" ref="C56">IFERROR(MIN(IF(Raw!$A$2:$A$26=MHT!A56,Raw!$C$2:$C$20)),"")</f>
        <v/>
      </c>
      <c r="D56" s="14" t="str">
        <f t="array" ref="D56">IF(Raw!D49="","",IFERROR(MAX(IF(Raw!$A$2:$A$26=MHT!A56,Raw!$D$2:$D$20)),""))</f>
        <v/>
      </c>
      <c r="E56" s="6" t="str">
        <f>IF(SUMIF(Raw!$A$2:$A$500, MHT!A56, Raw!$F$2:$F$500) = TIME(0,0,0), "", SUMIF(Raw!$A$2:$A$500, MHT!A56, Raw!$F$2:$F$500))</f>
        <v/>
      </c>
      <c r="F56" s="12" t="str">
        <f t="array" ref="F56">IF(A56="", "", IF(COUNTIF(Raw!$H$1:$I$500, A56) &gt; 0, "Done", IF(COUNTIF(Raw!$J$1:$J$500, A56) &gt; 0, "Pause", IF(COUNTIF(Raw!$K$1:$K$500, A56) &gt; 0, "On-Going", "Pause"))))</f>
        <v/>
      </c>
      <c r="G56" s="51"/>
      <c r="H56" s="50"/>
    </row>
    <row r="57" spans="1:8" x14ac:dyDescent="0.4">
      <c r="A57" s="61"/>
      <c r="B57" s="16" t="str">
        <f t="array" ref="B57">IFERROR(MIN(IF(Raw!$A$2:$A$26=MHT!A57,Raw!$B$2:$B$20)),"")</f>
        <v/>
      </c>
      <c r="C57" s="13" t="str">
        <f t="array" ref="C57">IFERROR(MIN(IF(Raw!$A$2:$A$26=MHT!A57,Raw!$C$2:$C$20)),"")</f>
        <v/>
      </c>
      <c r="D57" s="14" t="str">
        <f t="array" ref="D57">IF(Raw!D50="","",IFERROR(MAX(IF(Raw!$A$2:$A$26=MHT!A57,Raw!$D$2:$D$20)),""))</f>
        <v/>
      </c>
      <c r="E57" s="6" t="str">
        <f>IF(SUMIF(Raw!$A$2:$A$500, MHT!A57, Raw!$F$2:$F$500) = TIME(0,0,0), "", SUMIF(Raw!$A$2:$A$500, MHT!A57, Raw!$F$2:$F$500))</f>
        <v/>
      </c>
      <c r="F57" s="12" t="str">
        <f t="array" ref="F57">IF(A57="", "", IF(COUNTIF(Raw!$H$1:$I$500, A57) &gt; 0, "Done", IF(COUNTIF(Raw!$J$1:$J$500, A57) &gt; 0, "Pause", IF(COUNTIF(Raw!$K$1:$K$500, A57) &gt; 0, "On-Going", "Pause"))))</f>
        <v/>
      </c>
      <c r="G57" s="51"/>
      <c r="H57" s="50"/>
    </row>
    <row r="58" spans="1:8" x14ac:dyDescent="0.4">
      <c r="A58" s="61"/>
      <c r="B58" s="16" t="str">
        <f t="array" ref="B58">IFERROR(MIN(IF(Raw!$A$2:$A$26=MHT!A58,Raw!$B$2:$B$20)),"")</f>
        <v/>
      </c>
      <c r="C58" s="13" t="str">
        <f t="array" ref="C58">IFERROR(MIN(IF(Raw!$A$2:$A$26=MHT!A58,Raw!$C$2:$C$20)),"")</f>
        <v/>
      </c>
      <c r="D58" s="14" t="str">
        <f t="array" ref="D58">IF(Raw!D51="","",IFERROR(MAX(IF(Raw!$A$2:$A$26=MHT!A58,Raw!$D$2:$D$20)),""))</f>
        <v/>
      </c>
      <c r="E58" s="6" t="str">
        <f>IF(SUMIF(Raw!$A$2:$A$500, MHT!A58, Raw!$F$2:$F$500) = TIME(0,0,0), "", SUMIF(Raw!$A$2:$A$500, MHT!A58, Raw!$F$2:$F$500))</f>
        <v/>
      </c>
      <c r="F58" s="12" t="str">
        <f t="array" ref="F58">IF(A58="", "", IF(COUNTIF(Raw!$H$1:$I$500, A58) &gt; 0, "Done", IF(COUNTIF(Raw!$J$1:$J$500, A58) &gt; 0, "Pause", IF(COUNTIF(Raw!$K$1:$K$500, A58) &gt; 0, "On-Going", "Pause"))))</f>
        <v/>
      </c>
      <c r="G58" s="51"/>
      <c r="H58" s="50"/>
    </row>
    <row r="59" spans="1:8" x14ac:dyDescent="0.4">
      <c r="A59" s="61"/>
      <c r="B59" s="16" t="str">
        <f t="array" ref="B59">IFERROR(MIN(IF(Raw!$A$2:$A$26=MHT!A59,Raw!$B$2:$B$20)),"")</f>
        <v/>
      </c>
      <c r="C59" s="13" t="str">
        <f t="array" ref="C59">IFERROR(MIN(IF(Raw!$A$2:$A$26=MHT!A59,Raw!$C$2:$C$20)),"")</f>
        <v/>
      </c>
      <c r="D59" s="14" t="str">
        <f t="array" ref="D59">IF(Raw!D52="","",IFERROR(MAX(IF(Raw!$A$2:$A$26=MHT!A59,Raw!$D$2:$D$20)),""))</f>
        <v/>
      </c>
      <c r="E59" s="6" t="str">
        <f>IF(SUMIF(Raw!$A$2:$A$500, MHT!A59, Raw!$F$2:$F$500) = TIME(0,0,0), "", SUMIF(Raw!$A$2:$A$500, MHT!A59, Raw!$F$2:$F$500))</f>
        <v/>
      </c>
      <c r="F59" s="12" t="str">
        <f t="array" ref="F59">IF(A59="", "", IF(COUNTIF(Raw!$H$1:$I$500, A59) &gt; 0, "Done", IF(COUNTIF(Raw!$J$1:$J$500, A59) &gt; 0, "Pause", IF(COUNTIF(Raw!$K$1:$K$500, A59) &gt; 0, "On-Going", "Pause"))))</f>
        <v/>
      </c>
      <c r="G59" s="51"/>
      <c r="H59" s="50"/>
    </row>
    <row r="60" spans="1:8" x14ac:dyDescent="0.4">
      <c r="A60" s="61"/>
      <c r="B60" s="16" t="str">
        <f t="array" ref="B60">IFERROR(MIN(IF(Raw!$A$2:$A$26=MHT!A60,Raw!$B$2:$B$20)),"")</f>
        <v/>
      </c>
      <c r="C60" s="13" t="str">
        <f t="array" ref="C60">IFERROR(MIN(IF(Raw!$A$2:$A$26=MHT!A60,Raw!$C$2:$C$20)),"")</f>
        <v/>
      </c>
      <c r="D60" s="14" t="str">
        <f t="array" ref="D60">IF(Raw!D53="","",IFERROR(MAX(IF(Raw!$A$2:$A$26=MHT!A60,Raw!$D$2:$D$20)),""))</f>
        <v/>
      </c>
      <c r="E60" s="6" t="str">
        <f>IF(SUMIF(Raw!$A$2:$A$500, MHT!A60, Raw!$F$2:$F$500) = TIME(0,0,0), "", SUMIF(Raw!$A$2:$A$500, MHT!A60, Raw!$F$2:$F$500))</f>
        <v/>
      </c>
      <c r="F60" s="12" t="str">
        <f t="array" ref="F60">IF(A60="", "", IF(COUNTIF(Raw!$H$1:$I$500, A60) &gt; 0, "Done", IF(COUNTIF(Raw!$J$1:$J$500, A60) &gt; 0, "Pause", IF(COUNTIF(Raw!$K$1:$K$500, A60) &gt; 0, "On-Going", "Pause"))))</f>
        <v/>
      </c>
      <c r="G60" s="51"/>
      <c r="H60" s="50"/>
    </row>
    <row r="61" spans="1:8" x14ac:dyDescent="0.4">
      <c r="A61" s="61"/>
      <c r="B61" s="16" t="str">
        <f t="array" ref="B61">IFERROR(MIN(IF(Raw!$A$2:$A$26=MHT!A61,Raw!$B$2:$B$20)),"")</f>
        <v/>
      </c>
      <c r="C61" s="13" t="str">
        <f t="array" ref="C61">IFERROR(MIN(IF(Raw!$A$2:$A$26=MHT!A61,Raw!$C$2:$C$20)),"")</f>
        <v/>
      </c>
      <c r="D61" s="14" t="str">
        <f t="array" ref="D61">IF(Raw!D54="","",IFERROR(MAX(IF(Raw!$A$2:$A$26=MHT!A61,Raw!$D$2:$D$20)),""))</f>
        <v/>
      </c>
      <c r="E61" s="6" t="str">
        <f>IF(SUMIF(Raw!$A$2:$A$500, MHT!A61, Raw!$F$2:$F$500) = TIME(0,0,0), "", SUMIF(Raw!$A$2:$A$500, MHT!A61, Raw!$F$2:$F$500))</f>
        <v/>
      </c>
      <c r="F61" s="12" t="str">
        <f t="array" ref="F61">IF(A61="", "", IF(COUNTIF(Raw!$H$1:$I$500, A61) &gt; 0, "Done", IF(COUNTIF(Raw!$J$1:$J$500, A61) &gt; 0, "Pause", IF(COUNTIF(Raw!$K$1:$K$500, A61) &gt; 0, "On-Going", "Pause"))))</f>
        <v/>
      </c>
      <c r="G61" s="51"/>
      <c r="H61" s="50"/>
    </row>
    <row r="62" spans="1:8" x14ac:dyDescent="0.4">
      <c r="A62" s="61"/>
      <c r="B62" s="16" t="str">
        <f t="array" ref="B62">IFERROR(MIN(IF(Raw!$A$2:$A$26=MHT!A62,Raw!$B$2:$B$20)),"")</f>
        <v/>
      </c>
      <c r="C62" s="13" t="str">
        <f t="array" ref="C62">IFERROR(MIN(IF(Raw!$A$2:$A$26=MHT!A62,Raw!$C$2:$C$20)),"")</f>
        <v/>
      </c>
      <c r="D62" s="14" t="str">
        <f t="array" ref="D62">IF(Raw!D55="","",IFERROR(MAX(IF(Raw!$A$2:$A$26=MHT!A62,Raw!$D$2:$D$20)),""))</f>
        <v/>
      </c>
      <c r="E62" s="6" t="str">
        <f>IF(SUMIF(Raw!$A$2:$A$500, MHT!A62, Raw!$F$2:$F$500) = TIME(0,0,0), "", SUMIF(Raw!$A$2:$A$500, MHT!A62, Raw!$F$2:$F$500))</f>
        <v/>
      </c>
      <c r="F62" s="12" t="str">
        <f t="array" ref="F62">IF(A62="", "", IF(COUNTIF(Raw!$H$1:$I$500, A62) &gt; 0, "Done", IF(COUNTIF(Raw!$J$1:$J$500, A62) &gt; 0, "Pause", IF(COUNTIF(Raw!$K$1:$K$500, A62) &gt; 0, "On-Going", "Pause"))))</f>
        <v/>
      </c>
      <c r="G62" s="51"/>
      <c r="H62" s="50"/>
    </row>
    <row r="63" spans="1:8" x14ac:dyDescent="0.4">
      <c r="A63" s="61"/>
      <c r="B63" s="16" t="str">
        <f t="array" ref="B63">IFERROR(MIN(IF(Raw!$A$2:$A$26=MHT!A63,Raw!$B$2:$B$20)),"")</f>
        <v/>
      </c>
      <c r="C63" s="13" t="str">
        <f t="array" ref="C63">IFERROR(MIN(IF(Raw!$A$2:$A$26=MHT!A63,Raw!$C$2:$C$20)),"")</f>
        <v/>
      </c>
      <c r="D63" s="14" t="str">
        <f t="array" ref="D63">IF(Raw!D56="","",IFERROR(MAX(IF(Raw!$A$2:$A$26=MHT!A63,Raw!$D$2:$D$20)),""))</f>
        <v/>
      </c>
      <c r="E63" s="6" t="str">
        <f>IF(SUMIF(Raw!$A$2:$A$500, MHT!A63, Raw!$F$2:$F$500) = TIME(0,0,0), "", SUMIF(Raw!$A$2:$A$500, MHT!A63, Raw!$F$2:$F$500))</f>
        <v/>
      </c>
      <c r="F63" s="12" t="str">
        <f t="array" ref="F63">IF(A63="", "", IF(COUNTIF(Raw!$H$1:$I$500, A63) &gt; 0, "Done", IF(COUNTIF(Raw!$J$1:$J$500, A63) &gt; 0, "Pause", IF(COUNTIF(Raw!$K$1:$K$500, A63) &gt; 0, "On-Going", "Pause"))))</f>
        <v/>
      </c>
      <c r="G63" s="51"/>
      <c r="H63" s="50"/>
    </row>
    <row r="64" spans="1:8" x14ac:dyDescent="0.4">
      <c r="A64" s="61"/>
      <c r="B64" s="16" t="str">
        <f t="array" ref="B64">IFERROR(MIN(IF(Raw!$A$2:$A$26=MHT!A64,Raw!$B$2:$B$20)),"")</f>
        <v/>
      </c>
      <c r="C64" s="13" t="str">
        <f t="array" ref="C64">IFERROR(MIN(IF(Raw!$A$2:$A$26=MHT!A64,Raw!$C$2:$C$20)),"")</f>
        <v/>
      </c>
      <c r="D64" s="14" t="str">
        <f t="array" ref="D64">IF(Raw!D57="","",IFERROR(MAX(IF(Raw!$A$2:$A$26=MHT!A64,Raw!$D$2:$D$20)),""))</f>
        <v/>
      </c>
      <c r="E64" s="6" t="str">
        <f>IF(SUMIF(Raw!$A$2:$A$500, MHT!A64, Raw!$F$2:$F$500) = TIME(0,0,0), "", SUMIF(Raw!$A$2:$A$500, MHT!A64, Raw!$F$2:$F$500))</f>
        <v/>
      </c>
      <c r="F64" s="12" t="str">
        <f t="array" ref="F64">IF(A64="", "", IF(COUNTIF(Raw!$H$1:$I$500, A64) &gt; 0, "Done", IF(COUNTIF(Raw!$J$1:$J$500, A64) &gt; 0, "Pause", IF(COUNTIF(Raw!$K$1:$K$500, A64) &gt; 0, "On-Going", "Pause"))))</f>
        <v/>
      </c>
      <c r="G64" s="51"/>
      <c r="H64" s="50"/>
    </row>
    <row r="65" spans="1:8" x14ac:dyDescent="0.4">
      <c r="A65" s="61"/>
      <c r="B65" s="16" t="str">
        <f t="array" ref="B65">IFERROR(MIN(IF(Raw!$A$2:$A$26=MHT!A65,Raw!$B$2:$B$20)),"")</f>
        <v/>
      </c>
      <c r="C65" s="13" t="str">
        <f t="array" ref="C65">IFERROR(MIN(IF(Raw!$A$2:$A$26=MHT!A65,Raw!$C$2:$C$20)),"")</f>
        <v/>
      </c>
      <c r="D65" s="14" t="str">
        <f t="array" ref="D65">IF(Raw!D58="","",IFERROR(MAX(IF(Raw!$A$2:$A$26=MHT!A65,Raw!$D$2:$D$20)),""))</f>
        <v/>
      </c>
      <c r="E65" s="6" t="str">
        <f>IF(SUMIF(Raw!$A$2:$A$500, MHT!A65, Raw!$F$2:$F$500) = TIME(0,0,0), "", SUMIF(Raw!$A$2:$A$500, MHT!A65, Raw!$F$2:$F$500))</f>
        <v/>
      </c>
      <c r="F65" s="12" t="str">
        <f t="array" ref="F65">IF(A65="", "", IF(COUNTIF(Raw!$H$1:$I$500, A65) &gt; 0, "Done", IF(COUNTIF(Raw!$J$1:$J$500, A65) &gt; 0, "Pause", IF(COUNTIF(Raw!$K$1:$K$500, A65) &gt; 0, "On-Going", "Pause"))))</f>
        <v/>
      </c>
      <c r="G65" s="51"/>
      <c r="H65" s="50"/>
    </row>
    <row r="66" spans="1:8" x14ac:dyDescent="0.4">
      <c r="A66" s="61"/>
      <c r="B66" s="16" t="str">
        <f t="array" ref="B66">IFERROR(MIN(IF(Raw!$A$2:$A$26=MHT!A66,Raw!$B$2:$B$20)),"")</f>
        <v/>
      </c>
      <c r="C66" s="13" t="str">
        <f t="array" ref="C66">IFERROR(MIN(IF(Raw!$A$2:$A$26=MHT!A66,Raw!$C$2:$C$20)),"")</f>
        <v/>
      </c>
      <c r="D66" s="14" t="str">
        <f t="array" ref="D66">IF(Raw!D59="","",IFERROR(MAX(IF(Raw!$A$2:$A$26=MHT!A66,Raw!$D$2:$D$20)),""))</f>
        <v/>
      </c>
      <c r="E66" s="6" t="str">
        <f>IF(SUMIF(Raw!$A$2:$A$500, MHT!A66, Raw!$F$2:$F$500) = TIME(0,0,0), "", SUMIF(Raw!$A$2:$A$500, MHT!A66, Raw!$F$2:$F$500))</f>
        <v/>
      </c>
      <c r="F66" s="12" t="str">
        <f t="array" ref="F66">IF(A66="", "", IF(COUNTIF(Raw!$H$1:$I$500, A66) &gt; 0, "Done", IF(COUNTIF(Raw!$J$1:$J$500, A66) &gt; 0, "Pause", IF(COUNTIF(Raw!$K$1:$K$500, A66) &gt; 0, "On-Going", "Pause"))))</f>
        <v/>
      </c>
      <c r="G66" s="51"/>
      <c r="H66" s="50"/>
    </row>
    <row r="67" spans="1:8" x14ac:dyDescent="0.4">
      <c r="A67" s="61"/>
      <c r="B67" s="16" t="str">
        <f t="array" ref="B67">IFERROR(MIN(IF(Raw!$A$2:$A$26=MHT!A67,Raw!$B$2:$B$20)),"")</f>
        <v/>
      </c>
      <c r="C67" s="13" t="str">
        <f t="array" ref="C67">IFERROR(MIN(IF(Raw!$A$2:$A$26=MHT!A67,Raw!$C$2:$C$20)),"")</f>
        <v/>
      </c>
      <c r="D67" s="14" t="str">
        <f t="array" ref="D67">IF(Raw!D60="","",IFERROR(MAX(IF(Raw!$A$2:$A$26=MHT!A67,Raw!$D$2:$D$20)),""))</f>
        <v/>
      </c>
      <c r="E67" s="6" t="str">
        <f>IF(SUMIF(Raw!$A$2:$A$500, MHT!A67, Raw!$F$2:$F$500) = TIME(0,0,0), "", SUMIF(Raw!$A$2:$A$500, MHT!A67, Raw!$F$2:$F$500))</f>
        <v/>
      </c>
      <c r="F67" s="12" t="str">
        <f t="array" ref="F67">IF(A67="", "", IF(COUNTIF(Raw!$H$1:$I$500, A67) &gt; 0, "Done", IF(COUNTIF(Raw!$J$1:$J$500, A67) &gt; 0, "Pause", IF(COUNTIF(Raw!$K$1:$K$500, A67) &gt; 0, "On-Going", "Pause"))))</f>
        <v/>
      </c>
      <c r="G67" s="51"/>
      <c r="H67" s="50"/>
    </row>
    <row r="68" spans="1:8" x14ac:dyDescent="0.4">
      <c r="A68" s="61"/>
      <c r="B68" s="16" t="str">
        <f t="array" ref="B68">IFERROR(MIN(IF(Raw!$A$2:$A$26=MHT!A68,Raw!$B$2:$B$20)),"")</f>
        <v/>
      </c>
      <c r="C68" s="13" t="str">
        <f t="array" ref="C68">IFERROR(MIN(IF(Raw!$A$2:$A$26=MHT!A68,Raw!$C$2:$C$20)),"")</f>
        <v/>
      </c>
      <c r="D68" s="14" t="str">
        <f t="array" ref="D68">IF(Raw!D61="","",IFERROR(MAX(IF(Raw!$A$2:$A$26=MHT!A68,Raw!$D$2:$D$20)),""))</f>
        <v/>
      </c>
      <c r="E68" s="6" t="str">
        <f>IF(SUMIF(Raw!$A$2:$A$500, MHT!A68, Raw!$F$2:$F$500) = TIME(0,0,0), "", SUMIF(Raw!$A$2:$A$500, MHT!A68, Raw!$F$2:$F$500))</f>
        <v/>
      </c>
      <c r="F68" s="12" t="str">
        <f t="array" ref="F68">IF(A68="", "", IF(COUNTIF(Raw!$H$1:$I$500, A68) &gt; 0, "Done", IF(COUNTIF(Raw!$J$1:$J$500, A68) &gt; 0, "Pause", IF(COUNTIF(Raw!$K$1:$K$500, A68) &gt; 0, "On-Going", "Pause"))))</f>
        <v/>
      </c>
      <c r="G68" s="51"/>
      <c r="H68" s="50"/>
    </row>
    <row r="69" spans="1:8" x14ac:dyDescent="0.4">
      <c r="A69" s="61"/>
      <c r="B69" s="16" t="str">
        <f t="array" ref="B69">IFERROR(MIN(IF(Raw!$A$2:$A$26=MHT!A69,Raw!$B$2:$B$20)),"")</f>
        <v/>
      </c>
      <c r="C69" s="13" t="str">
        <f t="array" ref="C69">IFERROR(MIN(IF(Raw!$A$2:$A$26=MHT!A69,Raw!$C$2:$C$20)),"")</f>
        <v/>
      </c>
      <c r="D69" s="14" t="str">
        <f t="array" ref="D69">IF(Raw!D62="","",IFERROR(MAX(IF(Raw!$A$2:$A$26=MHT!A69,Raw!$D$2:$D$20)),""))</f>
        <v/>
      </c>
      <c r="E69" s="6" t="str">
        <f>IF(SUMIF(Raw!$A$2:$A$500, MHT!A69, Raw!$F$2:$F$500) = TIME(0,0,0), "", SUMIF(Raw!$A$2:$A$500, MHT!A69, Raw!$F$2:$F$500))</f>
        <v/>
      </c>
      <c r="F69" s="12" t="str">
        <f t="array" ref="F69">IF(A69="", "", IF(COUNTIF(Raw!$H$1:$I$500, A69) &gt; 0, "Done", IF(COUNTIF(Raw!$J$1:$J$500, A69) &gt; 0, "Pause", IF(COUNTIF(Raw!$K$1:$K$500, A69) &gt; 0, "On-Going", "Pause"))))</f>
        <v/>
      </c>
      <c r="G69" s="51"/>
      <c r="H69" s="50"/>
    </row>
    <row r="70" spans="1:8" x14ac:dyDescent="0.4">
      <c r="A70" s="61"/>
      <c r="B70" s="16" t="str">
        <f t="array" ref="B70">IFERROR(MIN(IF(Raw!$A$2:$A$26=MHT!A70,Raw!$B$2:$B$20)),"")</f>
        <v/>
      </c>
      <c r="C70" s="13" t="str">
        <f t="array" ref="C70">IFERROR(MIN(IF(Raw!$A$2:$A$26=MHT!A70,Raw!$C$2:$C$20)),"")</f>
        <v/>
      </c>
      <c r="D70" s="14" t="str">
        <f t="array" ref="D70">IF(Raw!D63="","",IFERROR(MAX(IF(Raw!$A$2:$A$26=MHT!A70,Raw!$D$2:$D$20)),""))</f>
        <v/>
      </c>
      <c r="E70" s="6" t="str">
        <f>IF(SUMIF(Raw!$A$2:$A$500, MHT!A70, Raw!$F$2:$F$500) = TIME(0,0,0), "", SUMIF(Raw!$A$2:$A$500, MHT!A70, Raw!$F$2:$F$500))</f>
        <v/>
      </c>
      <c r="F70" s="12" t="str">
        <f t="array" ref="F70">IF(A70="", "", IF(COUNTIF(Raw!$H$1:$I$500, A70) &gt; 0, "Done", IF(COUNTIF(Raw!$J$1:$J$500, A70) &gt; 0, "Pause", IF(COUNTIF(Raw!$K$1:$K$500, A70) &gt; 0, "On-Going", "Pause"))))</f>
        <v/>
      </c>
      <c r="G70" s="51"/>
      <c r="H70" s="50"/>
    </row>
    <row r="71" spans="1:8" x14ac:dyDescent="0.4">
      <c r="A71" s="61"/>
      <c r="B71" s="16" t="str">
        <f t="array" ref="B71">IFERROR(MIN(IF(Raw!$A$2:$A$26=MHT!A71,Raw!$B$2:$B$20)),"")</f>
        <v/>
      </c>
      <c r="C71" s="13" t="str">
        <f t="array" ref="C71">IFERROR(MIN(IF(Raw!$A$2:$A$26=MHT!A71,Raw!$C$2:$C$20)),"")</f>
        <v/>
      </c>
      <c r="D71" s="14" t="str">
        <f t="array" ref="D71">IF(Raw!D64="","",IFERROR(MAX(IF(Raw!$A$2:$A$26=MHT!A71,Raw!$D$2:$D$20)),""))</f>
        <v/>
      </c>
      <c r="E71" s="6" t="str">
        <f>IF(SUMIF(Raw!$A$2:$A$500, MHT!A71, Raw!$F$2:$F$500) = TIME(0,0,0), "", SUMIF(Raw!$A$2:$A$500, MHT!A71, Raw!$F$2:$F$500))</f>
        <v/>
      </c>
      <c r="F71" s="12" t="str">
        <f t="array" ref="F71">IF(A71="", "", IF(COUNTIF(Raw!$H$1:$I$500, A71) &gt; 0, "Done", IF(COUNTIF(Raw!$J$1:$J$500, A71) &gt; 0, "Pause", IF(COUNTIF(Raw!$K$1:$K$500, A71) &gt; 0, "On-Going", "Pause"))))</f>
        <v/>
      </c>
      <c r="G71" s="51"/>
      <c r="H71" s="50"/>
    </row>
    <row r="72" spans="1:8" x14ac:dyDescent="0.4">
      <c r="A72" s="61"/>
      <c r="B72" s="16" t="str">
        <f t="array" ref="B72">IFERROR(MIN(IF(Raw!$A$2:$A$26=MHT!A72,Raw!$B$2:$B$20)),"")</f>
        <v/>
      </c>
      <c r="C72" s="13" t="str">
        <f t="array" ref="C72">IFERROR(MIN(IF(Raw!$A$2:$A$26=MHT!A72,Raw!$C$2:$C$20)),"")</f>
        <v/>
      </c>
      <c r="D72" s="14" t="str">
        <f t="array" ref="D72">IF(Raw!D65="","",IFERROR(MAX(IF(Raw!$A$2:$A$26=MHT!A72,Raw!$D$2:$D$20)),""))</f>
        <v/>
      </c>
      <c r="E72" s="6" t="str">
        <f>IF(SUMIF(Raw!$A$2:$A$500, MHT!A72, Raw!$F$2:$F$500) = TIME(0,0,0), "", SUMIF(Raw!$A$2:$A$500, MHT!A72, Raw!$F$2:$F$500))</f>
        <v/>
      </c>
      <c r="F72" s="12" t="str">
        <f t="array" ref="F72">IF(A72="", "", IF(COUNTIF(Raw!$H$1:$I$500, A72) &gt; 0, "Done", IF(COUNTIF(Raw!$J$1:$J$500, A72) &gt; 0, "Pause", IF(COUNTIF(Raw!$K$1:$K$500, A72) &gt; 0, "On-Going", "Pause"))))</f>
        <v/>
      </c>
      <c r="G72" s="51"/>
      <c r="H72" s="50"/>
    </row>
    <row r="73" spans="1:8" x14ac:dyDescent="0.4">
      <c r="A73" s="61"/>
      <c r="B73" s="16" t="str">
        <f t="array" ref="B73">IFERROR(MIN(IF(Raw!$A$2:$A$26=MHT!A73,Raw!$B$2:$B$20)),"")</f>
        <v/>
      </c>
      <c r="C73" s="13" t="str">
        <f t="array" ref="C73">IFERROR(MIN(IF(Raw!$A$2:$A$26=MHT!A73,Raw!$C$2:$C$20)),"")</f>
        <v/>
      </c>
      <c r="D73" s="14" t="str">
        <f t="array" ref="D73">IF(Raw!D66="","",IFERROR(MAX(IF(Raw!$A$2:$A$26=MHT!A73,Raw!$D$2:$D$20)),""))</f>
        <v/>
      </c>
      <c r="E73" s="6" t="str">
        <f>IF(SUMIF(Raw!$A$2:$A$500, MHT!A73, Raw!$F$2:$F$500) = TIME(0,0,0), "", SUMIF(Raw!$A$2:$A$500, MHT!A73, Raw!$F$2:$F$500))</f>
        <v/>
      </c>
      <c r="F73" s="12" t="str">
        <f t="array" ref="F73">IF(A73="", "", IF(COUNTIF(Raw!$H$1:$I$500, A73) &gt; 0, "Done", IF(COUNTIF(Raw!$J$1:$J$500, A73) &gt; 0, "Pause", IF(COUNTIF(Raw!$K$1:$K$500, A73) &gt; 0, "On-Going", "Pause"))))</f>
        <v/>
      </c>
      <c r="G73" s="51"/>
      <c r="H73" s="50"/>
    </row>
    <row r="74" spans="1:8" x14ac:dyDescent="0.4">
      <c r="A74" s="61"/>
      <c r="B74" s="16" t="str">
        <f t="array" ref="B74">IFERROR(MIN(IF(Raw!$A$2:$A$26=MHT!A74,Raw!$B$2:$B$20)),"")</f>
        <v/>
      </c>
      <c r="C74" s="13" t="str">
        <f t="array" ref="C74">IFERROR(MIN(IF(Raw!$A$2:$A$26=MHT!A74,Raw!$C$2:$C$20)),"")</f>
        <v/>
      </c>
      <c r="D74" s="14" t="str">
        <f t="array" ref="D74">IF(Raw!D67="","",IFERROR(MAX(IF(Raw!$A$2:$A$26=MHT!A74,Raw!$D$2:$D$20)),""))</f>
        <v/>
      </c>
      <c r="E74" s="6" t="str">
        <f>IF(SUMIF(Raw!$A$2:$A$500, MHT!A74, Raw!$F$2:$F$500) = TIME(0,0,0), "", SUMIF(Raw!$A$2:$A$500, MHT!A74, Raw!$F$2:$F$500))</f>
        <v/>
      </c>
      <c r="F74" s="12" t="str">
        <f t="array" ref="F74">IF(A74="", "", IF(COUNTIF(Raw!$H$1:$I$500, A74) &gt; 0, "Done", IF(COUNTIF(Raw!$J$1:$J$500, A74) &gt; 0, "Pause", IF(COUNTIF(Raw!$K$1:$K$500, A74) &gt; 0, "On-Going", "Pause"))))</f>
        <v/>
      </c>
      <c r="G74" s="51"/>
      <c r="H74" s="50"/>
    </row>
    <row r="75" spans="1:8" x14ac:dyDescent="0.4">
      <c r="A75" s="61"/>
      <c r="B75" s="16" t="str">
        <f t="array" ref="B75">IFERROR(MIN(IF(Raw!$A$2:$A$26=MHT!A75,Raw!$B$2:$B$20)),"")</f>
        <v/>
      </c>
      <c r="C75" s="13" t="str">
        <f t="array" ref="C75">IFERROR(MIN(IF(Raw!$A$2:$A$26=MHT!A75,Raw!$C$2:$C$20)),"")</f>
        <v/>
      </c>
      <c r="D75" s="14" t="str">
        <f t="array" ref="D75">IF(Raw!D68="","",IFERROR(MAX(IF(Raw!$A$2:$A$26=MHT!A75,Raw!$D$2:$D$20)),""))</f>
        <v/>
      </c>
      <c r="E75" s="6" t="str">
        <f>IF(SUMIF(Raw!$A$2:$A$500, MHT!A75, Raw!$F$2:$F$500) = TIME(0,0,0), "", SUMIF(Raw!$A$2:$A$500, MHT!A75, Raw!$F$2:$F$500))</f>
        <v/>
      </c>
      <c r="F75" s="12" t="str">
        <f t="array" ref="F75">IF(A75="", "", IF(COUNTIF(Raw!$H$1:$I$500, A75) &gt; 0, "Done", IF(COUNTIF(Raw!$J$1:$J$500, A75) &gt; 0, "Pause", IF(COUNTIF(Raw!$K$1:$K$500, A75) &gt; 0, "On-Going", "Pause"))))</f>
        <v/>
      </c>
      <c r="G75" s="51"/>
      <c r="H75" s="50"/>
    </row>
    <row r="76" spans="1:8" x14ac:dyDescent="0.4">
      <c r="A76" s="61"/>
      <c r="B76" s="16" t="str">
        <f t="array" ref="B76">IFERROR(MIN(IF(Raw!$A$2:$A$26=MHT!A76,Raw!$B$2:$B$20)),"")</f>
        <v/>
      </c>
      <c r="C76" s="13" t="str">
        <f t="array" ref="C76">IFERROR(MIN(IF(Raw!$A$2:$A$26=MHT!A76,Raw!$C$2:$C$20)),"")</f>
        <v/>
      </c>
      <c r="D76" s="14" t="str">
        <f t="array" ref="D76">IF(Raw!D69="","",IFERROR(MAX(IF(Raw!$A$2:$A$26=MHT!A76,Raw!$D$2:$D$20)),""))</f>
        <v/>
      </c>
      <c r="E76" s="6" t="str">
        <f>IF(SUMIF(Raw!$A$2:$A$500, MHT!A76, Raw!$F$2:$F$500) = TIME(0,0,0), "", SUMIF(Raw!$A$2:$A$500, MHT!A76, Raw!$F$2:$F$500))</f>
        <v/>
      </c>
      <c r="F76" s="12" t="str">
        <f t="array" ref="F76">IF(A76="", "", IF(COUNTIF(Raw!$H$1:$I$500, A76) &gt; 0, "Done", IF(COUNTIF(Raw!$J$1:$J$500, A76) &gt; 0, "Pause", IF(COUNTIF(Raw!$K$1:$K$500, A76) &gt; 0, "On-Going", "Pause"))))</f>
        <v/>
      </c>
      <c r="G76" s="51"/>
      <c r="H76" s="50"/>
    </row>
    <row r="77" spans="1:8" x14ac:dyDescent="0.4">
      <c r="A77" s="61"/>
      <c r="B77" s="16" t="str">
        <f t="array" ref="B77">IFERROR(MIN(IF(Raw!$A$2:$A$26=MHT!A77,Raw!$B$2:$B$20)),"")</f>
        <v/>
      </c>
      <c r="C77" s="13" t="str">
        <f t="array" ref="C77">IFERROR(MIN(IF(Raw!$A$2:$A$26=MHT!A77,Raw!$C$2:$C$20)),"")</f>
        <v/>
      </c>
      <c r="D77" s="14" t="str">
        <f t="array" ref="D77">IF(Raw!D70="","",IFERROR(MAX(IF(Raw!$A$2:$A$26=MHT!A77,Raw!$D$2:$D$20)),""))</f>
        <v/>
      </c>
      <c r="E77" s="6" t="str">
        <f>IF(SUMIF(Raw!$A$2:$A$500, MHT!A77, Raw!$F$2:$F$500) = TIME(0,0,0), "", SUMIF(Raw!$A$2:$A$500, MHT!A77, Raw!$F$2:$F$500))</f>
        <v/>
      </c>
      <c r="F77" s="12" t="str">
        <f t="array" ref="F77">IF(A77="", "", IF(COUNTIF(Raw!$H$1:$I$500, A77) &gt; 0, "Done", IF(COUNTIF(Raw!$J$1:$J$500, A77) &gt; 0, "Pause", IF(COUNTIF(Raw!$K$1:$K$500, A77) &gt; 0, "On-Going", "Pause"))))</f>
        <v/>
      </c>
      <c r="G77" s="51"/>
      <c r="H77" s="50"/>
    </row>
    <row r="78" spans="1:8" x14ac:dyDescent="0.4">
      <c r="A78" s="61"/>
      <c r="B78" s="16" t="str">
        <f t="array" ref="B78">IFERROR(MIN(IF(Raw!$A$2:$A$26=MHT!A78,Raw!$B$2:$B$20)),"")</f>
        <v/>
      </c>
      <c r="C78" s="13" t="str">
        <f t="array" ref="C78">IFERROR(MIN(IF(Raw!$A$2:$A$26=MHT!A78,Raw!$C$2:$C$20)),"")</f>
        <v/>
      </c>
      <c r="D78" s="14" t="str">
        <f t="array" ref="D78">IF(Raw!D71="","",IFERROR(MAX(IF(Raw!$A$2:$A$26=MHT!A78,Raw!$D$2:$D$20)),""))</f>
        <v/>
      </c>
      <c r="E78" s="6" t="str">
        <f>IF(SUMIF(Raw!$A$2:$A$500, MHT!A78, Raw!$F$2:$F$500) = TIME(0,0,0), "", SUMIF(Raw!$A$2:$A$500, MHT!A78, Raw!$F$2:$F$500))</f>
        <v/>
      </c>
      <c r="F78" s="12" t="str">
        <f t="array" ref="F78">IF(A78="", "", IF(COUNTIF(Raw!$H$1:$I$500, A78) &gt; 0, "Done", IF(COUNTIF(Raw!$J$1:$J$500, A78) &gt; 0, "Pause", IF(COUNTIF(Raw!$K$1:$K$500, A78) &gt; 0, "On-Going", "Pause"))))</f>
        <v/>
      </c>
      <c r="G78" s="51"/>
      <c r="H78" s="50"/>
    </row>
    <row r="79" spans="1:8" x14ac:dyDescent="0.4">
      <c r="A79" s="61"/>
      <c r="B79" s="16" t="str">
        <f t="array" ref="B79">IFERROR(MIN(IF(Raw!$A$2:$A$26=MHT!A79,Raw!$B$2:$B$20)),"")</f>
        <v/>
      </c>
      <c r="C79" s="13" t="str">
        <f t="array" ref="C79">IFERROR(MIN(IF(Raw!$A$2:$A$26=MHT!A79,Raw!$C$2:$C$20)),"")</f>
        <v/>
      </c>
      <c r="D79" s="14" t="str">
        <f t="array" ref="D79">IF(Raw!D72="","",IFERROR(MAX(IF(Raw!$A$2:$A$26=MHT!A79,Raw!$D$2:$D$20)),""))</f>
        <v/>
      </c>
      <c r="E79" s="6" t="str">
        <f>IF(SUMIF(Raw!$A$2:$A$500, MHT!A79, Raw!$F$2:$F$500) = TIME(0,0,0), "", SUMIF(Raw!$A$2:$A$500, MHT!A79, Raw!$F$2:$F$500))</f>
        <v/>
      </c>
      <c r="F79" s="12" t="str">
        <f t="array" ref="F79">IF(A79="", "", IF(COUNTIF(Raw!$H$1:$I$500, A79) &gt; 0, "Done", IF(COUNTIF(Raw!$J$1:$J$500, A79) &gt; 0, "Pause", IF(COUNTIF(Raw!$K$1:$K$500, A79) &gt; 0, "On-Going", "Pause"))))</f>
        <v/>
      </c>
      <c r="G79" s="51"/>
      <c r="H79" s="50"/>
    </row>
    <row r="80" spans="1:8" x14ac:dyDescent="0.4">
      <c r="A80" s="61"/>
      <c r="B80" s="16" t="str">
        <f t="array" ref="B80">IFERROR(MIN(IF(Raw!$A$2:$A$26=MHT!A80,Raw!$B$2:$B$20)),"")</f>
        <v/>
      </c>
      <c r="C80" s="13" t="str">
        <f t="array" ref="C80">IFERROR(MIN(IF(Raw!$A$2:$A$26=MHT!A80,Raw!$C$2:$C$20)),"")</f>
        <v/>
      </c>
      <c r="D80" s="14" t="str">
        <f t="array" ref="D80">IF(Raw!D73="","",IFERROR(MAX(IF(Raw!$A$2:$A$26=MHT!A80,Raw!$D$2:$D$20)),""))</f>
        <v/>
      </c>
      <c r="E80" s="6" t="str">
        <f>IF(SUMIF(Raw!$A$2:$A$500, MHT!A80, Raw!$F$2:$F$500) = TIME(0,0,0), "", SUMIF(Raw!$A$2:$A$500, MHT!A80, Raw!$F$2:$F$500))</f>
        <v/>
      </c>
      <c r="F80" s="12" t="str">
        <f t="array" ref="F80">IF(A80="", "", IF(COUNTIF(Raw!$H$1:$I$500, A80) &gt; 0, "Done", IF(COUNTIF(Raw!$J$1:$J$500, A80) &gt; 0, "Pause", IF(COUNTIF(Raw!$K$1:$K$500, A80) &gt; 0, "On-Going", "Pause"))))</f>
        <v/>
      </c>
      <c r="G80" s="51"/>
      <c r="H80" s="50"/>
    </row>
    <row r="81" spans="1:8" x14ac:dyDescent="0.4">
      <c r="A81" s="61"/>
      <c r="B81" s="16" t="str">
        <f t="array" ref="B81">IFERROR(MIN(IF(Raw!$A$2:$A$26=MHT!A81,Raw!$B$2:$B$20)),"")</f>
        <v/>
      </c>
      <c r="C81" s="13" t="str">
        <f t="array" ref="C81">IFERROR(MIN(IF(Raw!$A$2:$A$26=MHT!A81,Raw!$C$2:$C$20)),"")</f>
        <v/>
      </c>
      <c r="D81" s="14" t="str">
        <f t="array" ref="D81">IF(Raw!D74="","",IFERROR(MAX(IF(Raw!$A$2:$A$26=MHT!A81,Raw!$D$2:$D$20)),""))</f>
        <v/>
      </c>
      <c r="E81" s="6" t="str">
        <f>IF(SUMIF(Raw!$A$2:$A$500, MHT!A81, Raw!$F$2:$F$500) = TIME(0,0,0), "", SUMIF(Raw!$A$2:$A$500, MHT!A81, Raw!$F$2:$F$500))</f>
        <v/>
      </c>
      <c r="F81" s="12" t="str">
        <f t="array" ref="F81">IF(A81="", "", IF(COUNTIF(Raw!$H$1:$I$500, A81) &gt; 0, "Done", IF(COUNTIF(Raw!$J$1:$J$500, A81) &gt; 0, "Pause", IF(COUNTIF(Raw!$K$1:$K$500, A81) &gt; 0, "On-Going", "Pause"))))</f>
        <v/>
      </c>
      <c r="G81" s="51"/>
      <c r="H81" s="50"/>
    </row>
    <row r="82" spans="1:8" x14ac:dyDescent="0.4">
      <c r="A82" s="61"/>
      <c r="B82" s="16" t="str">
        <f t="array" ref="B82">IFERROR(MIN(IF(Raw!$A$2:$A$26=MHT!A82,Raw!$B$2:$B$20)),"")</f>
        <v/>
      </c>
      <c r="C82" s="13" t="str">
        <f t="array" ref="C82">IFERROR(MIN(IF(Raw!$A$2:$A$26=MHT!A82,Raw!$C$2:$C$20)),"")</f>
        <v/>
      </c>
      <c r="D82" s="14" t="str">
        <f t="array" ref="D82">IF(Raw!D75="","",IFERROR(MAX(IF(Raw!$A$2:$A$26=MHT!A82,Raw!$D$2:$D$20)),""))</f>
        <v/>
      </c>
      <c r="E82" s="6" t="str">
        <f>IF(SUMIF(Raw!$A$2:$A$500, MHT!A82, Raw!$F$2:$F$500) = TIME(0,0,0), "", SUMIF(Raw!$A$2:$A$500, MHT!A82, Raw!$F$2:$F$500))</f>
        <v/>
      </c>
      <c r="F82" s="12" t="str">
        <f t="array" ref="F82">IF(A82="", "", IF(COUNTIF(Raw!$H$1:$I$500, A82) &gt; 0, "Done", IF(COUNTIF(Raw!$J$1:$J$500, A82) &gt; 0, "Pause", IF(COUNTIF(Raw!$K$1:$K$500, A82) &gt; 0, "On-Going", "Pause"))))</f>
        <v/>
      </c>
      <c r="G82" s="51"/>
      <c r="H82" s="50"/>
    </row>
    <row r="83" spans="1:8" x14ac:dyDescent="0.4">
      <c r="A83" s="61"/>
      <c r="B83" s="16" t="str">
        <f t="array" ref="B83">IFERROR(MIN(IF(Raw!$A$2:$A$26=MHT!A83,Raw!$B$2:$B$20)),"")</f>
        <v/>
      </c>
      <c r="C83" s="13" t="str">
        <f t="array" ref="C83">IFERROR(MIN(IF(Raw!$A$2:$A$26=MHT!A83,Raw!$C$2:$C$20)),"")</f>
        <v/>
      </c>
      <c r="D83" s="14" t="str">
        <f t="array" ref="D83">IF(Raw!D76="","",IFERROR(MAX(IF(Raw!$A$2:$A$26=MHT!A83,Raw!$D$2:$D$20)),""))</f>
        <v/>
      </c>
      <c r="E83" s="6" t="str">
        <f>IF(SUMIF(Raw!$A$2:$A$500, MHT!A83, Raw!$F$2:$F$500) = TIME(0,0,0), "", SUMIF(Raw!$A$2:$A$500, MHT!A83, Raw!$F$2:$F$500))</f>
        <v/>
      </c>
      <c r="F83" s="12" t="str">
        <f t="array" ref="F83">IF(A83="", "", IF(COUNTIF(Raw!$H$1:$I$500, A83) &gt; 0, "Done", IF(COUNTIF(Raw!$J$1:$J$500, A83) &gt; 0, "Pause", IF(COUNTIF(Raw!$K$1:$K$500, A83) &gt; 0, "On-Going", "Pause"))))</f>
        <v/>
      </c>
      <c r="G83" s="51"/>
      <c r="H83" s="50"/>
    </row>
    <row r="84" spans="1:8" x14ac:dyDescent="0.4">
      <c r="A84" s="61"/>
      <c r="B84" s="16" t="str">
        <f t="array" ref="B84">IFERROR(MIN(IF(Raw!$A$2:$A$26=MHT!A84,Raw!$B$2:$B$20)),"")</f>
        <v/>
      </c>
      <c r="C84" s="13" t="str">
        <f t="array" ref="C84">IFERROR(MIN(IF(Raw!$A$2:$A$26=MHT!A84,Raw!$C$2:$C$20)),"")</f>
        <v/>
      </c>
      <c r="D84" s="14" t="str">
        <f t="array" ref="D84">IF(Raw!D77="","",IFERROR(MAX(IF(Raw!$A$2:$A$26=MHT!A84,Raw!$D$2:$D$20)),""))</f>
        <v/>
      </c>
      <c r="E84" s="6" t="str">
        <f>IF(SUMIF(Raw!$A$2:$A$500, MHT!A84, Raw!$F$2:$F$500) = TIME(0,0,0), "", SUMIF(Raw!$A$2:$A$500, MHT!A84, Raw!$F$2:$F$500))</f>
        <v/>
      </c>
      <c r="F84" s="12" t="str">
        <f t="array" ref="F84">IF(A84="", "", IF(COUNTIF(Raw!$H$1:$I$500, A84) &gt; 0, "Done", IF(COUNTIF(Raw!$J$1:$J$500, A84) &gt; 0, "Pause", IF(COUNTIF(Raw!$K$1:$K$500, A84) &gt; 0, "On-Going", "Pause"))))</f>
        <v/>
      </c>
      <c r="G84" s="51"/>
      <c r="H84" s="50"/>
    </row>
    <row r="85" spans="1:8" x14ac:dyDescent="0.4">
      <c r="A85" s="61"/>
      <c r="B85" s="16" t="str">
        <f t="array" ref="B85">IFERROR(MIN(IF(Raw!$A$2:$A$26=MHT!A85,Raw!$B$2:$B$20)),"")</f>
        <v/>
      </c>
      <c r="C85" s="13" t="str">
        <f t="array" ref="C85">IFERROR(MIN(IF(Raw!$A$2:$A$26=MHT!A85,Raw!$C$2:$C$20)),"")</f>
        <v/>
      </c>
      <c r="D85" s="14" t="str">
        <f t="array" ref="D85">IF(Raw!D78="","",IFERROR(MAX(IF(Raw!$A$2:$A$26=MHT!A85,Raw!$D$2:$D$20)),""))</f>
        <v/>
      </c>
      <c r="E85" s="6" t="str">
        <f>IF(SUMIF(Raw!$A$2:$A$500, MHT!A85, Raw!$F$2:$F$500) = TIME(0,0,0), "", SUMIF(Raw!$A$2:$A$500, MHT!A85, Raw!$F$2:$F$500))</f>
        <v/>
      </c>
      <c r="F85" s="12" t="str">
        <f t="array" ref="F85">IF(A85="", "", IF(COUNTIF(Raw!$H$1:$I$500, A85) &gt; 0, "Done", IF(COUNTIF(Raw!$J$1:$J$500, A85) &gt; 0, "Pause", IF(COUNTIF(Raw!$K$1:$K$500, A85) &gt; 0, "On-Going", "Pause"))))</f>
        <v/>
      </c>
      <c r="G85" s="51"/>
      <c r="H85" s="50"/>
    </row>
    <row r="86" spans="1:8" x14ac:dyDescent="0.4">
      <c r="A86" s="61"/>
      <c r="B86" s="16" t="str">
        <f t="array" ref="B86">IFERROR(MIN(IF(Raw!$A$2:$A$26=MHT!A86,Raw!$B$2:$B$20)),"")</f>
        <v/>
      </c>
      <c r="C86" s="13" t="str">
        <f t="array" ref="C86">IFERROR(MIN(IF(Raw!$A$2:$A$26=MHT!A86,Raw!$C$2:$C$20)),"")</f>
        <v/>
      </c>
      <c r="D86" s="14" t="str">
        <f t="array" ref="D86">IF(Raw!D79="","",IFERROR(MAX(IF(Raw!$A$2:$A$26=MHT!A86,Raw!$D$2:$D$20)),""))</f>
        <v/>
      </c>
      <c r="E86" s="6" t="str">
        <f>IF(SUMIF(Raw!$A$2:$A$500, MHT!A86, Raw!$F$2:$F$500) = TIME(0,0,0), "", SUMIF(Raw!$A$2:$A$500, MHT!A86, Raw!$F$2:$F$500))</f>
        <v/>
      </c>
      <c r="F86" s="12" t="str">
        <f t="array" ref="F86">IF(A86="", "", IF(COUNTIF(Raw!$H$1:$I$500, A86) &gt; 0, "Done", IF(COUNTIF(Raw!$J$1:$J$500, A86) &gt; 0, "Pause", IF(COUNTIF(Raw!$K$1:$K$500, A86) &gt; 0, "On-Going", "Pause"))))</f>
        <v/>
      </c>
      <c r="G86" s="51"/>
      <c r="H86" s="50"/>
    </row>
    <row r="87" spans="1:8" x14ac:dyDescent="0.4">
      <c r="A87" s="61"/>
      <c r="B87" s="16" t="str">
        <f t="array" ref="B87">IFERROR(MIN(IF(Raw!$A$2:$A$26=MHT!A87,Raw!$B$2:$B$20)),"")</f>
        <v/>
      </c>
      <c r="C87" s="13" t="str">
        <f t="array" ref="C87">IFERROR(MIN(IF(Raw!$A$2:$A$26=MHT!A87,Raw!$C$2:$C$20)),"")</f>
        <v/>
      </c>
      <c r="D87" s="14" t="str">
        <f t="array" ref="D87">IF(Raw!D80="","",IFERROR(MAX(IF(Raw!$A$2:$A$26=MHT!A87,Raw!$D$2:$D$20)),""))</f>
        <v/>
      </c>
      <c r="E87" s="6" t="str">
        <f>IF(SUMIF(Raw!$A$2:$A$500, MHT!A87, Raw!$F$2:$F$500) = TIME(0,0,0), "", SUMIF(Raw!$A$2:$A$500, MHT!A87, Raw!$F$2:$F$500))</f>
        <v/>
      </c>
      <c r="F87" s="12" t="str">
        <f t="array" ref="F87">IF(A87="", "", IF(COUNTIF(Raw!$H$1:$I$500, A87) &gt; 0, "Done", IF(COUNTIF(Raw!$J$1:$J$500, A87) &gt; 0, "Pause", IF(COUNTIF(Raw!$K$1:$K$500, A87) &gt; 0, "On-Going", "Pause"))))</f>
        <v/>
      </c>
      <c r="G87" s="51"/>
      <c r="H87" s="50"/>
    </row>
    <row r="88" spans="1:8" x14ac:dyDescent="0.4">
      <c r="A88" s="61"/>
      <c r="B88" s="16" t="str">
        <f t="array" ref="B88">IFERROR(MIN(IF(Raw!$A$2:$A$26=MHT!A88,Raw!$B$2:$B$20)),"")</f>
        <v/>
      </c>
      <c r="C88" s="13" t="str">
        <f t="array" ref="C88">IFERROR(MIN(IF(Raw!$A$2:$A$26=MHT!A88,Raw!$C$2:$C$20)),"")</f>
        <v/>
      </c>
      <c r="D88" s="14" t="str">
        <f t="array" ref="D88">IF(Raw!D81="","",IFERROR(MAX(IF(Raw!$A$2:$A$26=MHT!A88,Raw!$D$2:$D$20)),""))</f>
        <v/>
      </c>
      <c r="E88" s="6" t="str">
        <f>IF(SUMIF(Raw!$A$2:$A$500, MHT!A88, Raw!$F$2:$F$500) = TIME(0,0,0), "", SUMIF(Raw!$A$2:$A$500, MHT!A88, Raw!$F$2:$F$500))</f>
        <v/>
      </c>
      <c r="F88" s="12" t="str">
        <f t="array" ref="F88">IF(A88="", "", IF(COUNTIF(Raw!$H$1:$I$500, A88) &gt; 0, "Done", IF(COUNTIF(Raw!$J$1:$J$500, A88) &gt; 0, "Pause", IF(COUNTIF(Raw!$K$1:$K$500, A88) &gt; 0, "On-Going", "Pause"))))</f>
        <v/>
      </c>
      <c r="G88" s="51"/>
      <c r="H88" s="50"/>
    </row>
    <row r="89" spans="1:8" x14ac:dyDescent="0.4">
      <c r="A89" s="61"/>
      <c r="B89" s="16" t="str">
        <f t="array" ref="B89">IFERROR(MIN(IF(Raw!$A$2:$A$26=MHT!A89,Raw!$B$2:$B$20)),"")</f>
        <v/>
      </c>
      <c r="C89" s="13" t="str">
        <f t="array" ref="C89">IFERROR(MIN(IF(Raw!$A$2:$A$26=MHT!A89,Raw!$C$2:$C$20)),"")</f>
        <v/>
      </c>
      <c r="D89" s="14" t="str">
        <f t="array" ref="D89">IF(Raw!D82="","",IFERROR(MAX(IF(Raw!$A$2:$A$26=MHT!A89,Raw!$D$2:$D$20)),""))</f>
        <v/>
      </c>
      <c r="E89" s="6" t="str">
        <f>IF(SUMIF(Raw!$A$2:$A$500, MHT!A89, Raw!$F$2:$F$500) = TIME(0,0,0), "", SUMIF(Raw!$A$2:$A$500, MHT!A89, Raw!$F$2:$F$500))</f>
        <v/>
      </c>
      <c r="F89" s="12" t="str">
        <f t="array" ref="F89">IF(A89="", "", IF(COUNTIF(Raw!$H$1:$I$500, A89) &gt; 0, "Done", IF(COUNTIF(Raw!$J$1:$J$500, A89) &gt; 0, "Pause", IF(COUNTIF(Raw!$K$1:$K$500, A89) &gt; 0, "On-Going", "Pause"))))</f>
        <v/>
      </c>
      <c r="G89" s="51"/>
      <c r="H89" s="50"/>
    </row>
    <row r="90" spans="1:8" x14ac:dyDescent="0.4">
      <c r="A90" s="61"/>
      <c r="B90" s="16" t="str">
        <f t="array" ref="B90">IFERROR(MIN(IF(Raw!$A$2:$A$26=MHT!A90,Raw!$B$2:$B$20)),"")</f>
        <v/>
      </c>
      <c r="C90" s="13" t="str">
        <f t="array" ref="C90">IFERROR(MIN(IF(Raw!$A$2:$A$26=MHT!A90,Raw!$C$2:$C$20)),"")</f>
        <v/>
      </c>
      <c r="D90" s="14" t="str">
        <f t="array" ref="D90">IF(Raw!D83="","",IFERROR(MAX(IF(Raw!$A$2:$A$26=MHT!A90,Raw!$D$2:$D$20)),""))</f>
        <v/>
      </c>
      <c r="E90" s="6" t="str">
        <f>IF(SUMIF(Raw!$A$2:$A$500, MHT!A90, Raw!$F$2:$F$500) = TIME(0,0,0), "", SUMIF(Raw!$A$2:$A$500, MHT!A90, Raw!$F$2:$F$500))</f>
        <v/>
      </c>
      <c r="F90" s="12" t="str">
        <f t="array" ref="F90">IF(A90="", "", IF(COUNTIF(Raw!$H$1:$I$500, A90) &gt; 0, "Done", IF(COUNTIF(Raw!$J$1:$J$500, A90) &gt; 0, "Pause", IF(COUNTIF(Raw!$K$1:$K$500, A90) &gt; 0, "On-Going", "Pause"))))</f>
        <v/>
      </c>
      <c r="G90" s="51"/>
      <c r="H90" s="50"/>
    </row>
    <row r="91" spans="1:8" x14ac:dyDescent="0.4">
      <c r="A91" s="61"/>
      <c r="B91" s="16" t="str">
        <f t="array" ref="B91">IFERROR(MIN(IF(Raw!$A$2:$A$26=MHT!A91,Raw!$B$2:$B$20)),"")</f>
        <v/>
      </c>
      <c r="C91" s="13" t="str">
        <f t="array" ref="C91">IFERROR(MIN(IF(Raw!$A$2:$A$26=MHT!A91,Raw!$C$2:$C$20)),"")</f>
        <v/>
      </c>
      <c r="D91" s="14" t="str">
        <f t="array" ref="D91">IF(Raw!D84="","",IFERROR(MAX(IF(Raw!$A$2:$A$26=MHT!A91,Raw!$D$2:$D$20)),""))</f>
        <v/>
      </c>
      <c r="E91" s="6" t="str">
        <f>IF(SUMIF(Raw!$A$2:$A$500, MHT!A91, Raw!$F$2:$F$500) = TIME(0,0,0), "", SUMIF(Raw!$A$2:$A$500, MHT!A91, Raw!$F$2:$F$500))</f>
        <v/>
      </c>
      <c r="F91" s="12" t="str">
        <f t="array" ref="F91">IF(A91="", "", IF(COUNTIF(Raw!$H$1:$I$500, A91) &gt; 0, "Done", IF(COUNTIF(Raw!$J$1:$J$500, A91) &gt; 0, "Pause", IF(COUNTIF(Raw!$K$1:$K$500, A91) &gt; 0, "On-Going", "Pause"))))</f>
        <v/>
      </c>
      <c r="G91" s="51"/>
      <c r="H91" s="50"/>
    </row>
    <row r="92" spans="1:8" x14ac:dyDescent="0.4">
      <c r="A92" s="61"/>
      <c r="B92" s="16" t="str">
        <f t="array" ref="B92">IFERROR(MIN(IF(Raw!$A$2:$A$26=MHT!A92,Raw!$B$2:$B$20)),"")</f>
        <v/>
      </c>
      <c r="C92" s="13" t="str">
        <f t="array" ref="C92">IFERROR(MIN(IF(Raw!$A$2:$A$26=MHT!A92,Raw!$C$2:$C$20)),"")</f>
        <v/>
      </c>
      <c r="D92" s="14" t="str">
        <f t="array" ref="D92">IF(Raw!D85="","",IFERROR(MAX(IF(Raw!$A$2:$A$26=MHT!A92,Raw!$D$2:$D$20)),""))</f>
        <v/>
      </c>
      <c r="E92" s="6" t="str">
        <f>IF(SUMIF(Raw!$A$2:$A$500, MHT!A92, Raw!$F$2:$F$500) = TIME(0,0,0), "", SUMIF(Raw!$A$2:$A$500, MHT!A92, Raw!$F$2:$F$500))</f>
        <v/>
      </c>
      <c r="F92" s="12" t="str">
        <f t="array" ref="F92">IF(A92="", "", IF(COUNTIF(Raw!$H$1:$I$500, A92) &gt; 0, "Done", IF(COUNTIF(Raw!$J$1:$J$500, A92) &gt; 0, "Pause", IF(COUNTIF(Raw!$K$1:$K$500, A92) &gt; 0, "On-Going", "Pause"))))</f>
        <v/>
      </c>
      <c r="G92" s="51"/>
      <c r="H92" s="50"/>
    </row>
    <row r="93" spans="1:8" x14ac:dyDescent="0.4">
      <c r="A93" s="61"/>
      <c r="B93" s="16" t="str">
        <f t="array" ref="B93">IFERROR(MIN(IF(Raw!$A$2:$A$26=MHT!A93,Raw!$B$2:$B$20)),"")</f>
        <v/>
      </c>
      <c r="C93" s="13" t="str">
        <f t="array" ref="C93">IFERROR(MIN(IF(Raw!$A$2:$A$26=MHT!A93,Raw!$C$2:$C$20)),"")</f>
        <v/>
      </c>
      <c r="D93" s="14" t="str">
        <f t="array" ref="D93">IF(Raw!D86="","",IFERROR(MAX(IF(Raw!$A$2:$A$26=MHT!A93,Raw!$D$2:$D$20)),""))</f>
        <v/>
      </c>
      <c r="E93" s="6" t="str">
        <f>IF(SUMIF(Raw!$A$2:$A$500, MHT!A93, Raw!$F$2:$F$500) = TIME(0,0,0), "", SUMIF(Raw!$A$2:$A$500, MHT!A93, Raw!$F$2:$F$500))</f>
        <v/>
      </c>
      <c r="F93" s="12" t="str">
        <f t="array" ref="F93">IF(A93="", "", IF(COUNTIF(Raw!$H$1:$I$500, A93) &gt; 0, "Done", IF(COUNTIF(Raw!$J$1:$J$500, A93) &gt; 0, "Pause", IF(COUNTIF(Raw!$K$1:$K$500, A93) &gt; 0, "On-Going", "Pause"))))</f>
        <v/>
      </c>
      <c r="G93" s="51"/>
      <c r="H93" s="50"/>
    </row>
    <row r="94" spans="1:8" x14ac:dyDescent="0.4">
      <c r="A94" s="61"/>
      <c r="B94" s="16" t="str">
        <f t="array" ref="B94">IFERROR(MIN(IF(Raw!$A$2:$A$26=MHT!A94,Raw!$B$2:$B$20)),"")</f>
        <v/>
      </c>
      <c r="C94" s="13" t="str">
        <f t="array" ref="C94">IFERROR(MIN(IF(Raw!$A$2:$A$26=MHT!A94,Raw!$C$2:$C$20)),"")</f>
        <v/>
      </c>
      <c r="D94" s="14" t="str">
        <f t="array" ref="D94">IF(Raw!D87="","",IFERROR(MAX(IF(Raw!$A$2:$A$26=MHT!A94,Raw!$D$2:$D$20)),""))</f>
        <v/>
      </c>
      <c r="E94" s="6" t="str">
        <f>IF(SUMIF(Raw!$A$2:$A$500, MHT!A94, Raw!$F$2:$F$500) = TIME(0,0,0), "", SUMIF(Raw!$A$2:$A$500, MHT!A94, Raw!$F$2:$F$500))</f>
        <v/>
      </c>
      <c r="F94" s="12" t="str">
        <f t="array" ref="F94">IF(A94="", "", IF(COUNTIF(Raw!$H$1:$I$500, A94) &gt; 0, "Done", IF(COUNTIF(Raw!$J$1:$J$500, A94) &gt; 0, "Pause", IF(COUNTIF(Raw!$K$1:$K$500, A94) &gt; 0, "On-Going", "Pause"))))</f>
        <v/>
      </c>
      <c r="G94" s="51"/>
      <c r="H94" s="50"/>
    </row>
    <row r="95" spans="1:8" x14ac:dyDescent="0.4">
      <c r="A95" s="61"/>
      <c r="B95" s="16" t="str">
        <f t="array" ref="B95">IFERROR(MIN(IF(Raw!$A$2:$A$26=MHT!A95,Raw!$B$2:$B$20)),"")</f>
        <v/>
      </c>
      <c r="C95" s="13" t="str">
        <f t="array" ref="C95">IFERROR(MIN(IF(Raw!$A$2:$A$26=MHT!A95,Raw!$C$2:$C$20)),"")</f>
        <v/>
      </c>
      <c r="D95" s="14" t="str">
        <f t="array" ref="D95">IF(Raw!D88="","",IFERROR(MAX(IF(Raw!$A$2:$A$26=MHT!A95,Raw!$D$2:$D$20)),""))</f>
        <v/>
      </c>
      <c r="E95" s="6" t="str">
        <f>IF(SUMIF(Raw!$A$2:$A$500, MHT!A95, Raw!$F$2:$F$500) = TIME(0,0,0), "", SUMIF(Raw!$A$2:$A$500, MHT!A95, Raw!$F$2:$F$500))</f>
        <v/>
      </c>
      <c r="F95" s="12" t="str">
        <f t="array" ref="F95">IF(A95="", "", IF(COUNTIF(Raw!$H$1:$I$500, A95) &gt; 0, "Done", IF(COUNTIF(Raw!$J$1:$J$500, A95) &gt; 0, "Pause", IF(COUNTIF(Raw!$K$1:$K$500, A95) &gt; 0, "On-Going", "Pause"))))</f>
        <v/>
      </c>
      <c r="G95" s="51"/>
      <c r="H95" s="50"/>
    </row>
    <row r="96" spans="1:8" x14ac:dyDescent="0.4">
      <c r="A96" s="61"/>
      <c r="B96" s="16" t="str">
        <f t="array" ref="B96">IFERROR(MIN(IF(Raw!$A$2:$A$26=MHT!A96,Raw!$B$2:$B$20)),"")</f>
        <v/>
      </c>
      <c r="C96" s="13" t="str">
        <f t="array" ref="C96">IFERROR(MIN(IF(Raw!$A$2:$A$26=MHT!A96,Raw!$C$2:$C$20)),"")</f>
        <v/>
      </c>
      <c r="D96" s="14" t="str">
        <f t="array" ref="D96">IF(Raw!D89="","",IFERROR(MAX(IF(Raw!$A$2:$A$26=MHT!A96,Raw!$D$2:$D$20)),""))</f>
        <v/>
      </c>
      <c r="E96" s="6" t="str">
        <f>IF(SUMIF(Raw!$A$2:$A$500, MHT!A96, Raw!$F$2:$F$500) = TIME(0,0,0), "", SUMIF(Raw!$A$2:$A$500, MHT!A96, Raw!$F$2:$F$500))</f>
        <v/>
      </c>
      <c r="F96" s="12" t="str">
        <f t="array" ref="F96">IF(A96="", "", IF(COUNTIF(Raw!$H$1:$I$500, A96) &gt; 0, "Done", IF(COUNTIF(Raw!$J$1:$J$500, A96) &gt; 0, "Pause", IF(COUNTIF(Raw!$K$1:$K$500, A96) &gt; 0, "On-Going", "Pause"))))</f>
        <v/>
      </c>
      <c r="G96" s="51"/>
      <c r="H96" s="50"/>
    </row>
    <row r="97" spans="1:8" x14ac:dyDescent="0.4">
      <c r="A97" s="61"/>
      <c r="B97" s="16" t="str">
        <f t="array" ref="B97">IFERROR(MIN(IF(Raw!$A$2:$A$26=MHT!A97,Raw!$B$2:$B$20)),"")</f>
        <v/>
      </c>
      <c r="C97" s="13" t="str">
        <f t="array" ref="C97">IFERROR(MIN(IF(Raw!$A$2:$A$26=MHT!A97,Raw!$C$2:$C$20)),"")</f>
        <v/>
      </c>
      <c r="D97" s="14" t="str">
        <f t="array" ref="D97">IF(Raw!D90="","",IFERROR(MAX(IF(Raw!$A$2:$A$26=MHT!A97,Raw!$D$2:$D$20)),""))</f>
        <v/>
      </c>
      <c r="E97" s="6" t="str">
        <f>IF(SUMIF(Raw!$A$2:$A$500, MHT!A97, Raw!$F$2:$F$500) = TIME(0,0,0), "", SUMIF(Raw!$A$2:$A$500, MHT!A97, Raw!$F$2:$F$500))</f>
        <v/>
      </c>
      <c r="F97" s="12" t="str">
        <f t="array" ref="F97">IF(A97="", "", IF(COUNTIF(Raw!$H$1:$I$500, A97) &gt; 0, "Done", IF(COUNTIF(Raw!$J$1:$J$500, A97) &gt; 0, "Pause", IF(COUNTIF(Raw!$K$1:$K$500, A97) &gt; 0, "On-Going", "Pause"))))</f>
        <v/>
      </c>
      <c r="G97" s="51"/>
      <c r="H97" s="50"/>
    </row>
    <row r="98" spans="1:8" x14ac:dyDescent="0.4">
      <c r="A98" s="61"/>
      <c r="B98" s="16" t="str">
        <f t="array" ref="B98">IFERROR(MIN(IF(Raw!$A$2:$A$26=MHT!A98,Raw!$B$2:$B$20)),"")</f>
        <v/>
      </c>
      <c r="C98" s="13" t="str">
        <f t="array" ref="C98">IFERROR(MIN(IF(Raw!$A$2:$A$26=MHT!A98,Raw!$C$2:$C$20)),"")</f>
        <v/>
      </c>
      <c r="D98" s="14" t="str">
        <f t="array" ref="D98">IF(Raw!D91="","",IFERROR(MAX(IF(Raw!$A$2:$A$26=MHT!A98,Raw!$D$2:$D$20)),""))</f>
        <v/>
      </c>
      <c r="E98" s="6" t="str">
        <f>IF(SUMIF(Raw!$A$2:$A$500, MHT!A98, Raw!$F$2:$F$500) = TIME(0,0,0), "", SUMIF(Raw!$A$2:$A$500, MHT!A98, Raw!$F$2:$F$500))</f>
        <v/>
      </c>
      <c r="F98" s="12" t="str">
        <f t="array" ref="F98">IF(A98="", "", IF(COUNTIF(Raw!$H$1:$I$500, A98) &gt; 0, "Done", IF(COUNTIF(Raw!$J$1:$J$500, A98) &gt; 0, "Pause", IF(COUNTIF(Raw!$K$1:$K$500, A98) &gt; 0, "On-Going", "Pause"))))</f>
        <v/>
      </c>
      <c r="G98" s="51"/>
      <c r="H98" s="50"/>
    </row>
    <row r="99" spans="1:8" x14ac:dyDescent="0.4">
      <c r="A99" s="61"/>
      <c r="B99" s="16" t="str">
        <f t="array" ref="B99">IFERROR(MIN(IF(Raw!$A$2:$A$26=MHT!A99,Raw!$B$2:$B$20)),"")</f>
        <v/>
      </c>
      <c r="C99" s="13" t="str">
        <f t="array" ref="C99">IFERROR(MIN(IF(Raw!$A$2:$A$26=MHT!A99,Raw!$C$2:$C$20)),"")</f>
        <v/>
      </c>
      <c r="D99" s="14" t="str">
        <f t="array" ref="D99">IF(Raw!D92="","",IFERROR(MAX(IF(Raw!$A$2:$A$26=MHT!A99,Raw!$D$2:$D$20)),""))</f>
        <v/>
      </c>
      <c r="E99" s="6" t="str">
        <f>IF(SUMIF(Raw!$A$2:$A$500, MHT!A99, Raw!$F$2:$F$500) = TIME(0,0,0), "", SUMIF(Raw!$A$2:$A$500, MHT!A99, Raw!$F$2:$F$500))</f>
        <v/>
      </c>
      <c r="F99" s="12" t="str">
        <f t="array" ref="F99">IF(A99="", "", IF(COUNTIF(Raw!$H$1:$I$500, A99) &gt; 0, "Done", IF(COUNTIF(Raw!$J$1:$J$500, A99) &gt; 0, "Pause", IF(COUNTIF(Raw!$K$1:$K$500, A99) &gt; 0, "On-Going", "Pause"))))</f>
        <v/>
      </c>
      <c r="G99" s="51"/>
      <c r="H99" s="50"/>
    </row>
    <row r="100" spans="1:8" x14ac:dyDescent="0.4">
      <c r="A100" s="61"/>
      <c r="B100" s="16" t="str">
        <f t="array" ref="B100">IFERROR(MIN(IF(Raw!$A$2:$A$26=MHT!A100,Raw!$B$2:$B$20)),"")</f>
        <v/>
      </c>
      <c r="C100" s="13" t="str">
        <f t="array" ref="C100">IFERROR(MIN(IF(Raw!$A$2:$A$26=MHT!A100,Raw!$C$2:$C$20)),"")</f>
        <v/>
      </c>
      <c r="D100" s="14" t="str">
        <f t="array" ref="D100">IF(Raw!D93="","",IFERROR(MAX(IF(Raw!$A$2:$A$26=MHT!A100,Raw!$D$2:$D$20)),""))</f>
        <v/>
      </c>
      <c r="E100" s="6" t="str">
        <f>IF(SUMIF(Raw!$A$2:$A$500, MHT!A100, Raw!$F$2:$F$500) = TIME(0,0,0), "", SUMIF(Raw!$A$2:$A$500, MHT!A100, Raw!$F$2:$F$500))</f>
        <v/>
      </c>
      <c r="F100" s="12" t="str">
        <f t="array" ref="F100">IF(A100="", "", IF(COUNTIF(Raw!$H$1:$I$500, A100) &gt; 0, "Done", IF(COUNTIF(Raw!$J$1:$J$500, A100) &gt; 0, "Pause", IF(COUNTIF(Raw!$K$1:$K$500, A100) &gt; 0, "On-Going", "Pause"))))</f>
        <v/>
      </c>
      <c r="G100" s="51"/>
      <c r="H100" s="50"/>
    </row>
    <row r="101" spans="1:8" x14ac:dyDescent="0.4">
      <c r="A101" s="61"/>
      <c r="B101" s="16" t="str">
        <f t="array" ref="B101">IFERROR(MIN(IF(Raw!$A$2:$A$26=MHT!A101,Raw!$B$2:$B$20)),"")</f>
        <v/>
      </c>
      <c r="C101" s="13" t="str">
        <f t="array" ref="C101">IFERROR(MIN(IF(Raw!$A$2:$A$26=MHT!A101,Raw!$C$2:$C$20)),"")</f>
        <v/>
      </c>
      <c r="D101" s="14" t="str">
        <f t="array" ref="D101">IF(Raw!D94="","",IFERROR(MAX(IF(Raw!$A$2:$A$26=MHT!A101,Raw!$D$2:$D$20)),""))</f>
        <v/>
      </c>
      <c r="E101" s="6" t="str">
        <f>IF(SUMIF(Raw!$A$2:$A$500, MHT!A101, Raw!$F$2:$F$500) = TIME(0,0,0), "", SUMIF(Raw!$A$2:$A$500, MHT!A101, Raw!$F$2:$F$500))</f>
        <v/>
      </c>
      <c r="F101" s="12" t="str">
        <f t="array" ref="F101">IF(A101="", "", IF(COUNTIF(Raw!$H$1:$I$500, A101) &gt; 0, "Done", IF(COUNTIF(Raw!$J$1:$J$500, A101) &gt; 0, "Pause", IF(COUNTIF(Raw!$K$1:$K$500, A101) &gt; 0, "On-Going", "Pause"))))</f>
        <v/>
      </c>
      <c r="G101" s="51"/>
      <c r="H101" s="50"/>
    </row>
    <row r="102" spans="1:8" x14ac:dyDescent="0.4">
      <c r="A102" s="61"/>
      <c r="B102" s="16" t="str">
        <f t="array" ref="B102">IFERROR(MIN(IF(Raw!$A$2:$A$26=MHT!A102,Raw!$B$2:$B$20)),"")</f>
        <v/>
      </c>
      <c r="C102" s="13" t="str">
        <f t="array" ref="C102">IFERROR(MIN(IF(Raw!$A$2:$A$26=MHT!A102,Raw!$C$2:$C$20)),"")</f>
        <v/>
      </c>
      <c r="D102" s="14" t="str">
        <f t="array" ref="D102">IF(Raw!D95="","",IFERROR(MAX(IF(Raw!$A$2:$A$26=MHT!A102,Raw!$D$2:$D$20)),""))</f>
        <v/>
      </c>
      <c r="E102" s="6" t="str">
        <f>IF(SUMIF(Raw!$A$2:$A$500, MHT!A102, Raw!$F$2:$F$500) = TIME(0,0,0), "", SUMIF(Raw!$A$2:$A$500, MHT!A102, Raw!$F$2:$F$500))</f>
        <v/>
      </c>
      <c r="F102" s="12" t="str">
        <f t="array" ref="F102">IF(A102="", "", IF(COUNTIF(Raw!$H$1:$I$500, A102) &gt; 0, "Done", IF(COUNTIF(Raw!$J$1:$J$500, A102) &gt; 0, "Pause", IF(COUNTIF(Raw!$K$1:$K$500, A102) &gt; 0, "On-Going", "Pause"))))</f>
        <v/>
      </c>
      <c r="G102" s="51"/>
      <c r="H102" s="50"/>
    </row>
    <row r="103" spans="1:8" x14ac:dyDescent="0.4">
      <c r="A103" s="61"/>
      <c r="B103" s="16" t="str">
        <f t="array" ref="B103">IFERROR(MIN(IF(Raw!$A$2:$A$26=MHT!A103,Raw!$B$2:$B$20)),"")</f>
        <v/>
      </c>
      <c r="C103" s="13" t="str">
        <f t="array" ref="C103">IFERROR(MIN(IF(Raw!$A$2:$A$26=MHT!A103,Raw!$C$2:$C$20)),"")</f>
        <v/>
      </c>
      <c r="D103" s="14" t="str">
        <f t="array" ref="D103">IF(Raw!D96="","",IFERROR(MAX(IF(Raw!$A$2:$A$26=MHT!A103,Raw!$D$2:$D$20)),""))</f>
        <v/>
      </c>
      <c r="E103" s="6" t="str">
        <f>IF(SUMIF(Raw!$A$2:$A$500, MHT!A103, Raw!$F$2:$F$500) = TIME(0,0,0), "", SUMIF(Raw!$A$2:$A$500, MHT!A103, Raw!$F$2:$F$500))</f>
        <v/>
      </c>
      <c r="F103" s="12" t="str">
        <f t="array" ref="F103">IF(A103="", "", IF(COUNTIF(Raw!$H$1:$I$500, A103) &gt; 0, "Done", IF(COUNTIF(Raw!$J$1:$J$500, A103) &gt; 0, "Pause", IF(COUNTIF(Raw!$K$1:$K$500, A103) &gt; 0, "On-Going", "Pause"))))</f>
        <v/>
      </c>
      <c r="G103" s="51"/>
      <c r="H103" s="50"/>
    </row>
    <row r="104" spans="1:8" x14ac:dyDescent="0.4">
      <c r="A104" s="61"/>
      <c r="B104" s="16" t="str">
        <f t="array" ref="B104">IFERROR(MIN(IF(Raw!$A$2:$A$26=MHT!A104,Raw!$B$2:$B$20)),"")</f>
        <v/>
      </c>
      <c r="C104" s="13" t="str">
        <f t="array" ref="C104">IFERROR(MIN(IF(Raw!$A$2:$A$26=MHT!A104,Raw!$C$2:$C$20)),"")</f>
        <v/>
      </c>
      <c r="D104" s="14" t="str">
        <f t="array" ref="D104">IF(Raw!D97="","",IFERROR(MAX(IF(Raw!$A$2:$A$26=MHT!A104,Raw!$D$2:$D$20)),""))</f>
        <v/>
      </c>
      <c r="E104" s="6" t="str">
        <f>IF(SUMIF(Raw!$A$2:$A$500, MHT!A104, Raw!$F$2:$F$500) = TIME(0,0,0), "", SUMIF(Raw!$A$2:$A$500, MHT!A104, Raw!$F$2:$F$500))</f>
        <v/>
      </c>
      <c r="F104" s="12" t="str">
        <f t="array" ref="F104">IF(A104="", "", IF(COUNTIF(Raw!$H$1:$I$500, A104) &gt; 0, "Done", IF(COUNTIF(Raw!$J$1:$J$500, A104) &gt; 0, "Pause", IF(COUNTIF(Raw!$K$1:$K$500, A104) &gt; 0, "On-Going", "Pause"))))</f>
        <v/>
      </c>
      <c r="G104" s="51"/>
      <c r="H104" s="50"/>
    </row>
    <row r="105" spans="1:8" x14ac:dyDescent="0.4">
      <c r="A105" s="61"/>
      <c r="B105" s="16" t="str">
        <f t="array" ref="B105">IFERROR(MIN(IF(Raw!$A$2:$A$26=MHT!A105,Raw!$B$2:$B$20)),"")</f>
        <v/>
      </c>
      <c r="C105" s="13" t="str">
        <f t="array" ref="C105">IFERROR(MIN(IF(Raw!$A$2:$A$26=MHT!A105,Raw!$C$2:$C$20)),"")</f>
        <v/>
      </c>
      <c r="D105" s="14" t="str">
        <f t="array" ref="D105">IF(Raw!D98="","",IFERROR(MAX(IF(Raw!$A$2:$A$26=MHT!A105,Raw!$D$2:$D$20)),""))</f>
        <v/>
      </c>
      <c r="E105" s="6" t="str">
        <f>IF(SUMIF(Raw!$A$2:$A$500, MHT!A105, Raw!$F$2:$F$500) = TIME(0,0,0), "", SUMIF(Raw!$A$2:$A$500, MHT!A105, Raw!$F$2:$F$500))</f>
        <v/>
      </c>
      <c r="F105" s="12" t="str">
        <f t="array" ref="F105">IF(A105="", "", IF(COUNTIF(Raw!$H$1:$I$500, A105) &gt; 0, "Done", IF(COUNTIF(Raw!$J$1:$J$500, A105) &gt; 0, "Pause", IF(COUNTIF(Raw!$K$1:$K$500, A105) &gt; 0, "On-Going", "Pause"))))</f>
        <v/>
      </c>
      <c r="G105" s="51"/>
      <c r="H105" s="50"/>
    </row>
    <row r="106" spans="1:8" x14ac:dyDescent="0.4">
      <c r="A106" s="61"/>
      <c r="B106" s="16" t="str">
        <f t="array" ref="B106">IFERROR(MIN(IF(Raw!$A$2:$A$26=MHT!A106,Raw!$B$2:$B$20)),"")</f>
        <v/>
      </c>
      <c r="C106" s="13" t="str">
        <f t="array" ref="C106">IFERROR(MIN(IF(Raw!$A$2:$A$26=MHT!A106,Raw!$C$2:$C$20)),"")</f>
        <v/>
      </c>
      <c r="D106" s="14" t="str">
        <f t="array" ref="D106">IF(Raw!D99="","",IFERROR(MAX(IF(Raw!$A$2:$A$26=MHT!A106,Raw!$D$2:$D$20)),""))</f>
        <v/>
      </c>
      <c r="E106" s="6" t="str">
        <f>IF(SUMIF(Raw!$A$2:$A$500, MHT!A106, Raw!$F$2:$F$500) = TIME(0,0,0), "", SUMIF(Raw!$A$2:$A$500, MHT!A106, Raw!$F$2:$F$500))</f>
        <v/>
      </c>
      <c r="F106" s="12" t="str">
        <f t="array" ref="F106">IF(A106="", "", IF(COUNTIF(Raw!$H$1:$I$500, A106) &gt; 0, "Done", IF(COUNTIF(Raw!$J$1:$J$500, A106) &gt; 0, "Pause", IF(COUNTIF(Raw!$K$1:$K$500, A106) &gt; 0, "On-Going", "Pause"))))</f>
        <v/>
      </c>
      <c r="G106" s="51"/>
      <c r="H106" s="50"/>
    </row>
    <row r="107" spans="1:8" x14ac:dyDescent="0.4">
      <c r="A107" s="61"/>
      <c r="B107" s="16" t="str">
        <f t="array" ref="B107">IFERROR(MIN(IF(Raw!$A$2:$A$26=MHT!A107,Raw!$B$2:$B$20)),"")</f>
        <v/>
      </c>
      <c r="C107" s="13" t="str">
        <f t="array" ref="C107">IFERROR(MIN(IF(Raw!$A$2:$A$26=MHT!A107,Raw!$C$2:$C$20)),"")</f>
        <v/>
      </c>
      <c r="D107" s="14" t="str">
        <f t="array" ref="D107">IF(Raw!D100="","",IFERROR(MAX(IF(Raw!$A$2:$A$26=MHT!A107,Raw!$D$2:$D$20)),""))</f>
        <v/>
      </c>
      <c r="E107" s="6" t="str">
        <f>IF(SUMIF(Raw!$A$2:$A$500, MHT!A107, Raw!$F$2:$F$500) = TIME(0,0,0), "", SUMIF(Raw!$A$2:$A$500, MHT!A107, Raw!$F$2:$F$500))</f>
        <v/>
      </c>
      <c r="F107" s="12" t="str">
        <f t="array" ref="F107">IF(A107="", "", IF(COUNTIF(Raw!$H$1:$I$500, A107) &gt; 0, "Done", IF(COUNTIF(Raw!$J$1:$J$500, A107) &gt; 0, "Pause", IF(COUNTIF(Raw!$K$1:$K$500, A107) &gt; 0, "On-Going", "Pause"))))</f>
        <v/>
      </c>
      <c r="G107" s="51"/>
      <c r="H107" s="50"/>
    </row>
    <row r="108" spans="1:8" x14ac:dyDescent="0.4">
      <c r="A108" s="61"/>
      <c r="B108" s="16" t="str">
        <f t="array" ref="B108">IFERROR(MIN(IF(Raw!$A$2:$A$26=MHT!A108,Raw!$B$2:$B$20)),"")</f>
        <v/>
      </c>
      <c r="C108" s="13" t="str">
        <f t="array" ref="C108">IFERROR(MIN(IF(Raw!$A$2:$A$26=MHT!A108,Raw!$C$2:$C$20)),"")</f>
        <v/>
      </c>
      <c r="D108" s="14" t="str">
        <f t="array" ref="D108">IF(Raw!D101="","",IFERROR(MAX(IF(Raw!$A$2:$A$26=MHT!A108,Raw!$D$2:$D$20)),""))</f>
        <v/>
      </c>
      <c r="E108" s="6" t="str">
        <f>IF(SUMIF(Raw!$A$2:$A$500, MHT!A108, Raw!$F$2:$F$500) = TIME(0,0,0), "", SUMIF(Raw!$A$2:$A$500, MHT!A108, Raw!$F$2:$F$500))</f>
        <v/>
      </c>
      <c r="F108" s="12" t="str">
        <f t="array" ref="F108">IF(A108="", "", IF(COUNTIF(Raw!$H$1:$I$500, A108) &gt; 0, "Done", IF(COUNTIF(Raw!$J$1:$J$500, A108) &gt; 0, "Pause", IF(COUNTIF(Raw!$K$1:$K$500, A108) &gt; 0, "On-Going", "Pause"))))</f>
        <v/>
      </c>
      <c r="G108" s="51"/>
      <c r="H108" s="50"/>
    </row>
    <row r="109" spans="1:8" x14ac:dyDescent="0.4">
      <c r="A109" s="61"/>
      <c r="B109" s="16" t="str">
        <f t="array" ref="B109">IFERROR(MIN(IF(Raw!$A$2:$A$26=MHT!A109,Raw!$B$2:$B$20)),"")</f>
        <v/>
      </c>
      <c r="C109" s="13" t="str">
        <f t="array" ref="C109">IFERROR(MIN(IF(Raw!$A$2:$A$26=MHT!A109,Raw!$C$2:$C$20)),"")</f>
        <v/>
      </c>
      <c r="D109" s="14" t="str">
        <f t="array" ref="D109">IF(Raw!D102="","",IFERROR(MAX(IF(Raw!$A$2:$A$26=MHT!A109,Raw!$D$2:$D$20)),""))</f>
        <v/>
      </c>
      <c r="E109" s="6" t="str">
        <f>IF(SUMIF(Raw!$A$2:$A$500, MHT!A109, Raw!$F$2:$F$500) = TIME(0,0,0), "", SUMIF(Raw!$A$2:$A$500, MHT!A109, Raw!$F$2:$F$500))</f>
        <v/>
      </c>
      <c r="F109" s="12" t="str">
        <f t="array" ref="F109">IF(A109="", "", IF(COUNTIF(Raw!$H$1:$I$500, A109) &gt; 0, "Done", IF(COUNTIF(Raw!$J$1:$J$500, A109) &gt; 0, "Pause", IF(COUNTIF(Raw!$K$1:$K$500, A109) &gt; 0, "On-Going", "Pause"))))</f>
        <v/>
      </c>
      <c r="G109" s="51"/>
      <c r="H109" s="50"/>
    </row>
    <row r="110" spans="1:8" x14ac:dyDescent="0.4">
      <c r="A110" s="61"/>
      <c r="B110" s="16" t="str">
        <f t="array" ref="B110">IFERROR(MIN(IF(Raw!$A$2:$A$26=MHT!A110,Raw!$B$2:$B$20)),"")</f>
        <v/>
      </c>
      <c r="C110" s="13" t="str">
        <f t="array" ref="C110">IFERROR(MIN(IF(Raw!$A$2:$A$26=MHT!A110,Raw!$C$2:$C$20)),"")</f>
        <v/>
      </c>
      <c r="D110" s="14" t="str">
        <f t="array" ref="D110">IF(Raw!D103="","",IFERROR(MAX(IF(Raw!$A$2:$A$26=MHT!A110,Raw!$D$2:$D$20)),""))</f>
        <v/>
      </c>
      <c r="E110" s="6" t="str">
        <f>IF(SUMIF(Raw!$A$2:$A$500, MHT!A110, Raw!$F$2:$F$500) = TIME(0,0,0), "", SUMIF(Raw!$A$2:$A$500, MHT!A110, Raw!$F$2:$F$500))</f>
        <v/>
      </c>
      <c r="F110" s="12" t="str">
        <f t="array" ref="F110">IF(A110="", "", IF(COUNTIF(Raw!$H$1:$I$500, A110) &gt; 0, "Done", IF(COUNTIF(Raw!$J$1:$J$500, A110) &gt; 0, "Pause", IF(COUNTIF(Raw!$K$1:$K$500, A110) &gt; 0, "On-Going", "Pause"))))</f>
        <v/>
      </c>
      <c r="G110" s="51"/>
      <c r="H110" s="50"/>
    </row>
    <row r="111" spans="1:8" x14ac:dyDescent="0.4">
      <c r="A111" s="61"/>
      <c r="B111" s="16" t="str">
        <f t="array" ref="B111">IFERROR(MIN(IF(Raw!$A$2:$A$26=MHT!A111,Raw!$B$2:$B$20)),"")</f>
        <v/>
      </c>
      <c r="C111" s="13" t="str">
        <f t="array" ref="C111">IFERROR(MIN(IF(Raw!$A$2:$A$26=MHT!A111,Raw!$C$2:$C$20)),"")</f>
        <v/>
      </c>
      <c r="D111" s="14" t="str">
        <f t="array" ref="D111">IF(Raw!D104="","",IFERROR(MAX(IF(Raw!$A$2:$A$26=MHT!A111,Raw!$D$2:$D$20)),""))</f>
        <v/>
      </c>
      <c r="E111" s="6" t="str">
        <f>IF(SUMIF(Raw!$A$2:$A$500, MHT!A111, Raw!$F$2:$F$500) = TIME(0,0,0), "", SUMIF(Raw!$A$2:$A$500, MHT!A111, Raw!$F$2:$F$500))</f>
        <v/>
      </c>
      <c r="F111" s="12" t="str">
        <f t="array" ref="F111">IF(A111="", "", IF(COUNTIF(Raw!$H$1:$I$500, A111) &gt; 0, "Done", IF(COUNTIF(Raw!$J$1:$J$500, A111) &gt; 0, "Pause", IF(COUNTIF(Raw!$K$1:$K$500, A111) &gt; 0, "On-Going", "Pause"))))</f>
        <v/>
      </c>
      <c r="G111" s="51"/>
      <c r="H111" s="50"/>
    </row>
    <row r="112" spans="1:8" x14ac:dyDescent="0.4">
      <c r="A112" s="61"/>
      <c r="B112" s="16" t="str">
        <f t="array" ref="B112">IFERROR(MIN(IF(Raw!$A$2:$A$26=MHT!A112,Raw!$B$2:$B$20)),"")</f>
        <v/>
      </c>
      <c r="C112" s="13" t="str">
        <f t="array" ref="C112">IFERROR(MIN(IF(Raw!$A$2:$A$26=MHT!A112,Raw!$C$2:$C$20)),"")</f>
        <v/>
      </c>
      <c r="D112" s="14" t="str">
        <f t="array" ref="D112">IF(Raw!D105="","",IFERROR(MAX(IF(Raw!$A$2:$A$26=MHT!A112,Raw!$D$2:$D$20)),""))</f>
        <v/>
      </c>
      <c r="E112" s="6" t="str">
        <f>IF(SUMIF(Raw!$A$2:$A$500, MHT!A112, Raw!$F$2:$F$500) = TIME(0,0,0), "", SUMIF(Raw!$A$2:$A$500, MHT!A112, Raw!$F$2:$F$500))</f>
        <v/>
      </c>
      <c r="F112" s="12" t="str">
        <f t="array" ref="F112">IF(A112="", "", IF(COUNTIF(Raw!$H$1:$I$500, A112) &gt; 0, "Done", IF(COUNTIF(Raw!$J$1:$J$500, A112) &gt; 0, "Pause", IF(COUNTIF(Raw!$K$1:$K$500, A112) &gt; 0, "On-Going", "Pause"))))</f>
        <v/>
      </c>
      <c r="G112" s="51"/>
      <c r="H112" s="50"/>
    </row>
    <row r="113" spans="1:8" x14ac:dyDescent="0.4">
      <c r="A113" s="61"/>
      <c r="B113" s="16" t="str">
        <f t="array" ref="B113">IFERROR(MIN(IF(Raw!$A$2:$A$26=MHT!A113,Raw!$B$2:$B$20)),"")</f>
        <v/>
      </c>
      <c r="C113" s="13" t="str">
        <f t="array" ref="C113">IFERROR(MIN(IF(Raw!$A$2:$A$26=MHT!A113,Raw!$C$2:$C$20)),"")</f>
        <v/>
      </c>
      <c r="D113" s="14" t="str">
        <f t="array" ref="D113">IF(Raw!D106="","",IFERROR(MAX(IF(Raw!$A$2:$A$26=MHT!A113,Raw!$D$2:$D$20)),""))</f>
        <v/>
      </c>
      <c r="E113" s="6" t="str">
        <f>IF(SUMIF(Raw!$A$2:$A$500, MHT!A113, Raw!$F$2:$F$500) = TIME(0,0,0), "", SUMIF(Raw!$A$2:$A$500, MHT!A113, Raw!$F$2:$F$500))</f>
        <v/>
      </c>
      <c r="F113" s="12" t="str">
        <f t="array" ref="F113">IF(A113="", "", IF(COUNTIF(Raw!$H$1:$I$500, A113) &gt; 0, "Done", IF(COUNTIF(Raw!$J$1:$J$500, A113) &gt; 0, "Pause", IF(COUNTIF(Raw!$K$1:$K$500, A113) &gt; 0, "On-Going", "Pause"))))</f>
        <v/>
      </c>
      <c r="G113" s="51"/>
      <c r="H113" s="50"/>
    </row>
    <row r="114" spans="1:8" x14ac:dyDescent="0.4">
      <c r="A114" s="61"/>
      <c r="B114" s="16" t="str">
        <f t="array" ref="B114">IFERROR(MIN(IF(Raw!$A$2:$A$26=MHT!A114,Raw!$B$2:$B$20)),"")</f>
        <v/>
      </c>
      <c r="C114" s="13" t="str">
        <f t="array" ref="C114">IFERROR(MIN(IF(Raw!$A$2:$A$26=MHT!A114,Raw!$C$2:$C$20)),"")</f>
        <v/>
      </c>
      <c r="D114" s="14" t="str">
        <f t="array" ref="D114">IF(Raw!D107="","",IFERROR(MAX(IF(Raw!$A$2:$A$26=MHT!A114,Raw!$D$2:$D$20)),""))</f>
        <v/>
      </c>
      <c r="E114" s="6" t="str">
        <f>IF(SUMIF(Raw!$A$2:$A$500, MHT!A114, Raw!$F$2:$F$500) = TIME(0,0,0), "", SUMIF(Raw!$A$2:$A$500, MHT!A114, Raw!$F$2:$F$500))</f>
        <v/>
      </c>
      <c r="F114" s="12" t="str">
        <f t="array" ref="F114">IF(A114="", "", IF(COUNTIF(Raw!$H$1:$I$500, A114) &gt; 0, "Done", IF(COUNTIF(Raw!$J$1:$J$500, A114) &gt; 0, "Pause", IF(COUNTIF(Raw!$K$1:$K$500, A114) &gt; 0, "On-Going", "Pause"))))</f>
        <v/>
      </c>
      <c r="G114" s="51"/>
      <c r="H114" s="50"/>
    </row>
    <row r="115" spans="1:8" x14ac:dyDescent="0.4">
      <c r="A115" s="61"/>
      <c r="B115" s="16" t="str">
        <f t="array" ref="B115">IFERROR(MIN(IF(Raw!$A$2:$A$26=MHT!A115,Raw!$B$2:$B$20)),"")</f>
        <v/>
      </c>
      <c r="C115" s="13" t="str">
        <f t="array" ref="C115">IFERROR(MIN(IF(Raw!$A$2:$A$26=MHT!A115,Raw!$C$2:$C$20)),"")</f>
        <v/>
      </c>
      <c r="D115" s="14" t="str">
        <f t="array" ref="D115">IF(Raw!D108="","",IFERROR(MAX(IF(Raw!$A$2:$A$26=MHT!A115,Raw!$D$2:$D$20)),""))</f>
        <v/>
      </c>
      <c r="E115" s="6" t="str">
        <f>IF(SUMIF(Raw!$A$2:$A$500, MHT!A115, Raw!$F$2:$F$500) = TIME(0,0,0), "", SUMIF(Raw!$A$2:$A$500, MHT!A115, Raw!$F$2:$F$500))</f>
        <v/>
      </c>
      <c r="F115" s="12" t="str">
        <f t="array" ref="F115">IF(A115="", "", IF(COUNTIF(Raw!$H$1:$I$500, A115) &gt; 0, "Done", IF(COUNTIF(Raw!$J$1:$J$500, A115) &gt; 0, "Pause", IF(COUNTIF(Raw!$K$1:$K$500, A115) &gt; 0, "On-Going", "Pause"))))</f>
        <v/>
      </c>
      <c r="G115" s="51"/>
      <c r="H115" s="50"/>
    </row>
    <row r="116" spans="1:8" x14ac:dyDescent="0.4">
      <c r="A116" s="61"/>
      <c r="B116" s="16" t="str">
        <f t="array" ref="B116">IFERROR(MIN(IF(Raw!$A$2:$A$26=MHT!A116,Raw!$B$2:$B$20)),"")</f>
        <v/>
      </c>
      <c r="C116" s="13" t="str">
        <f t="array" ref="C116">IFERROR(MIN(IF(Raw!$A$2:$A$26=MHT!A116,Raw!$C$2:$C$20)),"")</f>
        <v/>
      </c>
      <c r="D116" s="14" t="str">
        <f t="array" ref="D116">IF(Raw!D109="","",IFERROR(MAX(IF(Raw!$A$2:$A$26=MHT!A116,Raw!$D$2:$D$20)),""))</f>
        <v/>
      </c>
      <c r="E116" s="6" t="str">
        <f>IF(SUMIF(Raw!$A$2:$A$500, MHT!A116, Raw!$F$2:$F$500) = TIME(0,0,0), "", SUMIF(Raw!$A$2:$A$500, MHT!A116, Raw!$F$2:$F$500))</f>
        <v/>
      </c>
      <c r="F116" s="12" t="str">
        <f t="array" ref="F116">IF(A116="", "", IF(COUNTIF(Raw!$H$1:$I$500, A116) &gt; 0, "Done", IF(COUNTIF(Raw!$J$1:$J$500, A116) &gt; 0, "Pause", IF(COUNTIF(Raw!$K$1:$K$500, A116) &gt; 0, "On-Going", "Pause"))))</f>
        <v/>
      </c>
      <c r="G116" s="51"/>
      <c r="H116" s="50"/>
    </row>
    <row r="117" spans="1:8" x14ac:dyDescent="0.4">
      <c r="A117" s="61"/>
      <c r="B117" s="16" t="str">
        <f t="array" ref="B117">IFERROR(MIN(IF(Raw!$A$2:$A$26=MHT!A117,Raw!$B$2:$B$20)),"")</f>
        <v/>
      </c>
      <c r="C117" s="13" t="str">
        <f t="array" ref="C117">IFERROR(MIN(IF(Raw!$A$2:$A$26=MHT!A117,Raw!$C$2:$C$20)),"")</f>
        <v/>
      </c>
      <c r="D117" s="14" t="str">
        <f t="array" ref="D117">IF(Raw!D110="","",IFERROR(MAX(IF(Raw!$A$2:$A$26=MHT!A117,Raw!$D$2:$D$20)),""))</f>
        <v/>
      </c>
      <c r="E117" s="6" t="str">
        <f>IF(SUMIF(Raw!$A$2:$A$500, MHT!A117, Raw!$F$2:$F$500) = TIME(0,0,0), "", SUMIF(Raw!$A$2:$A$500, MHT!A117, Raw!$F$2:$F$500))</f>
        <v/>
      </c>
      <c r="F117" s="12" t="str">
        <f t="array" ref="F117">IF(A117="", "", IF(COUNTIF(Raw!$H$1:$I$500, A117) &gt; 0, "Done", IF(COUNTIF(Raw!$J$1:$J$500, A117) &gt; 0, "Pause", IF(COUNTIF(Raw!$K$1:$K$500, A117) &gt; 0, "On-Going", "Pause"))))</f>
        <v/>
      </c>
      <c r="G117" s="51"/>
      <c r="H117" s="50"/>
    </row>
    <row r="118" spans="1:8" x14ac:dyDescent="0.4">
      <c r="A118" s="61"/>
      <c r="B118" s="16" t="str">
        <f t="array" ref="B118">IFERROR(MIN(IF(Raw!$A$2:$A$26=MHT!A118,Raw!$B$2:$B$20)),"")</f>
        <v/>
      </c>
      <c r="C118" s="13" t="str">
        <f t="array" ref="C118">IFERROR(MIN(IF(Raw!$A$2:$A$26=MHT!A118,Raw!$C$2:$C$20)),"")</f>
        <v/>
      </c>
      <c r="D118" s="14" t="str">
        <f t="array" ref="D118">IF(Raw!D111="","",IFERROR(MAX(IF(Raw!$A$2:$A$26=MHT!A118,Raw!$D$2:$D$20)),""))</f>
        <v/>
      </c>
      <c r="E118" s="6" t="str">
        <f>IF(SUMIF(Raw!$A$2:$A$500, MHT!A118, Raw!$F$2:$F$500) = TIME(0,0,0), "", SUMIF(Raw!$A$2:$A$500, MHT!A118, Raw!$F$2:$F$500))</f>
        <v/>
      </c>
      <c r="F118" s="12" t="str">
        <f t="array" ref="F118">IF(A118="", "", IF(COUNTIF(Raw!$H$1:$I$500, A118) &gt; 0, "Done", IF(COUNTIF(Raw!$J$1:$J$500, A118) &gt; 0, "Pause", IF(COUNTIF(Raw!$K$1:$K$500, A118) &gt; 0, "On-Going", "Pause"))))</f>
        <v/>
      </c>
      <c r="G118" s="51"/>
      <c r="H118" s="50"/>
    </row>
    <row r="119" spans="1:8" x14ac:dyDescent="0.4">
      <c r="A119" s="61"/>
      <c r="B119" s="16" t="str">
        <f t="array" ref="B119">IFERROR(MIN(IF(Raw!$A$2:$A$26=MHT!A119,Raw!$B$2:$B$20)),"")</f>
        <v/>
      </c>
      <c r="C119" s="13" t="str">
        <f t="array" ref="C119">IFERROR(MIN(IF(Raw!$A$2:$A$26=MHT!A119,Raw!$C$2:$C$20)),"")</f>
        <v/>
      </c>
      <c r="D119" s="14" t="str">
        <f t="array" ref="D119">IF(Raw!D112="","",IFERROR(MAX(IF(Raw!$A$2:$A$26=MHT!A119,Raw!$D$2:$D$20)),""))</f>
        <v/>
      </c>
      <c r="E119" s="6" t="str">
        <f>IF(SUMIF(Raw!$A$2:$A$500, MHT!A119, Raw!$F$2:$F$500) = TIME(0,0,0), "", SUMIF(Raw!$A$2:$A$500, MHT!A119, Raw!$F$2:$F$500))</f>
        <v/>
      </c>
      <c r="F119" s="12" t="str">
        <f t="array" ref="F119">IF(A119="", "", IF(COUNTIF(Raw!$H$1:$I$500, A119) &gt; 0, "Done", IF(COUNTIF(Raw!$J$1:$J$500, A119) &gt; 0, "Pause", IF(COUNTIF(Raw!$K$1:$K$500, A119) &gt; 0, "On-Going", "Pause"))))</f>
        <v/>
      </c>
      <c r="G119" s="51"/>
      <c r="H119" s="50"/>
    </row>
    <row r="120" spans="1:8" x14ac:dyDescent="0.4">
      <c r="A120" s="61"/>
      <c r="B120" s="16" t="str">
        <f t="array" ref="B120">IFERROR(MIN(IF(Raw!$A$2:$A$26=MHT!A120,Raw!$B$2:$B$20)),"")</f>
        <v/>
      </c>
      <c r="C120" s="13" t="str">
        <f t="array" ref="C120">IFERROR(MIN(IF(Raw!$A$2:$A$26=MHT!A120,Raw!$C$2:$C$20)),"")</f>
        <v/>
      </c>
      <c r="D120" s="14" t="str">
        <f t="array" ref="D120">IF(Raw!D113="","",IFERROR(MAX(IF(Raw!$A$2:$A$26=MHT!A120,Raw!$D$2:$D$20)),""))</f>
        <v/>
      </c>
      <c r="E120" s="6" t="str">
        <f>IF(SUMIF(Raw!$A$2:$A$500, MHT!A120, Raw!$F$2:$F$500) = TIME(0,0,0), "", SUMIF(Raw!$A$2:$A$500, MHT!A120, Raw!$F$2:$F$500))</f>
        <v/>
      </c>
      <c r="F120" s="12" t="str">
        <f t="array" ref="F120">IF(A120="", "", IF(COUNTIF(Raw!$H$1:$I$500, A120) &gt; 0, "Done", IF(COUNTIF(Raw!$J$1:$J$500, A120) &gt; 0, "Pause", IF(COUNTIF(Raw!$K$1:$K$500, A120) &gt; 0, "On-Going", "Pause"))))</f>
        <v/>
      </c>
      <c r="G120" s="51"/>
      <c r="H120" s="50"/>
    </row>
    <row r="121" spans="1:8" x14ac:dyDescent="0.4">
      <c r="A121" s="61"/>
      <c r="B121" s="16" t="str">
        <f t="array" ref="B121">IFERROR(MIN(IF(Raw!$A$2:$A$26=MHT!A121,Raw!$B$2:$B$20)),"")</f>
        <v/>
      </c>
      <c r="C121" s="13" t="str">
        <f t="array" ref="C121">IFERROR(MIN(IF(Raw!$A$2:$A$26=MHT!A121,Raw!$C$2:$C$20)),"")</f>
        <v/>
      </c>
      <c r="D121" s="14" t="str">
        <f t="array" ref="D121">IF(Raw!D114="","",IFERROR(MAX(IF(Raw!$A$2:$A$26=MHT!A121,Raw!$D$2:$D$20)),""))</f>
        <v/>
      </c>
      <c r="E121" s="6" t="str">
        <f>IF(SUMIF(Raw!$A$2:$A$500, MHT!A121, Raw!$F$2:$F$500) = TIME(0,0,0), "", SUMIF(Raw!$A$2:$A$500, MHT!A121, Raw!$F$2:$F$500))</f>
        <v/>
      </c>
      <c r="F121" s="12" t="str">
        <f t="array" ref="F121">IF(A121="", "", IF(COUNTIF(Raw!$H$1:$I$500, A121) &gt; 0, "Done", IF(COUNTIF(Raw!$J$1:$J$500, A121) &gt; 0, "Pause", IF(COUNTIF(Raw!$K$1:$K$500, A121) &gt; 0, "On-Going", "Pause"))))</f>
        <v/>
      </c>
      <c r="G121" s="51"/>
      <c r="H121" s="50"/>
    </row>
    <row r="122" spans="1:8" x14ac:dyDescent="0.4">
      <c r="A122" s="61"/>
      <c r="B122" s="16" t="str">
        <f t="array" ref="B122">IFERROR(MIN(IF(Raw!$A$2:$A$26=MHT!A122,Raw!$B$2:$B$20)),"")</f>
        <v/>
      </c>
      <c r="C122" s="13" t="str">
        <f t="array" ref="C122">IFERROR(MIN(IF(Raw!$A$2:$A$26=MHT!A122,Raw!$C$2:$C$20)),"")</f>
        <v/>
      </c>
      <c r="D122" s="14" t="str">
        <f t="array" ref="D122">IF(Raw!D115="","",IFERROR(MAX(IF(Raw!$A$2:$A$26=MHT!A122,Raw!$D$2:$D$20)),""))</f>
        <v/>
      </c>
      <c r="E122" s="6" t="str">
        <f>IF(SUMIF(Raw!$A$2:$A$500, MHT!A122, Raw!$F$2:$F$500) = TIME(0,0,0), "", SUMIF(Raw!$A$2:$A$500, MHT!A122, Raw!$F$2:$F$500))</f>
        <v/>
      </c>
      <c r="F122" s="12" t="str">
        <f t="array" ref="F122">IF(A122="", "", IF(COUNTIF(Raw!$H$1:$I$500, A122) &gt; 0, "Done", IF(COUNTIF(Raw!$J$1:$J$500, A122) &gt; 0, "Pause", IF(COUNTIF(Raw!$K$1:$K$500, A122) &gt; 0, "On-Going", "Pause"))))</f>
        <v/>
      </c>
      <c r="G122" s="51"/>
      <c r="H122" s="50"/>
    </row>
    <row r="123" spans="1:8" x14ac:dyDescent="0.4">
      <c r="A123" s="61"/>
      <c r="B123" s="16" t="str">
        <f t="array" ref="B123">IFERROR(MIN(IF(Raw!$A$2:$A$26=MHT!A123,Raw!$B$2:$B$20)),"")</f>
        <v/>
      </c>
      <c r="C123" s="13" t="str">
        <f t="array" ref="C123">IFERROR(MIN(IF(Raw!$A$2:$A$26=MHT!A123,Raw!$C$2:$C$20)),"")</f>
        <v/>
      </c>
      <c r="D123" s="14" t="str">
        <f t="array" ref="D123">IF(Raw!D116="","",IFERROR(MAX(IF(Raw!$A$2:$A$26=MHT!A123,Raw!$D$2:$D$20)),""))</f>
        <v/>
      </c>
      <c r="E123" s="6" t="str">
        <f>IF(SUMIF(Raw!$A$2:$A$500, MHT!A123, Raw!$F$2:$F$500) = TIME(0,0,0), "", SUMIF(Raw!$A$2:$A$500, MHT!A123, Raw!$F$2:$F$500))</f>
        <v/>
      </c>
      <c r="F123" s="12" t="str">
        <f t="array" ref="F123">IF(A123="", "", IF(COUNTIF(Raw!$H$1:$I$500, A123) &gt; 0, "Done", IF(COUNTIF(Raw!$J$1:$J$500, A123) &gt; 0, "Pause", IF(COUNTIF(Raw!$K$1:$K$500, A123) &gt; 0, "On-Going", "Pause"))))</f>
        <v/>
      </c>
      <c r="G123" s="51"/>
      <c r="H123" s="50"/>
    </row>
    <row r="124" spans="1:8" x14ac:dyDescent="0.4">
      <c r="A124" s="61"/>
      <c r="B124" s="16" t="str">
        <f t="array" ref="B124">IFERROR(MIN(IF(Raw!$A$2:$A$26=MHT!A124,Raw!$B$2:$B$20)),"")</f>
        <v/>
      </c>
      <c r="C124" s="13" t="str">
        <f t="array" ref="C124">IFERROR(MIN(IF(Raw!$A$2:$A$26=MHT!A124,Raw!$C$2:$C$20)),"")</f>
        <v/>
      </c>
      <c r="D124" s="14" t="str">
        <f t="array" ref="D124">IF(Raw!D117="","",IFERROR(MAX(IF(Raw!$A$2:$A$26=MHT!A124,Raw!$D$2:$D$20)),""))</f>
        <v/>
      </c>
      <c r="E124" s="6" t="str">
        <f>IF(SUMIF(Raw!$A$2:$A$500, MHT!A124, Raw!$F$2:$F$500) = TIME(0,0,0), "", SUMIF(Raw!$A$2:$A$500, MHT!A124, Raw!$F$2:$F$500))</f>
        <v/>
      </c>
      <c r="F124" s="12" t="str">
        <f t="array" ref="F124">IF(A124="", "", IF(COUNTIF(Raw!$H$1:$I$500, A124) &gt; 0, "Done", IF(COUNTIF(Raw!$J$1:$J$500, A124) &gt; 0, "Pause", IF(COUNTIF(Raw!$K$1:$K$500, A124) &gt; 0, "On-Going", "Pause"))))</f>
        <v/>
      </c>
      <c r="G124" s="51"/>
      <c r="H124" s="50"/>
    </row>
    <row r="125" spans="1:8" x14ac:dyDescent="0.4">
      <c r="A125" s="61"/>
      <c r="B125" s="16" t="str">
        <f t="array" ref="B125">IFERROR(MIN(IF(Raw!$A$2:$A$26=MHT!A125,Raw!$B$2:$B$20)),"")</f>
        <v/>
      </c>
      <c r="C125" s="13" t="str">
        <f t="array" ref="C125">IFERROR(MIN(IF(Raw!$A$2:$A$26=MHT!A125,Raw!$C$2:$C$20)),"")</f>
        <v/>
      </c>
      <c r="D125" s="14" t="str">
        <f t="array" ref="D125">IF(Raw!D118="","",IFERROR(MAX(IF(Raw!$A$2:$A$26=MHT!A125,Raw!$D$2:$D$20)),""))</f>
        <v/>
      </c>
      <c r="E125" s="6" t="str">
        <f>IF(SUMIF(Raw!$A$2:$A$500, MHT!A125, Raw!$F$2:$F$500) = TIME(0,0,0), "", SUMIF(Raw!$A$2:$A$500, MHT!A125, Raw!$F$2:$F$500))</f>
        <v/>
      </c>
      <c r="F125" s="12" t="str">
        <f t="array" ref="F125">IF(A125="", "", IF(COUNTIF(Raw!$H$1:$I$500, A125) &gt; 0, "Done", IF(COUNTIF(Raw!$J$1:$J$500, A125) &gt; 0, "Pause", IF(COUNTIF(Raw!$K$1:$K$500, A125) &gt; 0, "On-Going", "Pause"))))</f>
        <v/>
      </c>
      <c r="G125" s="51"/>
      <c r="H125" s="50"/>
    </row>
    <row r="126" spans="1:8" x14ac:dyDescent="0.4">
      <c r="A126" s="61"/>
      <c r="B126" s="16" t="str">
        <f t="array" ref="B126">IFERROR(MIN(IF(Raw!$A$2:$A$26=MHT!A126,Raw!$B$2:$B$20)),"")</f>
        <v/>
      </c>
      <c r="C126" s="13" t="str">
        <f t="array" ref="C126">IFERROR(MIN(IF(Raw!$A$2:$A$26=MHT!A126,Raw!$C$2:$C$20)),"")</f>
        <v/>
      </c>
      <c r="D126" s="14" t="str">
        <f t="array" ref="D126">IF(Raw!D119="","",IFERROR(MAX(IF(Raw!$A$2:$A$26=MHT!A126,Raw!$D$2:$D$20)),""))</f>
        <v/>
      </c>
      <c r="E126" s="6" t="str">
        <f>IF(SUMIF(Raw!$A$2:$A$500, MHT!A126, Raw!$F$2:$F$500) = TIME(0,0,0), "", SUMIF(Raw!$A$2:$A$500, MHT!A126, Raw!$F$2:$F$500))</f>
        <v/>
      </c>
      <c r="F126" s="12" t="str">
        <f t="array" ref="F126">IF(A126="", "", IF(COUNTIF(Raw!$H$1:$I$500, A126) &gt; 0, "Done", IF(COUNTIF(Raw!$J$1:$J$500, A126) &gt; 0, "Pause", IF(COUNTIF(Raw!$K$1:$K$500, A126) &gt; 0, "On-Going", "Pause"))))</f>
        <v/>
      </c>
      <c r="G126" s="51"/>
      <c r="H126" s="50"/>
    </row>
    <row r="127" spans="1:8" x14ac:dyDescent="0.4">
      <c r="A127" s="61"/>
      <c r="B127" s="16" t="str">
        <f t="array" ref="B127">IFERROR(MIN(IF(Raw!$A$2:$A$26=MHT!A127,Raw!$B$2:$B$20)),"")</f>
        <v/>
      </c>
      <c r="C127" s="13" t="str">
        <f t="array" ref="C127">IFERROR(MIN(IF(Raw!$A$2:$A$26=MHT!A127,Raw!$C$2:$C$20)),"")</f>
        <v/>
      </c>
      <c r="D127" s="14" t="str">
        <f t="array" ref="D127">IF(Raw!D120="","",IFERROR(MAX(IF(Raw!$A$2:$A$26=MHT!A127,Raw!$D$2:$D$20)),""))</f>
        <v/>
      </c>
      <c r="E127" s="6" t="str">
        <f>IF(SUMIF(Raw!$A$2:$A$500, MHT!A127, Raw!$F$2:$F$500) = TIME(0,0,0), "", SUMIF(Raw!$A$2:$A$500, MHT!A127, Raw!$F$2:$F$500))</f>
        <v/>
      </c>
      <c r="F127" s="12" t="str">
        <f t="array" ref="F127">IF(A127="", "", IF(COUNTIF(Raw!$H$1:$I$500, A127) &gt; 0, "Done", IF(COUNTIF(Raw!$J$1:$J$500, A127) &gt; 0, "Pause", IF(COUNTIF(Raw!$K$1:$K$500, A127) &gt; 0, "On-Going", "Pause"))))</f>
        <v/>
      </c>
      <c r="G127" s="51"/>
      <c r="H127" s="50"/>
    </row>
    <row r="128" spans="1:8" x14ac:dyDescent="0.4">
      <c r="A128" s="61"/>
      <c r="B128" s="16" t="str">
        <f t="array" ref="B128">IFERROR(MIN(IF(Raw!$A$2:$A$26=MHT!A128,Raw!$B$2:$B$20)),"")</f>
        <v/>
      </c>
      <c r="C128" s="13" t="str">
        <f t="array" ref="C128">IFERROR(MIN(IF(Raw!$A$2:$A$26=MHT!A128,Raw!$C$2:$C$20)),"")</f>
        <v/>
      </c>
      <c r="D128" s="14" t="str">
        <f t="array" ref="D128">IF(Raw!D121="","",IFERROR(MAX(IF(Raw!$A$2:$A$26=MHT!A128,Raw!$D$2:$D$20)),""))</f>
        <v/>
      </c>
      <c r="E128" s="6" t="str">
        <f>IF(SUMIF(Raw!$A$2:$A$500, MHT!A128, Raw!$F$2:$F$500) = TIME(0,0,0), "", SUMIF(Raw!$A$2:$A$500, MHT!A128, Raw!$F$2:$F$500))</f>
        <v/>
      </c>
      <c r="F128" s="12" t="str">
        <f t="array" ref="F128">IF(A128="", "", IF(COUNTIF(Raw!$H$1:$I$500, A128) &gt; 0, "Done", IF(COUNTIF(Raw!$J$1:$J$500, A128) &gt; 0, "Pause", IF(COUNTIF(Raw!$K$1:$K$500, A128) &gt; 0, "On-Going", "Pause"))))</f>
        <v/>
      </c>
      <c r="G128" s="51"/>
      <c r="H128" s="50"/>
    </row>
    <row r="129" spans="1:8" x14ac:dyDescent="0.4">
      <c r="A129" s="61"/>
      <c r="B129" s="16" t="str">
        <f t="array" ref="B129">IFERROR(MIN(IF(Raw!$A$2:$A$26=MHT!A129,Raw!$B$2:$B$20)),"")</f>
        <v/>
      </c>
      <c r="C129" s="13" t="str">
        <f t="array" ref="C129">IFERROR(MIN(IF(Raw!$A$2:$A$26=MHT!A129,Raw!$C$2:$C$20)),"")</f>
        <v/>
      </c>
      <c r="D129" s="14" t="str">
        <f t="array" ref="D129">IF(Raw!D122="","",IFERROR(MAX(IF(Raw!$A$2:$A$26=MHT!A129,Raw!$D$2:$D$20)),""))</f>
        <v/>
      </c>
      <c r="E129" s="6" t="str">
        <f>IF(SUMIF(Raw!$A$2:$A$500, MHT!A129, Raw!$F$2:$F$500) = TIME(0,0,0), "", SUMIF(Raw!$A$2:$A$500, MHT!A129, Raw!$F$2:$F$500))</f>
        <v/>
      </c>
      <c r="F129" s="12" t="str">
        <f t="array" ref="F129">IF(A129="", "", IF(COUNTIF(Raw!$H$1:$I$500, A129) &gt; 0, "Done", IF(COUNTIF(Raw!$J$1:$J$500, A129) &gt; 0, "Pause", IF(COUNTIF(Raw!$K$1:$K$500, A129) &gt; 0, "On-Going", "Pause"))))</f>
        <v/>
      </c>
      <c r="G129" s="51"/>
      <c r="H129" s="50"/>
    </row>
    <row r="130" spans="1:8" x14ac:dyDescent="0.4">
      <c r="A130" s="61"/>
      <c r="B130" s="16" t="str">
        <f t="array" ref="B130">IFERROR(MIN(IF(Raw!$A$2:$A$26=MHT!A130,Raw!$B$2:$B$20)),"")</f>
        <v/>
      </c>
      <c r="C130" s="13" t="str">
        <f t="array" ref="C130">IFERROR(MIN(IF(Raw!$A$2:$A$26=MHT!A130,Raw!$C$2:$C$20)),"")</f>
        <v/>
      </c>
      <c r="D130" s="14" t="str">
        <f t="array" ref="D130">IF(Raw!D123="","",IFERROR(MAX(IF(Raw!$A$2:$A$26=MHT!A130,Raw!$D$2:$D$20)),""))</f>
        <v/>
      </c>
      <c r="E130" s="6" t="str">
        <f>IF(SUMIF(Raw!$A$2:$A$500, MHT!A130, Raw!$F$2:$F$500) = TIME(0,0,0), "", SUMIF(Raw!$A$2:$A$500, MHT!A130, Raw!$F$2:$F$500))</f>
        <v/>
      </c>
      <c r="F130" s="12" t="str">
        <f t="array" ref="F130">IF(A130="", "", IF(COUNTIF(Raw!$H$1:$I$500, A130) &gt; 0, "Done", IF(COUNTIF(Raw!$J$1:$J$500, A130) &gt; 0, "Pause", IF(COUNTIF(Raw!$K$1:$K$500, A130) &gt; 0, "On-Going", "Pause"))))</f>
        <v/>
      </c>
      <c r="G130" s="51"/>
      <c r="H130" s="50"/>
    </row>
    <row r="131" spans="1:8" x14ac:dyDescent="0.4">
      <c r="A131" s="61"/>
      <c r="B131" s="16" t="str">
        <f t="array" ref="B131">IFERROR(MIN(IF(Raw!$A$2:$A$26=MHT!A131,Raw!$B$2:$B$20)),"")</f>
        <v/>
      </c>
      <c r="C131" s="13" t="str">
        <f t="array" ref="C131">IFERROR(MIN(IF(Raw!$A$2:$A$26=MHT!A131,Raw!$C$2:$C$20)),"")</f>
        <v/>
      </c>
      <c r="D131" s="14" t="str">
        <f t="array" ref="D131">IF(Raw!D124="","",IFERROR(MAX(IF(Raw!$A$2:$A$26=MHT!A131,Raw!$D$2:$D$20)),""))</f>
        <v/>
      </c>
      <c r="E131" s="6" t="str">
        <f>IF(SUMIF(Raw!$A$2:$A$500, MHT!A131, Raw!$F$2:$F$500) = TIME(0,0,0), "", SUMIF(Raw!$A$2:$A$500, MHT!A131, Raw!$F$2:$F$500))</f>
        <v/>
      </c>
      <c r="F131" s="12" t="str">
        <f t="array" ref="F131">IF(A131="", "", IF(COUNTIF(Raw!$H$1:$I$500, A131) &gt; 0, "Done", IF(COUNTIF(Raw!$J$1:$J$500, A131) &gt; 0, "Pause", IF(COUNTIF(Raw!$K$1:$K$500, A131) &gt; 0, "On-Going", "Pause"))))</f>
        <v/>
      </c>
      <c r="G131" s="51"/>
      <c r="H131" s="50"/>
    </row>
    <row r="132" spans="1:8" x14ac:dyDescent="0.4">
      <c r="A132" s="61"/>
      <c r="B132" s="16" t="str">
        <f t="array" ref="B132">IFERROR(MIN(IF(Raw!$A$2:$A$26=MHT!A132,Raw!$B$2:$B$20)),"")</f>
        <v/>
      </c>
      <c r="C132" s="13" t="str">
        <f t="array" ref="C132">IFERROR(MIN(IF(Raw!$A$2:$A$26=MHT!A132,Raw!$C$2:$C$20)),"")</f>
        <v/>
      </c>
      <c r="D132" s="14" t="str">
        <f t="array" ref="D132">IF(Raw!D125="","",IFERROR(MAX(IF(Raw!$A$2:$A$26=MHT!A132,Raw!$D$2:$D$20)),""))</f>
        <v/>
      </c>
      <c r="E132" s="6" t="str">
        <f>IF(SUMIF(Raw!$A$2:$A$500, MHT!A132, Raw!$F$2:$F$500) = TIME(0,0,0), "", SUMIF(Raw!$A$2:$A$500, MHT!A132, Raw!$F$2:$F$500))</f>
        <v/>
      </c>
      <c r="F132" s="12" t="str">
        <f t="array" ref="F132">IF(A132="", "", IF(COUNTIF(Raw!$H$1:$I$500, A132) &gt; 0, "Done", IF(COUNTIF(Raw!$J$1:$J$500, A132) &gt; 0, "Pause", IF(COUNTIF(Raw!$K$1:$K$500, A132) &gt; 0, "On-Going", "Pause"))))</f>
        <v/>
      </c>
      <c r="G132" s="51"/>
      <c r="H132" s="50"/>
    </row>
    <row r="133" spans="1:8" x14ac:dyDescent="0.4">
      <c r="A133" s="61"/>
      <c r="B133" s="16" t="str">
        <f t="array" ref="B133">IFERROR(MIN(IF(Raw!$A$2:$A$26=MHT!A133,Raw!$B$2:$B$20)),"")</f>
        <v/>
      </c>
      <c r="C133" s="13" t="str">
        <f t="array" ref="C133">IFERROR(MIN(IF(Raw!$A$2:$A$26=MHT!A133,Raw!$C$2:$C$20)),"")</f>
        <v/>
      </c>
      <c r="D133" s="14" t="str">
        <f t="array" ref="D133">IF(Raw!D126="","",IFERROR(MAX(IF(Raw!$A$2:$A$26=MHT!A133,Raw!$D$2:$D$20)),""))</f>
        <v/>
      </c>
      <c r="E133" s="6" t="str">
        <f>IF(SUMIF(Raw!$A$2:$A$500, MHT!A133, Raw!$F$2:$F$500) = TIME(0,0,0), "", SUMIF(Raw!$A$2:$A$500, MHT!A133, Raw!$F$2:$F$500))</f>
        <v/>
      </c>
      <c r="F133" s="12" t="str">
        <f t="array" ref="F133">IF(A133="", "", IF(COUNTIF(Raw!$H$1:$I$500, A133) &gt; 0, "Done", IF(COUNTIF(Raw!$J$1:$J$500, A133) &gt; 0, "Pause", IF(COUNTIF(Raw!$K$1:$K$500, A133) &gt; 0, "On-Going", "Pause"))))</f>
        <v/>
      </c>
      <c r="G133" s="51"/>
      <c r="H133" s="50"/>
    </row>
    <row r="134" spans="1:8" x14ac:dyDescent="0.4">
      <c r="A134" s="61"/>
      <c r="B134" s="16" t="str">
        <f t="array" ref="B134">IFERROR(MIN(IF(Raw!$A$2:$A$26=MHT!A134,Raw!$B$2:$B$20)),"")</f>
        <v/>
      </c>
      <c r="C134" s="13" t="str">
        <f t="array" ref="C134">IFERROR(MIN(IF(Raw!$A$2:$A$26=MHT!A134,Raw!$C$2:$C$20)),"")</f>
        <v/>
      </c>
      <c r="D134" s="14" t="str">
        <f t="array" ref="D134">IF(Raw!D127="","",IFERROR(MAX(IF(Raw!$A$2:$A$26=MHT!A134,Raw!$D$2:$D$20)),""))</f>
        <v/>
      </c>
      <c r="E134" s="6" t="str">
        <f>IF(SUMIF(Raw!$A$2:$A$500, MHT!A134, Raw!$F$2:$F$500) = TIME(0,0,0), "", SUMIF(Raw!$A$2:$A$500, MHT!A134, Raw!$F$2:$F$500))</f>
        <v/>
      </c>
      <c r="F134" s="12" t="str">
        <f t="array" ref="F134">IF(A134="", "", IF(COUNTIF(Raw!$H$1:$I$500, A134) &gt; 0, "Done", IF(COUNTIF(Raw!$J$1:$J$500, A134) &gt; 0, "Pause", IF(COUNTIF(Raw!$K$1:$K$500, A134) &gt; 0, "On-Going", "Pause"))))</f>
        <v/>
      </c>
      <c r="G134" s="51"/>
      <c r="H134" s="50"/>
    </row>
    <row r="135" spans="1:8" x14ac:dyDescent="0.4">
      <c r="A135" s="61"/>
      <c r="B135" s="16" t="str">
        <f t="array" ref="B135">IFERROR(MIN(IF(Raw!$A$2:$A$26=MHT!A135,Raw!$B$2:$B$20)),"")</f>
        <v/>
      </c>
      <c r="C135" s="13" t="str">
        <f t="array" ref="C135">IFERROR(MIN(IF(Raw!$A$2:$A$26=MHT!A135,Raw!$C$2:$C$20)),"")</f>
        <v/>
      </c>
      <c r="D135" s="14" t="str">
        <f t="array" ref="D135">IF(Raw!D128="","",IFERROR(MAX(IF(Raw!$A$2:$A$26=MHT!A135,Raw!$D$2:$D$20)),""))</f>
        <v/>
      </c>
      <c r="E135" s="6" t="str">
        <f>IF(SUMIF(Raw!$A$2:$A$500, MHT!A135, Raw!$F$2:$F$500) = TIME(0,0,0), "", SUMIF(Raw!$A$2:$A$500, MHT!A135, Raw!$F$2:$F$500))</f>
        <v/>
      </c>
      <c r="F135" s="12" t="str">
        <f t="array" ref="F135">IF(A135="", "", IF(COUNTIF(Raw!$H$1:$I$500, A135) &gt; 0, "Done", IF(COUNTIF(Raw!$J$1:$J$500, A135) &gt; 0, "Pause", IF(COUNTIF(Raw!$K$1:$K$500, A135) &gt; 0, "On-Going", "Pause"))))</f>
        <v/>
      </c>
      <c r="G135" s="51"/>
      <c r="H135" s="50"/>
    </row>
    <row r="136" spans="1:8" x14ac:dyDescent="0.4">
      <c r="A136" s="61"/>
      <c r="B136" s="16" t="str">
        <f t="array" ref="B136">IFERROR(MIN(IF(Raw!$A$2:$A$26=MHT!A136,Raw!$B$2:$B$20)),"")</f>
        <v/>
      </c>
      <c r="C136" s="13" t="str">
        <f t="array" ref="C136">IFERROR(MIN(IF(Raw!$A$2:$A$26=MHT!A136,Raw!$C$2:$C$20)),"")</f>
        <v/>
      </c>
      <c r="D136" s="14" t="str">
        <f t="array" ref="D136">IF(Raw!D129="","",IFERROR(MAX(IF(Raw!$A$2:$A$26=MHT!A136,Raw!$D$2:$D$20)),""))</f>
        <v/>
      </c>
      <c r="E136" s="6" t="str">
        <f>IF(SUMIF(Raw!$A$2:$A$500, MHT!A136, Raw!$F$2:$F$500) = TIME(0,0,0), "", SUMIF(Raw!$A$2:$A$500, MHT!A136, Raw!$F$2:$F$500))</f>
        <v/>
      </c>
      <c r="F136" s="12" t="str">
        <f t="array" ref="F136">IF(A136="", "", IF(COUNTIF(Raw!$H$1:$I$500, A136) &gt; 0, "Done", IF(COUNTIF(Raw!$J$1:$J$500, A136) &gt; 0, "Pause", IF(COUNTIF(Raw!$K$1:$K$500, A136) &gt; 0, "On-Going", "Pause"))))</f>
        <v/>
      </c>
      <c r="G136" s="51"/>
      <c r="H136" s="50"/>
    </row>
    <row r="137" spans="1:8" x14ac:dyDescent="0.4">
      <c r="A137" s="61"/>
      <c r="B137" s="16" t="str">
        <f t="array" ref="B137">IFERROR(MIN(IF(Raw!$A$2:$A$26=MHT!A137,Raw!$B$2:$B$20)),"")</f>
        <v/>
      </c>
      <c r="C137" s="13" t="str">
        <f t="array" ref="C137">IFERROR(MIN(IF(Raw!$A$2:$A$26=MHT!A137,Raw!$C$2:$C$20)),"")</f>
        <v/>
      </c>
      <c r="D137" s="14" t="str">
        <f t="array" ref="D137">IF(Raw!D130="","",IFERROR(MAX(IF(Raw!$A$2:$A$26=MHT!A137,Raw!$D$2:$D$20)),""))</f>
        <v/>
      </c>
      <c r="E137" s="6" t="str">
        <f>IF(SUMIF(Raw!$A$2:$A$500, MHT!A137, Raw!$F$2:$F$500) = TIME(0,0,0), "", SUMIF(Raw!$A$2:$A$500, MHT!A137, Raw!$F$2:$F$500))</f>
        <v/>
      </c>
      <c r="F137" s="12" t="str">
        <f t="array" ref="F137">IF(A137="", "", IF(COUNTIF(Raw!$H$1:$I$500, A137) &gt; 0, "Done", IF(COUNTIF(Raw!$J$1:$J$500, A137) &gt; 0, "Pause", IF(COUNTIF(Raw!$K$1:$K$500, A137) &gt; 0, "On-Going", "Pause"))))</f>
        <v/>
      </c>
      <c r="G137" s="51"/>
      <c r="H137" s="50"/>
    </row>
    <row r="138" spans="1:8" x14ac:dyDescent="0.4">
      <c r="A138" s="61"/>
      <c r="B138" s="16" t="str">
        <f t="array" ref="B138">IFERROR(MIN(IF(Raw!$A$2:$A$26=MHT!A138,Raw!$B$2:$B$20)),"")</f>
        <v/>
      </c>
      <c r="C138" s="13" t="str">
        <f t="array" ref="C138">IFERROR(MIN(IF(Raw!$A$2:$A$26=MHT!A138,Raw!$C$2:$C$20)),"")</f>
        <v/>
      </c>
      <c r="D138" s="14" t="str">
        <f t="array" ref="D138">IF(Raw!D131="","",IFERROR(MAX(IF(Raw!$A$2:$A$26=MHT!A138,Raw!$D$2:$D$20)),""))</f>
        <v/>
      </c>
      <c r="E138" s="6" t="str">
        <f>IF(SUMIF(Raw!$A$2:$A$500, MHT!A138, Raw!$F$2:$F$500) = TIME(0,0,0), "", SUMIF(Raw!$A$2:$A$500, MHT!A138, Raw!$F$2:$F$500))</f>
        <v/>
      </c>
      <c r="F138" s="12" t="str">
        <f t="array" ref="F138">IF(A138="", "", IF(COUNTIF(Raw!$H$1:$I$500, A138) &gt; 0, "Done", IF(COUNTIF(Raw!$J$1:$J$500, A138) &gt; 0, "Pause", IF(COUNTIF(Raw!$K$1:$K$500, A138) &gt; 0, "On-Going", "Pause"))))</f>
        <v/>
      </c>
      <c r="G138" s="51"/>
      <c r="H138" s="50"/>
    </row>
    <row r="139" spans="1:8" x14ac:dyDescent="0.4">
      <c r="A139" s="61"/>
      <c r="B139" s="16" t="str">
        <f t="array" ref="B139">IFERROR(MIN(IF(Raw!$A$2:$A$26=MHT!A139,Raw!$B$2:$B$20)),"")</f>
        <v/>
      </c>
      <c r="C139" s="13" t="str">
        <f t="array" ref="C139">IFERROR(MIN(IF(Raw!$A$2:$A$26=MHT!A139,Raw!$C$2:$C$20)),"")</f>
        <v/>
      </c>
      <c r="D139" s="14" t="str">
        <f t="array" ref="D139">IF(Raw!D132="","",IFERROR(MAX(IF(Raw!$A$2:$A$26=MHT!A139,Raw!$D$2:$D$20)),""))</f>
        <v/>
      </c>
      <c r="E139" s="6" t="str">
        <f>IF(SUMIF(Raw!$A$2:$A$500, MHT!A139, Raw!$F$2:$F$500) = TIME(0,0,0), "", SUMIF(Raw!$A$2:$A$500, MHT!A139, Raw!$F$2:$F$500))</f>
        <v/>
      </c>
      <c r="F139" s="12" t="str">
        <f t="array" ref="F139">IF(A139="", "", IF(COUNTIF(Raw!$H$1:$I$500, A139) &gt; 0, "Done", IF(COUNTIF(Raw!$J$1:$J$500, A139) &gt; 0, "Pause", IF(COUNTIF(Raw!$K$1:$K$500, A139) &gt; 0, "On-Going", "Pause"))))</f>
        <v/>
      </c>
      <c r="G139" s="51"/>
      <c r="H139" s="50"/>
    </row>
    <row r="140" spans="1:8" x14ac:dyDescent="0.4">
      <c r="A140" s="61"/>
      <c r="B140" s="16" t="str">
        <f t="array" ref="B140">IFERROR(MIN(IF(Raw!$A$2:$A$26=MHT!A140,Raw!$B$2:$B$20)),"")</f>
        <v/>
      </c>
      <c r="C140" s="13" t="str">
        <f t="array" ref="C140">IFERROR(MIN(IF(Raw!$A$2:$A$26=MHT!A140,Raw!$C$2:$C$20)),"")</f>
        <v/>
      </c>
      <c r="D140" s="14" t="str">
        <f t="array" ref="D140">IF(Raw!D133="","",IFERROR(MAX(IF(Raw!$A$2:$A$26=MHT!A140,Raw!$D$2:$D$20)),""))</f>
        <v/>
      </c>
      <c r="E140" s="6" t="str">
        <f>IF(SUMIF(Raw!$A$2:$A$500, MHT!A140, Raw!$F$2:$F$500) = TIME(0,0,0), "", SUMIF(Raw!$A$2:$A$500, MHT!A140, Raw!$F$2:$F$500))</f>
        <v/>
      </c>
      <c r="F140" s="12" t="str">
        <f t="array" ref="F140">IF(A140="", "", IF(COUNTIF(Raw!$H$1:$I$500, A140) &gt; 0, "Done", IF(COUNTIF(Raw!$J$1:$J$500, A140) &gt; 0, "Pause", IF(COUNTIF(Raw!$K$1:$K$500, A140) &gt; 0, "On-Going", "Pause"))))</f>
        <v/>
      </c>
      <c r="G140" s="51"/>
      <c r="H140" s="50"/>
    </row>
    <row r="141" spans="1:8" x14ac:dyDescent="0.4">
      <c r="A141" s="61"/>
      <c r="B141" s="16" t="str">
        <f t="array" ref="B141">IFERROR(MIN(IF(Raw!$A$2:$A$26=MHT!A141,Raw!$B$2:$B$20)),"")</f>
        <v/>
      </c>
      <c r="C141" s="13" t="str">
        <f t="array" ref="C141">IFERROR(MIN(IF(Raw!$A$2:$A$26=MHT!A141,Raw!$C$2:$C$20)),"")</f>
        <v/>
      </c>
      <c r="D141" s="14" t="str">
        <f t="array" ref="D141">IF(Raw!D134="","",IFERROR(MAX(IF(Raw!$A$2:$A$26=MHT!A141,Raw!$D$2:$D$20)),""))</f>
        <v/>
      </c>
      <c r="E141" s="6" t="str">
        <f>IF(SUMIF(Raw!$A$2:$A$500, MHT!A141, Raw!$F$2:$F$500) = TIME(0,0,0), "", SUMIF(Raw!$A$2:$A$500, MHT!A141, Raw!$F$2:$F$500))</f>
        <v/>
      </c>
      <c r="F141" s="12" t="str">
        <f t="array" ref="F141">IF(A141="", "", IF(COUNTIF(Raw!$H$1:$I$500, A141) &gt; 0, "Done", IF(COUNTIF(Raw!$J$1:$J$500, A141) &gt; 0, "Pause", IF(COUNTIF(Raw!$K$1:$K$500, A141) &gt; 0, "On-Going", "Pause"))))</f>
        <v/>
      </c>
      <c r="G141" s="51"/>
      <c r="H141" s="50"/>
    </row>
    <row r="142" spans="1:8" x14ac:dyDescent="0.4">
      <c r="A142" s="61"/>
      <c r="B142" s="16" t="str">
        <f t="array" ref="B142">IFERROR(MIN(IF(Raw!$A$2:$A$26=MHT!A142,Raw!$B$2:$B$20)),"")</f>
        <v/>
      </c>
      <c r="C142" s="13" t="str">
        <f t="array" ref="C142">IFERROR(MIN(IF(Raw!$A$2:$A$26=MHT!A142,Raw!$C$2:$C$20)),"")</f>
        <v/>
      </c>
      <c r="D142" s="14" t="str">
        <f t="array" ref="D142">IF(Raw!D135="","",IFERROR(MAX(IF(Raw!$A$2:$A$26=MHT!A142,Raw!$D$2:$D$20)),""))</f>
        <v/>
      </c>
      <c r="E142" s="6" t="str">
        <f>IF(SUMIF(Raw!$A$2:$A$500, MHT!A142, Raw!$F$2:$F$500) = TIME(0,0,0), "", SUMIF(Raw!$A$2:$A$500, MHT!A142, Raw!$F$2:$F$500))</f>
        <v/>
      </c>
      <c r="F142" s="12" t="str">
        <f t="array" ref="F142">IF(A142="", "", IF(COUNTIF(Raw!$H$1:$I$500, A142) &gt; 0, "Done", IF(COUNTIF(Raw!$J$1:$J$500, A142) &gt; 0, "Pause", IF(COUNTIF(Raw!$K$1:$K$500, A142) &gt; 0, "On-Going", "Pause"))))</f>
        <v/>
      </c>
      <c r="G142" s="51"/>
      <c r="H142" s="50"/>
    </row>
    <row r="143" spans="1:8" x14ac:dyDescent="0.4">
      <c r="A143" s="61"/>
      <c r="B143" s="16" t="str">
        <f t="array" ref="B143">IFERROR(MIN(IF(Raw!$A$2:$A$26=MHT!A143,Raw!$B$2:$B$20)),"")</f>
        <v/>
      </c>
      <c r="C143" s="13" t="str">
        <f t="array" ref="C143">IFERROR(MIN(IF(Raw!$A$2:$A$26=MHT!A143,Raw!$C$2:$C$20)),"")</f>
        <v/>
      </c>
      <c r="D143" s="14" t="str">
        <f t="array" ref="D143">IF(Raw!D136="","",IFERROR(MAX(IF(Raw!$A$2:$A$26=MHT!A143,Raw!$D$2:$D$20)),""))</f>
        <v/>
      </c>
      <c r="E143" s="6" t="str">
        <f>IF(SUMIF(Raw!$A$2:$A$500, MHT!A143, Raw!$F$2:$F$500) = TIME(0,0,0), "", SUMIF(Raw!$A$2:$A$500, MHT!A143, Raw!$F$2:$F$500))</f>
        <v/>
      </c>
      <c r="F143" s="12" t="str">
        <f t="array" ref="F143">IF(A143="", "", IF(COUNTIF(Raw!$H$1:$I$500, A143) &gt; 0, "Done", IF(COUNTIF(Raw!$J$1:$J$500, A143) &gt; 0, "Pause", IF(COUNTIF(Raw!$K$1:$K$500, A143) &gt; 0, "On-Going", "Pause"))))</f>
        <v/>
      </c>
      <c r="G143" s="51"/>
      <c r="H143" s="50"/>
    </row>
    <row r="144" spans="1:8" x14ac:dyDescent="0.4">
      <c r="A144" s="61"/>
      <c r="B144" s="16" t="str">
        <f t="array" ref="B144">IFERROR(MIN(IF(Raw!$A$2:$A$26=MHT!A144,Raw!$B$2:$B$20)),"")</f>
        <v/>
      </c>
      <c r="C144" s="13" t="str">
        <f t="array" ref="C144">IFERROR(MIN(IF(Raw!$A$2:$A$26=MHT!A144,Raw!$C$2:$C$20)),"")</f>
        <v/>
      </c>
      <c r="D144" s="14" t="str">
        <f t="array" ref="D144">IF(Raw!D137="","",IFERROR(MAX(IF(Raw!$A$2:$A$26=MHT!A144,Raw!$D$2:$D$20)),""))</f>
        <v/>
      </c>
      <c r="E144" s="6" t="str">
        <f>IF(SUMIF(Raw!$A$2:$A$500, MHT!A144, Raw!$F$2:$F$500) = TIME(0,0,0), "", SUMIF(Raw!$A$2:$A$500, MHT!A144, Raw!$F$2:$F$500))</f>
        <v/>
      </c>
      <c r="F144" s="12" t="str">
        <f t="array" ref="F144">IF(A144="", "", IF(COUNTIF(Raw!$H$1:$I$500, A144) &gt; 0, "Done", IF(COUNTIF(Raw!$J$1:$J$500, A144) &gt; 0, "Pause", IF(COUNTIF(Raw!$K$1:$K$500, A144) &gt; 0, "On-Going", "Pause"))))</f>
        <v/>
      </c>
      <c r="G144" s="51"/>
      <c r="H144" s="50"/>
    </row>
    <row r="145" spans="1:8" x14ac:dyDescent="0.4">
      <c r="A145" s="61"/>
      <c r="B145" s="16" t="str">
        <f t="array" ref="B145">IFERROR(MIN(IF(Raw!$A$2:$A$26=MHT!A145,Raw!$B$2:$B$20)),"")</f>
        <v/>
      </c>
      <c r="C145" s="13" t="str">
        <f t="array" ref="C145">IFERROR(MIN(IF(Raw!$A$2:$A$26=MHT!A145,Raw!$C$2:$C$20)),"")</f>
        <v/>
      </c>
      <c r="D145" s="14" t="str">
        <f t="array" ref="D145">IF(Raw!D138="","",IFERROR(MAX(IF(Raw!$A$2:$A$26=MHT!A145,Raw!$D$2:$D$20)),""))</f>
        <v/>
      </c>
      <c r="E145" s="6" t="str">
        <f>IF(SUMIF(Raw!$A$2:$A$500, MHT!A145, Raw!$F$2:$F$500) = TIME(0,0,0), "", SUMIF(Raw!$A$2:$A$500, MHT!A145, Raw!$F$2:$F$500))</f>
        <v/>
      </c>
      <c r="F145" s="12" t="str">
        <f t="array" ref="F145">IF(A145="", "", IF(COUNTIF(Raw!$H$1:$I$500, A145) &gt; 0, "Done", IF(COUNTIF(Raw!$J$1:$J$500, A145) &gt; 0, "Pause", IF(COUNTIF(Raw!$K$1:$K$500, A145) &gt; 0, "On-Going", "Pause"))))</f>
        <v/>
      </c>
      <c r="G145" s="51"/>
      <c r="H145" s="50"/>
    </row>
    <row r="146" spans="1:8" x14ac:dyDescent="0.4">
      <c r="A146" s="61"/>
      <c r="B146" s="16" t="str">
        <f t="array" ref="B146">IFERROR(MIN(IF(Raw!$A$2:$A$26=MHT!A146,Raw!$B$2:$B$20)),"")</f>
        <v/>
      </c>
      <c r="C146" s="13" t="str">
        <f t="array" ref="C146">IFERROR(MIN(IF(Raw!$A$2:$A$26=MHT!A146,Raw!$C$2:$C$20)),"")</f>
        <v/>
      </c>
      <c r="D146" s="14" t="str">
        <f t="array" ref="D146">IF(Raw!D139="","",IFERROR(MAX(IF(Raw!$A$2:$A$26=MHT!A146,Raw!$D$2:$D$20)),""))</f>
        <v/>
      </c>
      <c r="E146" s="6" t="str">
        <f>IF(SUMIF(Raw!$A$2:$A$500, MHT!A146, Raw!$F$2:$F$500) = TIME(0,0,0), "", SUMIF(Raw!$A$2:$A$500, MHT!A146, Raw!$F$2:$F$500))</f>
        <v/>
      </c>
      <c r="F146" s="12" t="str">
        <f t="array" ref="F146">IF(A146="", "", IF(COUNTIF(Raw!$H$1:$I$500, A146) &gt; 0, "Done", IF(COUNTIF(Raw!$J$1:$J$500, A146) &gt; 0, "Pause", IF(COUNTIF(Raw!$K$1:$K$500, A146) &gt; 0, "On-Going", "Pause"))))</f>
        <v/>
      </c>
      <c r="G146" s="51"/>
      <c r="H146" s="50"/>
    </row>
    <row r="147" spans="1:8" x14ac:dyDescent="0.4">
      <c r="A147" s="61"/>
      <c r="B147" s="16" t="str">
        <f t="array" ref="B147">IFERROR(MIN(IF(Raw!$A$2:$A$26=MHT!A147,Raw!$B$2:$B$20)),"")</f>
        <v/>
      </c>
      <c r="C147" s="13" t="str">
        <f t="array" ref="C147">IFERROR(MIN(IF(Raw!$A$2:$A$26=MHT!A147,Raw!$C$2:$C$20)),"")</f>
        <v/>
      </c>
      <c r="D147" s="14" t="str">
        <f t="array" ref="D147">IF(Raw!D140="","",IFERROR(MAX(IF(Raw!$A$2:$A$26=MHT!A147,Raw!$D$2:$D$20)),""))</f>
        <v/>
      </c>
      <c r="E147" s="6" t="str">
        <f>IF(SUMIF(Raw!$A$2:$A$500, MHT!A147, Raw!$F$2:$F$500) = TIME(0,0,0), "", SUMIF(Raw!$A$2:$A$500, MHT!A147, Raw!$F$2:$F$500))</f>
        <v/>
      </c>
      <c r="F147" s="12" t="str">
        <f t="array" ref="F147">IF(A147="", "", IF(COUNTIF(Raw!$H$1:$I$500, A147) &gt; 0, "Done", IF(COUNTIF(Raw!$J$1:$J$500, A147) &gt; 0, "Pause", IF(COUNTIF(Raw!$K$1:$K$500, A147) &gt; 0, "On-Going", "Pause"))))</f>
        <v/>
      </c>
      <c r="G147" s="51"/>
      <c r="H147" s="50"/>
    </row>
    <row r="148" spans="1:8" x14ac:dyDescent="0.4">
      <c r="A148" s="61"/>
      <c r="B148" s="16" t="str">
        <f t="array" ref="B148">IFERROR(MIN(IF(Raw!$A$2:$A$26=MHT!A148,Raw!$B$2:$B$20)),"")</f>
        <v/>
      </c>
      <c r="C148" s="13" t="str">
        <f t="array" ref="C148">IFERROR(MIN(IF(Raw!$A$2:$A$26=MHT!A148,Raw!$C$2:$C$20)),"")</f>
        <v/>
      </c>
      <c r="D148" s="14" t="str">
        <f t="array" ref="D148">IF(Raw!D141="","",IFERROR(MAX(IF(Raw!$A$2:$A$26=MHT!A148,Raw!$D$2:$D$20)),""))</f>
        <v/>
      </c>
      <c r="E148" s="6" t="str">
        <f>IF(SUMIF(Raw!$A$2:$A$500, MHT!A148, Raw!$F$2:$F$500) = TIME(0,0,0), "", SUMIF(Raw!$A$2:$A$500, MHT!A148, Raw!$F$2:$F$500))</f>
        <v/>
      </c>
      <c r="F148" s="12" t="str">
        <f t="array" ref="F148">IF(A148="", "", IF(COUNTIF(Raw!$H$1:$I$500, A148) &gt; 0, "Done", IF(COUNTIF(Raw!$J$1:$J$500, A148) &gt; 0, "Pause", IF(COUNTIF(Raw!$K$1:$K$500, A148) &gt; 0, "On-Going", "Pause"))))</f>
        <v/>
      </c>
      <c r="G148" s="51"/>
      <c r="H148" s="50"/>
    </row>
    <row r="149" spans="1:8" x14ac:dyDescent="0.4">
      <c r="A149" s="61"/>
      <c r="B149" s="16" t="str">
        <f t="array" ref="B149">IFERROR(MIN(IF(Raw!$A$2:$A$26=MHT!A149,Raw!$B$2:$B$20)),"")</f>
        <v/>
      </c>
      <c r="C149" s="13" t="str">
        <f t="array" ref="C149">IFERROR(MIN(IF(Raw!$A$2:$A$26=MHT!A149,Raw!$C$2:$C$20)),"")</f>
        <v/>
      </c>
      <c r="D149" s="14" t="str">
        <f t="array" ref="D149">IF(Raw!D142="","",IFERROR(MAX(IF(Raw!$A$2:$A$26=MHT!A149,Raw!$D$2:$D$20)),""))</f>
        <v/>
      </c>
      <c r="E149" s="6" t="str">
        <f>IF(SUMIF(Raw!$A$2:$A$500, MHT!A149, Raw!$F$2:$F$500) = TIME(0,0,0), "", SUMIF(Raw!$A$2:$A$500, MHT!A149, Raw!$F$2:$F$500))</f>
        <v/>
      </c>
      <c r="F149" s="12" t="str">
        <f t="array" ref="F149">IF(A149="", "", IF(COUNTIF(Raw!$H$1:$I$500, A149) &gt; 0, "Done", IF(COUNTIF(Raw!$J$1:$J$500, A149) &gt; 0, "Pause", IF(COUNTIF(Raw!$K$1:$K$500, A149) &gt; 0, "On-Going", "Pause"))))</f>
        <v/>
      </c>
      <c r="G149" s="51"/>
      <c r="H149" s="50"/>
    </row>
    <row r="150" spans="1:8" x14ac:dyDescent="0.4">
      <c r="A150" s="61"/>
      <c r="B150" s="16" t="str">
        <f t="array" ref="B150">IFERROR(MIN(IF(Raw!$A$2:$A$26=MHT!A150,Raw!$B$2:$B$20)),"")</f>
        <v/>
      </c>
      <c r="C150" s="13" t="str">
        <f t="array" ref="C150">IFERROR(MIN(IF(Raw!$A$2:$A$26=MHT!A150,Raw!$C$2:$C$20)),"")</f>
        <v/>
      </c>
      <c r="D150" s="14" t="str">
        <f t="array" ref="D150">IF(Raw!D143="","",IFERROR(MAX(IF(Raw!$A$2:$A$26=MHT!A150,Raw!$D$2:$D$20)),""))</f>
        <v/>
      </c>
      <c r="E150" s="6" t="str">
        <f>IF(SUMIF(Raw!$A$2:$A$500, MHT!A150, Raw!$F$2:$F$500) = TIME(0,0,0), "", SUMIF(Raw!$A$2:$A$500, MHT!A150, Raw!$F$2:$F$500))</f>
        <v/>
      </c>
      <c r="F150" s="12" t="str">
        <f t="array" ref="F150">IF(A150="", "", IF(COUNTIF(Raw!$H$1:$I$500, A150) &gt; 0, "Done", IF(COUNTIF(Raw!$J$1:$J$500, A150) &gt; 0, "Pause", IF(COUNTIF(Raw!$K$1:$K$500, A150) &gt; 0, "On-Going", "Pause"))))</f>
        <v/>
      </c>
      <c r="G150" s="51"/>
      <c r="H150" s="50"/>
    </row>
    <row r="151" spans="1:8" x14ac:dyDescent="0.4">
      <c r="A151" s="61"/>
      <c r="B151" s="16" t="str">
        <f t="array" ref="B151">IFERROR(MIN(IF(Raw!$A$2:$A$26=MHT!A151,Raw!$B$2:$B$20)),"")</f>
        <v/>
      </c>
      <c r="C151" s="13" t="str">
        <f t="array" ref="C151">IFERROR(MIN(IF(Raw!$A$2:$A$26=MHT!A151,Raw!$C$2:$C$20)),"")</f>
        <v/>
      </c>
      <c r="D151" s="14" t="str">
        <f t="array" ref="D151">IF(Raw!D144="","",IFERROR(MAX(IF(Raw!$A$2:$A$26=MHT!A151,Raw!$D$2:$D$20)),""))</f>
        <v/>
      </c>
      <c r="E151" s="6" t="str">
        <f>IF(SUMIF(Raw!$A$2:$A$500, MHT!A151, Raw!$F$2:$F$500) = TIME(0,0,0), "", SUMIF(Raw!$A$2:$A$500, MHT!A151, Raw!$F$2:$F$500))</f>
        <v/>
      </c>
      <c r="F151" s="12" t="str">
        <f t="array" ref="F151">IF(A151="", "", IF(COUNTIF(Raw!$H$1:$I$500, A151) &gt; 0, "Done", IF(COUNTIF(Raw!$J$1:$J$500, A151) &gt; 0, "Pause", IF(COUNTIF(Raw!$K$1:$K$500, A151) &gt; 0, "On-Going", "Pause"))))</f>
        <v/>
      </c>
      <c r="G151" s="51"/>
      <c r="H151" s="50"/>
    </row>
    <row r="152" spans="1:8" x14ac:dyDescent="0.4">
      <c r="A152" s="61"/>
      <c r="B152" s="16" t="str">
        <f t="array" ref="B152">IFERROR(MIN(IF(Raw!$A$2:$A$26=MHT!A152,Raw!$B$2:$B$20)),"")</f>
        <v/>
      </c>
      <c r="C152" s="13" t="str">
        <f t="array" ref="C152">IFERROR(MIN(IF(Raw!$A$2:$A$26=MHT!A152,Raw!$C$2:$C$20)),"")</f>
        <v/>
      </c>
      <c r="D152" s="14" t="str">
        <f t="array" ref="D152">IF(Raw!D145="","",IFERROR(MAX(IF(Raw!$A$2:$A$26=MHT!A152,Raw!$D$2:$D$20)),""))</f>
        <v/>
      </c>
      <c r="E152" s="6" t="str">
        <f>IF(SUMIF(Raw!$A$2:$A$500, MHT!A152, Raw!$F$2:$F$500) = TIME(0,0,0), "", SUMIF(Raw!$A$2:$A$500, MHT!A152, Raw!$F$2:$F$500))</f>
        <v/>
      </c>
      <c r="F152" s="12" t="str">
        <f t="array" ref="F152">IF(A152="", "", IF(COUNTIF(Raw!$H$1:$I$500, A152) &gt; 0, "Done", IF(COUNTIF(Raw!$J$1:$J$500, A152) &gt; 0, "Pause", IF(COUNTIF(Raw!$K$1:$K$500, A152) &gt; 0, "On-Going", "Pause"))))</f>
        <v/>
      </c>
      <c r="G152" s="51"/>
      <c r="H152" s="50"/>
    </row>
    <row r="153" spans="1:8" x14ac:dyDescent="0.4">
      <c r="A153" s="61"/>
      <c r="B153" s="16" t="str">
        <f t="array" ref="B153">IFERROR(MIN(IF(Raw!$A$2:$A$26=MHT!A153,Raw!$B$2:$B$20)),"")</f>
        <v/>
      </c>
      <c r="C153" s="13" t="str">
        <f t="array" ref="C153">IFERROR(MIN(IF(Raw!$A$2:$A$26=MHT!A153,Raw!$C$2:$C$20)),"")</f>
        <v/>
      </c>
      <c r="D153" s="14" t="str">
        <f t="array" ref="D153">IF(Raw!D146="","",IFERROR(MAX(IF(Raw!$A$2:$A$26=MHT!A153,Raw!$D$2:$D$20)),""))</f>
        <v/>
      </c>
      <c r="E153" s="6" t="str">
        <f>IF(SUMIF(Raw!$A$2:$A$500, MHT!A153, Raw!$F$2:$F$500) = TIME(0,0,0), "", SUMIF(Raw!$A$2:$A$500, MHT!A153, Raw!$F$2:$F$500))</f>
        <v/>
      </c>
      <c r="F153" s="12" t="str">
        <f t="array" ref="F153">IF(A153="", "", IF(COUNTIF(Raw!$H$1:$I$500, A153) &gt; 0, "Done", IF(COUNTIF(Raw!$J$1:$J$500, A153) &gt; 0, "Pause", IF(COUNTIF(Raw!$K$1:$K$500, A153) &gt; 0, "On-Going", "Pause"))))</f>
        <v/>
      </c>
      <c r="G153" s="51"/>
      <c r="H153" s="50"/>
    </row>
    <row r="154" spans="1:8" x14ac:dyDescent="0.4">
      <c r="A154" s="61"/>
      <c r="B154" s="16" t="str">
        <f t="array" ref="B154">IFERROR(MIN(IF(Raw!$A$2:$A$26=MHT!A154,Raw!$B$2:$B$20)),"")</f>
        <v/>
      </c>
      <c r="C154" s="13" t="str">
        <f t="array" ref="C154">IFERROR(MIN(IF(Raw!$A$2:$A$26=MHT!A154,Raw!$C$2:$C$20)),"")</f>
        <v/>
      </c>
      <c r="D154" s="14" t="str">
        <f t="array" ref="D154">IF(Raw!D147="","",IFERROR(MAX(IF(Raw!$A$2:$A$26=MHT!A154,Raw!$D$2:$D$20)),""))</f>
        <v/>
      </c>
      <c r="E154" s="6" t="str">
        <f>IF(SUMIF(Raw!$A$2:$A$500, MHT!A154, Raw!$F$2:$F$500) = TIME(0,0,0), "", SUMIF(Raw!$A$2:$A$500, MHT!A154, Raw!$F$2:$F$500))</f>
        <v/>
      </c>
      <c r="F154" s="12" t="str">
        <f t="array" ref="F154">IF(A154="", "", IF(COUNTIF(Raw!$H$1:$I$500, A154) &gt; 0, "Done", IF(COUNTIF(Raw!$J$1:$J$500, A154) &gt; 0, "Pause", IF(COUNTIF(Raw!$K$1:$K$500, A154) &gt; 0, "On-Going", "Pause"))))</f>
        <v/>
      </c>
      <c r="G154" s="51"/>
      <c r="H154" s="50"/>
    </row>
    <row r="155" spans="1:8" x14ac:dyDescent="0.4">
      <c r="A155" s="61"/>
      <c r="B155" s="16" t="str">
        <f t="array" ref="B155">IFERROR(MIN(IF(Raw!$A$2:$A$26=MHT!A155,Raw!$B$2:$B$20)),"")</f>
        <v/>
      </c>
      <c r="C155" s="13" t="str">
        <f t="array" ref="C155">IFERROR(MIN(IF(Raw!$A$2:$A$26=MHT!A155,Raw!$C$2:$C$20)),"")</f>
        <v/>
      </c>
      <c r="D155" s="14" t="str">
        <f t="array" ref="D155">IF(Raw!D148="","",IFERROR(MAX(IF(Raw!$A$2:$A$26=MHT!A155,Raw!$D$2:$D$20)),""))</f>
        <v/>
      </c>
      <c r="E155" s="6" t="str">
        <f>IF(SUMIF(Raw!$A$2:$A$500, MHT!A155, Raw!$F$2:$F$500) = TIME(0,0,0), "", SUMIF(Raw!$A$2:$A$500, MHT!A155, Raw!$F$2:$F$500))</f>
        <v/>
      </c>
      <c r="F155" s="12" t="str">
        <f t="array" ref="F155">IF(A155="", "", IF(COUNTIF(Raw!$H$1:$I$500, A155) &gt; 0, "Done", IF(COUNTIF(Raw!$J$1:$J$500, A155) &gt; 0, "Pause", IF(COUNTIF(Raw!$K$1:$K$500, A155) &gt; 0, "On-Going", "Pause"))))</f>
        <v/>
      </c>
      <c r="G155" s="51"/>
      <c r="H155" s="50"/>
    </row>
    <row r="156" spans="1:8" x14ac:dyDescent="0.4">
      <c r="A156" s="61"/>
      <c r="B156" s="16" t="str">
        <f t="array" ref="B156">IFERROR(MIN(IF(Raw!$A$2:$A$26=MHT!A156,Raw!$B$2:$B$20)),"")</f>
        <v/>
      </c>
      <c r="C156" s="13" t="str">
        <f t="array" ref="C156">IFERROR(MIN(IF(Raw!$A$2:$A$26=MHT!A156,Raw!$C$2:$C$20)),"")</f>
        <v/>
      </c>
      <c r="D156" s="14" t="str">
        <f t="array" ref="D156">IF(Raw!D149="","",IFERROR(MAX(IF(Raw!$A$2:$A$26=MHT!A156,Raw!$D$2:$D$20)),""))</f>
        <v/>
      </c>
      <c r="E156" s="6" t="str">
        <f>IF(SUMIF(Raw!$A$2:$A$500, MHT!A156, Raw!$F$2:$F$500) = TIME(0,0,0), "", SUMIF(Raw!$A$2:$A$500, MHT!A156, Raw!$F$2:$F$500))</f>
        <v/>
      </c>
      <c r="F156" s="12" t="str">
        <f t="array" ref="F156">IF(A156="", "", IF(COUNTIF(Raw!$H$1:$I$500, A156) &gt; 0, "Done", IF(COUNTIF(Raw!$J$1:$J$500, A156) &gt; 0, "Pause", IF(COUNTIF(Raw!$K$1:$K$500, A156) &gt; 0, "On-Going", "Pause"))))</f>
        <v/>
      </c>
      <c r="G156" s="51"/>
      <c r="H156" s="50"/>
    </row>
    <row r="157" spans="1:8" x14ac:dyDescent="0.4">
      <c r="A157" s="61"/>
      <c r="B157" s="16" t="str">
        <f t="array" ref="B157">IFERROR(MIN(IF(Raw!$A$2:$A$26=MHT!A157,Raw!$B$2:$B$20)),"")</f>
        <v/>
      </c>
      <c r="C157" s="13" t="str">
        <f t="array" ref="C157">IFERROR(MIN(IF(Raw!$A$2:$A$26=MHT!A157,Raw!$C$2:$C$20)),"")</f>
        <v/>
      </c>
      <c r="D157" s="14" t="str">
        <f t="array" ref="D157">IF(Raw!D150="","",IFERROR(MAX(IF(Raw!$A$2:$A$26=MHT!A157,Raw!$D$2:$D$20)),""))</f>
        <v/>
      </c>
      <c r="E157" s="6" t="str">
        <f>IF(SUMIF(Raw!$A$2:$A$500, MHT!A157, Raw!$F$2:$F$500) = TIME(0,0,0), "", SUMIF(Raw!$A$2:$A$500, MHT!A157, Raw!$F$2:$F$500))</f>
        <v/>
      </c>
      <c r="F157" s="12" t="str">
        <f t="array" ref="F157">IF(A157="", "", IF(COUNTIF(Raw!$H$1:$I$500, A157) &gt; 0, "Done", IF(COUNTIF(Raw!$J$1:$J$500, A157) &gt; 0, "Pause", IF(COUNTIF(Raw!$K$1:$K$500, A157) &gt; 0, "On-Going", "Pause"))))</f>
        <v/>
      </c>
      <c r="G157" s="51"/>
      <c r="H157" s="50"/>
    </row>
    <row r="158" spans="1:8" x14ac:dyDescent="0.4">
      <c r="A158" s="61"/>
      <c r="B158" s="16" t="str">
        <f t="array" ref="B158">IFERROR(MIN(IF(Raw!$A$2:$A$26=MHT!A158,Raw!$B$2:$B$20)),"")</f>
        <v/>
      </c>
      <c r="C158" s="13" t="str">
        <f t="array" ref="C158">IFERROR(MIN(IF(Raw!$A$2:$A$26=MHT!A158,Raw!$C$2:$C$20)),"")</f>
        <v/>
      </c>
      <c r="D158" s="14" t="str">
        <f t="array" ref="D158">IF(Raw!D151="","",IFERROR(MAX(IF(Raw!$A$2:$A$26=MHT!A158,Raw!$D$2:$D$20)),""))</f>
        <v/>
      </c>
      <c r="E158" s="6" t="str">
        <f>IF(SUMIF(Raw!$A$2:$A$500, MHT!A158, Raw!$F$2:$F$500) = TIME(0,0,0), "", SUMIF(Raw!$A$2:$A$500, MHT!A158, Raw!$F$2:$F$500))</f>
        <v/>
      </c>
      <c r="F158" s="12" t="str">
        <f t="array" ref="F158">IF(A158="", "", IF(COUNTIF(Raw!$H$1:$I$500, A158) &gt; 0, "Done", IF(COUNTIF(Raw!$J$1:$J$500, A158) &gt; 0, "Pause", IF(COUNTIF(Raw!$K$1:$K$500, A158) &gt; 0, "On-Going", "Pause"))))</f>
        <v/>
      </c>
      <c r="G158" s="51"/>
      <c r="H158" s="50"/>
    </row>
    <row r="159" spans="1:8" x14ac:dyDescent="0.4">
      <c r="A159" s="61"/>
      <c r="B159" s="16" t="str">
        <f t="array" ref="B159">IFERROR(MIN(IF(Raw!$A$2:$A$26=MHT!A159,Raw!$B$2:$B$20)),"")</f>
        <v/>
      </c>
      <c r="C159" s="13" t="str">
        <f t="array" ref="C159">IFERROR(MIN(IF(Raw!$A$2:$A$26=MHT!A159,Raw!$C$2:$C$20)),"")</f>
        <v/>
      </c>
      <c r="D159" s="14" t="str">
        <f t="array" ref="D159">IF(Raw!D152="","",IFERROR(MAX(IF(Raw!$A$2:$A$26=MHT!A159,Raw!$D$2:$D$20)),""))</f>
        <v/>
      </c>
      <c r="E159" s="6" t="str">
        <f>IF(SUMIF(Raw!$A$2:$A$500, MHT!A159, Raw!$F$2:$F$500) = TIME(0,0,0), "", SUMIF(Raw!$A$2:$A$500, MHT!A159, Raw!$F$2:$F$500))</f>
        <v/>
      </c>
      <c r="F159" s="12" t="str">
        <f t="array" ref="F159">IF(A159="", "", IF(COUNTIF(Raw!$H$1:$I$500, A159) &gt; 0, "Done", IF(COUNTIF(Raw!$J$1:$J$500, A159) &gt; 0, "Pause", IF(COUNTIF(Raw!$K$1:$K$500, A159) &gt; 0, "On-Going", "Pause"))))</f>
        <v/>
      </c>
      <c r="G159" s="51"/>
      <c r="H159" s="50"/>
    </row>
    <row r="160" spans="1:8" x14ac:dyDescent="0.4">
      <c r="A160" s="61"/>
      <c r="B160" s="16" t="str">
        <f t="array" ref="B160">IFERROR(MIN(IF(Raw!$A$2:$A$26=MHT!A160,Raw!$B$2:$B$20)),"")</f>
        <v/>
      </c>
      <c r="C160" s="13" t="str">
        <f t="array" ref="C160">IFERROR(MIN(IF(Raw!$A$2:$A$26=MHT!A160,Raw!$C$2:$C$20)),"")</f>
        <v/>
      </c>
      <c r="D160" s="14" t="str">
        <f t="array" ref="D160">IF(Raw!D153="","",IFERROR(MAX(IF(Raw!$A$2:$A$26=MHT!A160,Raw!$D$2:$D$20)),""))</f>
        <v/>
      </c>
      <c r="E160" s="6" t="str">
        <f>IF(SUMIF(Raw!$A$2:$A$500, MHT!A160, Raw!$F$2:$F$500) = TIME(0,0,0), "", SUMIF(Raw!$A$2:$A$500, MHT!A160, Raw!$F$2:$F$500))</f>
        <v/>
      </c>
      <c r="F160" s="12" t="str">
        <f t="array" ref="F160">IF(A160="", "", IF(COUNTIF(Raw!$H$1:$I$500, A160) &gt; 0, "Done", IF(COUNTIF(Raw!$J$1:$J$500, A160) &gt; 0, "Pause", IF(COUNTIF(Raw!$K$1:$K$500, A160) &gt; 0, "On-Going", "Pause"))))</f>
        <v/>
      </c>
      <c r="G160" s="51"/>
      <c r="H160" s="50"/>
    </row>
    <row r="161" spans="1:8" x14ac:dyDescent="0.4">
      <c r="A161" s="61"/>
      <c r="B161" s="16" t="str">
        <f t="array" ref="B161">IFERROR(MIN(IF(Raw!$A$2:$A$26=MHT!A161,Raw!$B$2:$B$20)),"")</f>
        <v/>
      </c>
      <c r="C161" s="13" t="str">
        <f t="array" ref="C161">IFERROR(MIN(IF(Raw!$A$2:$A$26=MHT!A161,Raw!$C$2:$C$20)),"")</f>
        <v/>
      </c>
      <c r="D161" s="14" t="str">
        <f t="array" ref="D161">IF(Raw!D154="","",IFERROR(MAX(IF(Raw!$A$2:$A$26=MHT!A161,Raw!$D$2:$D$20)),""))</f>
        <v/>
      </c>
      <c r="E161" s="6" t="str">
        <f>IF(SUMIF(Raw!$A$2:$A$500, MHT!A161, Raw!$F$2:$F$500) = TIME(0,0,0), "", SUMIF(Raw!$A$2:$A$500, MHT!A161, Raw!$F$2:$F$500))</f>
        <v/>
      </c>
      <c r="F161" s="12" t="str">
        <f t="array" ref="F161">IF(A161="", "", IF(COUNTIF(Raw!$H$1:$I$500, A161) &gt; 0, "Done", IF(COUNTIF(Raw!$J$1:$J$500, A161) &gt; 0, "Pause", IF(COUNTIF(Raw!$K$1:$K$500, A161) &gt; 0, "On-Going", "Pause"))))</f>
        <v/>
      </c>
      <c r="G161" s="51"/>
      <c r="H161" s="50"/>
    </row>
    <row r="162" spans="1:8" x14ac:dyDescent="0.4">
      <c r="A162" s="61"/>
      <c r="B162" s="16" t="str">
        <f t="array" ref="B162">IFERROR(MIN(IF(Raw!$A$2:$A$26=MHT!A162,Raw!$B$2:$B$20)),"")</f>
        <v/>
      </c>
      <c r="C162" s="13" t="str">
        <f t="array" ref="C162">IFERROR(MIN(IF(Raw!$A$2:$A$26=MHT!A162,Raw!$C$2:$C$20)),"")</f>
        <v/>
      </c>
      <c r="D162" s="14" t="str">
        <f t="array" ref="D162">IF(Raw!D155="","",IFERROR(MAX(IF(Raw!$A$2:$A$26=MHT!A162,Raw!$D$2:$D$20)),""))</f>
        <v/>
      </c>
      <c r="E162" s="6" t="str">
        <f>IF(SUMIF(Raw!$A$2:$A$500, MHT!A162, Raw!$F$2:$F$500) = TIME(0,0,0), "", SUMIF(Raw!$A$2:$A$500, MHT!A162, Raw!$F$2:$F$500))</f>
        <v/>
      </c>
      <c r="F162" s="12" t="str">
        <f t="array" ref="F162">IF(A162="", "", IF(COUNTIF(Raw!$H$1:$I$500, A162) &gt; 0, "Done", IF(COUNTIF(Raw!$J$1:$J$500, A162) &gt; 0, "Pause", IF(COUNTIF(Raw!$K$1:$K$500, A162) &gt; 0, "On-Going", "Pause"))))</f>
        <v/>
      </c>
      <c r="G162" s="51"/>
      <c r="H162" s="50"/>
    </row>
    <row r="163" spans="1:8" x14ac:dyDescent="0.4">
      <c r="A163" s="61"/>
      <c r="B163" s="16" t="str">
        <f t="array" ref="B163">IFERROR(MIN(IF(Raw!$A$2:$A$26=MHT!A163,Raw!$B$2:$B$20)),"")</f>
        <v/>
      </c>
      <c r="C163" s="13" t="str">
        <f t="array" ref="C163">IFERROR(MIN(IF(Raw!$A$2:$A$26=MHT!A163,Raw!$C$2:$C$20)),"")</f>
        <v/>
      </c>
      <c r="D163" s="14" t="str">
        <f t="array" ref="D163">IF(Raw!D156="","",IFERROR(MAX(IF(Raw!$A$2:$A$26=MHT!A163,Raw!$D$2:$D$20)),""))</f>
        <v/>
      </c>
      <c r="E163" s="6" t="str">
        <f>IF(SUMIF(Raw!$A$2:$A$500, MHT!A163, Raw!$F$2:$F$500) = TIME(0,0,0), "", SUMIF(Raw!$A$2:$A$500, MHT!A163, Raw!$F$2:$F$500))</f>
        <v/>
      </c>
      <c r="F163" s="12" t="str">
        <f t="array" ref="F163">IF(A163="", "", IF(COUNTIF(Raw!$H$1:$I$500, A163) &gt; 0, "Done", IF(COUNTIF(Raw!$J$1:$J$500, A163) &gt; 0, "Pause", IF(COUNTIF(Raw!$K$1:$K$500, A163) &gt; 0, "On-Going", "Pause"))))</f>
        <v/>
      </c>
      <c r="G163" s="51"/>
      <c r="H163" s="50"/>
    </row>
    <row r="164" spans="1:8" x14ac:dyDescent="0.4">
      <c r="A164" s="61"/>
      <c r="B164" s="16" t="str">
        <f t="array" ref="B164">IFERROR(MIN(IF(Raw!$A$2:$A$26=MHT!A164,Raw!$B$2:$B$20)),"")</f>
        <v/>
      </c>
      <c r="C164" s="13" t="str">
        <f t="array" ref="C164">IFERROR(MIN(IF(Raw!$A$2:$A$26=MHT!A164,Raw!$C$2:$C$20)),"")</f>
        <v/>
      </c>
      <c r="D164" s="14" t="str">
        <f t="array" ref="D164">IF(Raw!D157="","",IFERROR(MAX(IF(Raw!$A$2:$A$26=MHT!A164,Raw!$D$2:$D$20)),""))</f>
        <v/>
      </c>
      <c r="E164" s="6" t="str">
        <f>IF(SUMIF(Raw!$A$2:$A$500, MHT!A164, Raw!$F$2:$F$500) = TIME(0,0,0), "", SUMIF(Raw!$A$2:$A$500, MHT!A164, Raw!$F$2:$F$500))</f>
        <v/>
      </c>
      <c r="F164" s="12" t="str">
        <f t="array" ref="F164">IF(A164="", "", IF(COUNTIF(Raw!$H$1:$I$500, A164) &gt; 0, "Done", IF(COUNTIF(Raw!$J$1:$J$500, A164) &gt; 0, "Pause", IF(COUNTIF(Raw!$K$1:$K$500, A164) &gt; 0, "On-Going", "Pause"))))</f>
        <v/>
      </c>
      <c r="G164" s="51"/>
      <c r="H164" s="50"/>
    </row>
    <row r="165" spans="1:8" x14ac:dyDescent="0.4">
      <c r="A165" s="61"/>
      <c r="B165" s="16" t="str">
        <f t="array" ref="B165">IFERROR(MIN(IF(Raw!$A$2:$A$26=MHT!A165,Raw!$B$2:$B$20)),"")</f>
        <v/>
      </c>
      <c r="C165" s="13" t="str">
        <f t="array" ref="C165">IFERROR(MIN(IF(Raw!$A$2:$A$26=MHT!A165,Raw!$C$2:$C$20)),"")</f>
        <v/>
      </c>
      <c r="D165" s="14" t="str">
        <f t="array" ref="D165">IF(Raw!D158="","",IFERROR(MAX(IF(Raw!$A$2:$A$26=MHT!A165,Raw!$D$2:$D$20)),""))</f>
        <v/>
      </c>
      <c r="E165" s="6" t="str">
        <f>IF(SUMIF(Raw!$A$2:$A$500, MHT!A165, Raw!$F$2:$F$500) = TIME(0,0,0), "", SUMIF(Raw!$A$2:$A$500, MHT!A165, Raw!$F$2:$F$500))</f>
        <v/>
      </c>
      <c r="F165" s="12" t="str">
        <f t="array" ref="F165">IF(A165="", "", IF(COUNTIF(Raw!$H$1:$I$500, A165) &gt; 0, "Done", IF(COUNTIF(Raw!$J$1:$J$500, A165) &gt; 0, "Pause", IF(COUNTIF(Raw!$K$1:$K$500, A165) &gt; 0, "On-Going", "Pause"))))</f>
        <v/>
      </c>
      <c r="G165" s="51"/>
      <c r="H165" s="50"/>
    </row>
    <row r="166" spans="1:8" x14ac:dyDescent="0.4">
      <c r="A166" s="61"/>
      <c r="B166" s="16" t="str">
        <f t="array" ref="B166">IFERROR(MIN(IF(Raw!$A$2:$A$26=MHT!A166,Raw!$B$2:$B$20)),"")</f>
        <v/>
      </c>
      <c r="C166" s="13" t="str">
        <f t="array" ref="C166">IFERROR(MIN(IF(Raw!$A$2:$A$26=MHT!A166,Raw!$C$2:$C$20)),"")</f>
        <v/>
      </c>
      <c r="D166" s="14" t="str">
        <f t="array" ref="D166">IF(Raw!D159="","",IFERROR(MAX(IF(Raw!$A$2:$A$26=MHT!A166,Raw!$D$2:$D$20)),""))</f>
        <v/>
      </c>
      <c r="E166" s="6" t="str">
        <f>IF(SUMIF(Raw!$A$2:$A$500, MHT!A166, Raw!$F$2:$F$500) = TIME(0,0,0), "", SUMIF(Raw!$A$2:$A$500, MHT!A166, Raw!$F$2:$F$500))</f>
        <v/>
      </c>
      <c r="F166" s="12" t="str">
        <f t="array" ref="F166">IF(A166="", "", IF(COUNTIF(Raw!$H$1:$I$500, A166) &gt; 0, "Done", IF(COUNTIF(Raw!$J$1:$J$500, A166) &gt; 0, "Pause", IF(COUNTIF(Raw!$K$1:$K$500, A166) &gt; 0, "On-Going", "Pause"))))</f>
        <v/>
      </c>
      <c r="G166" s="51"/>
      <c r="H166" s="50"/>
    </row>
    <row r="167" spans="1:8" x14ac:dyDescent="0.4">
      <c r="A167" s="61"/>
      <c r="B167" s="16" t="str">
        <f t="array" ref="B167">IFERROR(MIN(IF(Raw!$A$2:$A$26=MHT!A167,Raw!$B$2:$B$20)),"")</f>
        <v/>
      </c>
      <c r="C167" s="13" t="str">
        <f t="array" ref="C167">IFERROR(MIN(IF(Raw!$A$2:$A$26=MHT!A167,Raw!$C$2:$C$20)),"")</f>
        <v/>
      </c>
      <c r="D167" s="14" t="str">
        <f t="array" ref="D167">IF(Raw!D160="","",IFERROR(MAX(IF(Raw!$A$2:$A$26=MHT!A167,Raw!$D$2:$D$20)),""))</f>
        <v/>
      </c>
      <c r="E167" s="6" t="str">
        <f>IF(SUMIF(Raw!$A$2:$A$500, MHT!A167, Raw!$F$2:$F$500) = TIME(0,0,0), "", SUMIF(Raw!$A$2:$A$500, MHT!A167, Raw!$F$2:$F$500))</f>
        <v/>
      </c>
      <c r="F167" s="12" t="str">
        <f t="array" ref="F167">IF(A167="", "", IF(COUNTIF(Raw!$H$1:$I$500, A167) &gt; 0, "Done", IF(COUNTIF(Raw!$J$1:$J$500, A167) &gt; 0, "Pause", IF(COUNTIF(Raw!$K$1:$K$500, A167) &gt; 0, "On-Going", "Pause"))))</f>
        <v/>
      </c>
      <c r="G167" s="51"/>
      <c r="H167" s="50"/>
    </row>
    <row r="168" spans="1:8" x14ac:dyDescent="0.4">
      <c r="A168" s="61"/>
      <c r="B168" s="16" t="str">
        <f t="array" ref="B168">IFERROR(MIN(IF(Raw!$A$2:$A$26=MHT!A168,Raw!$B$2:$B$20)),"")</f>
        <v/>
      </c>
      <c r="C168" s="13" t="str">
        <f t="array" ref="C168">IFERROR(MIN(IF(Raw!$A$2:$A$26=MHT!A168,Raw!$C$2:$C$20)),"")</f>
        <v/>
      </c>
      <c r="D168" s="14" t="str">
        <f t="array" ref="D168">IF(Raw!D161="","",IFERROR(MAX(IF(Raw!$A$2:$A$26=MHT!A168,Raw!$D$2:$D$20)),""))</f>
        <v/>
      </c>
      <c r="E168" s="6" t="str">
        <f>IF(SUMIF(Raw!$A$2:$A$500, MHT!A168, Raw!$F$2:$F$500) = TIME(0,0,0), "", SUMIF(Raw!$A$2:$A$500, MHT!A168, Raw!$F$2:$F$500))</f>
        <v/>
      </c>
      <c r="F168" s="12" t="str">
        <f t="array" ref="F168">IF(A168="", "", IF(COUNTIF(Raw!$H$1:$I$500, A168) &gt; 0, "Done", IF(COUNTIF(Raw!$J$1:$J$500, A168) &gt; 0, "Pause", IF(COUNTIF(Raw!$K$1:$K$500, A168) &gt; 0, "On-Going", "Pause"))))</f>
        <v/>
      </c>
      <c r="G168" s="51"/>
      <c r="H168" s="50"/>
    </row>
    <row r="169" spans="1:8" x14ac:dyDescent="0.4">
      <c r="A169" s="61"/>
      <c r="B169" s="16" t="str">
        <f t="array" ref="B169">IFERROR(MIN(IF(Raw!$A$2:$A$26=MHT!A169,Raw!$B$2:$B$20)),"")</f>
        <v/>
      </c>
      <c r="C169" s="13" t="str">
        <f t="array" ref="C169">IFERROR(MIN(IF(Raw!$A$2:$A$26=MHT!A169,Raw!$C$2:$C$20)),"")</f>
        <v/>
      </c>
      <c r="D169" s="14" t="str">
        <f t="array" ref="D169">IF(Raw!D162="","",IFERROR(MAX(IF(Raw!$A$2:$A$26=MHT!A169,Raw!$D$2:$D$20)),""))</f>
        <v/>
      </c>
      <c r="E169" s="6" t="str">
        <f>IF(SUMIF(Raw!$A$2:$A$500, MHT!A169, Raw!$F$2:$F$500) = TIME(0,0,0), "", SUMIF(Raw!$A$2:$A$500, MHT!A169, Raw!$F$2:$F$500))</f>
        <v/>
      </c>
      <c r="F169" s="12" t="str">
        <f t="array" ref="F169">IF(A169="", "", IF(COUNTIF(Raw!$H$1:$I$500, A169) &gt; 0, "Done", IF(COUNTIF(Raw!$J$1:$J$500, A169) &gt; 0, "Pause", IF(COUNTIF(Raw!$K$1:$K$500, A169) &gt; 0, "On-Going", "Pause"))))</f>
        <v/>
      </c>
      <c r="G169" s="51"/>
      <c r="H169" s="50"/>
    </row>
    <row r="170" spans="1:8" x14ac:dyDescent="0.4">
      <c r="A170" s="61"/>
      <c r="B170" s="16" t="str">
        <f t="array" ref="B170">IFERROR(MIN(IF(Raw!$A$2:$A$26=MHT!A170,Raw!$B$2:$B$20)),"")</f>
        <v/>
      </c>
      <c r="C170" s="13" t="str">
        <f t="array" ref="C170">IFERROR(MIN(IF(Raw!$A$2:$A$26=MHT!A170,Raw!$C$2:$C$20)),"")</f>
        <v/>
      </c>
      <c r="D170" s="14" t="str">
        <f t="array" ref="D170">IF(Raw!D163="","",IFERROR(MAX(IF(Raw!$A$2:$A$26=MHT!A170,Raw!$D$2:$D$20)),""))</f>
        <v/>
      </c>
      <c r="E170" s="6" t="str">
        <f>IF(SUMIF(Raw!$A$2:$A$500, MHT!A170, Raw!$F$2:$F$500) = TIME(0,0,0), "", SUMIF(Raw!$A$2:$A$500, MHT!A170, Raw!$F$2:$F$500))</f>
        <v/>
      </c>
      <c r="F170" s="12" t="str">
        <f t="array" ref="F170">IF(A170="", "", IF(COUNTIF(Raw!$H$1:$I$500, A170) &gt; 0, "Done", IF(COUNTIF(Raw!$J$1:$J$500, A170) &gt; 0, "Pause", IF(COUNTIF(Raw!$K$1:$K$500, A170) &gt; 0, "On-Going", "Pause"))))</f>
        <v/>
      </c>
      <c r="G170" s="51"/>
      <c r="H170" s="50"/>
    </row>
    <row r="171" spans="1:8" x14ac:dyDescent="0.4">
      <c r="A171" s="61"/>
      <c r="B171" s="16" t="str">
        <f t="array" ref="B171">IFERROR(MIN(IF(Raw!$A$2:$A$26=MHT!A171,Raw!$B$2:$B$20)),"")</f>
        <v/>
      </c>
      <c r="C171" s="13" t="str">
        <f t="array" ref="C171">IFERROR(MIN(IF(Raw!$A$2:$A$26=MHT!A171,Raw!$C$2:$C$20)),"")</f>
        <v/>
      </c>
      <c r="D171" s="14" t="str">
        <f t="array" ref="D171">IF(Raw!D164="","",IFERROR(MAX(IF(Raw!$A$2:$A$26=MHT!A171,Raw!$D$2:$D$20)),""))</f>
        <v/>
      </c>
      <c r="E171" s="6" t="str">
        <f>IF(SUMIF(Raw!$A$2:$A$500, MHT!A171, Raw!$F$2:$F$500) = TIME(0,0,0), "", SUMIF(Raw!$A$2:$A$500, MHT!A171, Raw!$F$2:$F$500))</f>
        <v/>
      </c>
      <c r="F171" s="12" t="str">
        <f t="array" ref="F171">IF(A171="", "", IF(COUNTIF(Raw!$H$1:$I$500, A171) &gt; 0, "Done", IF(COUNTIF(Raw!$J$1:$J$500, A171) &gt; 0, "Pause", IF(COUNTIF(Raw!$K$1:$K$500, A171) &gt; 0, "On-Going", "Pause"))))</f>
        <v/>
      </c>
      <c r="G171" s="51"/>
      <c r="H171" s="50"/>
    </row>
    <row r="172" spans="1:8" x14ac:dyDescent="0.4">
      <c r="A172" s="61"/>
      <c r="B172" s="16" t="str">
        <f t="array" ref="B172">IFERROR(MIN(IF(Raw!$A$2:$A$26=MHT!A172,Raw!$B$2:$B$20)),"")</f>
        <v/>
      </c>
      <c r="C172" s="13" t="str">
        <f t="array" ref="C172">IFERROR(MIN(IF(Raw!$A$2:$A$26=MHT!A172,Raw!$C$2:$C$20)),"")</f>
        <v/>
      </c>
      <c r="D172" s="14" t="str">
        <f t="array" ref="D172">IF(Raw!D165="","",IFERROR(MAX(IF(Raw!$A$2:$A$26=MHT!A172,Raw!$D$2:$D$20)),""))</f>
        <v/>
      </c>
      <c r="E172" s="6" t="str">
        <f>IF(SUMIF(Raw!$A$2:$A$500, MHT!A172, Raw!$F$2:$F$500) = TIME(0,0,0), "", SUMIF(Raw!$A$2:$A$500, MHT!A172, Raw!$F$2:$F$500))</f>
        <v/>
      </c>
      <c r="F172" s="12" t="str">
        <f t="array" ref="F172">IF(A172="", "", IF(COUNTIF(Raw!$H$1:$I$500, A172) &gt; 0, "Done", IF(COUNTIF(Raw!$J$1:$J$500, A172) &gt; 0, "Pause", IF(COUNTIF(Raw!$K$1:$K$500, A172) &gt; 0, "On-Going", "Pause"))))</f>
        <v/>
      </c>
      <c r="G172" s="51"/>
      <c r="H172" s="50"/>
    </row>
    <row r="173" spans="1:8" x14ac:dyDescent="0.4">
      <c r="A173" s="61"/>
      <c r="B173" s="16" t="str">
        <f t="array" ref="B173">IFERROR(MIN(IF(Raw!$A$2:$A$26=MHT!A173,Raw!$B$2:$B$20)),"")</f>
        <v/>
      </c>
      <c r="C173" s="13" t="str">
        <f t="array" ref="C173">IFERROR(MIN(IF(Raw!$A$2:$A$26=MHT!A173,Raw!$C$2:$C$20)),"")</f>
        <v/>
      </c>
      <c r="D173" s="14" t="str">
        <f t="array" ref="D173">IF(Raw!D166="","",IFERROR(MAX(IF(Raw!$A$2:$A$26=MHT!A173,Raw!$D$2:$D$20)),""))</f>
        <v/>
      </c>
      <c r="E173" s="6" t="str">
        <f>IF(SUMIF(Raw!$A$2:$A$500, MHT!A173, Raw!$F$2:$F$500) = TIME(0,0,0), "", SUMIF(Raw!$A$2:$A$500, MHT!A173, Raw!$F$2:$F$500))</f>
        <v/>
      </c>
      <c r="F173" s="12" t="str">
        <f t="array" ref="F173">IF(A173="", "", IF(COUNTIF(Raw!$H$1:$I$500, A173) &gt; 0, "Done", IF(COUNTIF(Raw!$J$1:$J$500, A173) &gt; 0, "Pause", IF(COUNTIF(Raw!$K$1:$K$500, A173) &gt; 0, "On-Going", "Pause"))))</f>
        <v/>
      </c>
      <c r="G173" s="51"/>
      <c r="H173" s="50"/>
    </row>
    <row r="174" spans="1:8" x14ac:dyDescent="0.4">
      <c r="A174" s="61"/>
      <c r="B174" s="16" t="str">
        <f t="array" ref="B174">IFERROR(MIN(IF(Raw!$A$2:$A$26=MHT!A174,Raw!$B$2:$B$20)),"")</f>
        <v/>
      </c>
      <c r="C174" s="13" t="str">
        <f t="array" ref="C174">IFERROR(MIN(IF(Raw!$A$2:$A$26=MHT!A174,Raw!$C$2:$C$20)),"")</f>
        <v/>
      </c>
      <c r="D174" s="14" t="str">
        <f t="array" ref="D174">IF(Raw!D167="","",IFERROR(MAX(IF(Raw!$A$2:$A$26=MHT!A174,Raw!$D$2:$D$20)),""))</f>
        <v/>
      </c>
      <c r="E174" s="6" t="str">
        <f>IF(SUMIF(Raw!$A$2:$A$500, MHT!A174, Raw!$F$2:$F$500) = TIME(0,0,0), "", SUMIF(Raw!$A$2:$A$500, MHT!A174, Raw!$F$2:$F$500))</f>
        <v/>
      </c>
      <c r="F174" s="12" t="str">
        <f t="array" ref="F174">IF(A174="", "", IF(COUNTIF(Raw!$H$1:$I$500, A174) &gt; 0, "Done", IF(COUNTIF(Raw!$J$1:$J$500, A174) &gt; 0, "Pause", IF(COUNTIF(Raw!$K$1:$K$500, A174) &gt; 0, "On-Going", "Pause"))))</f>
        <v/>
      </c>
      <c r="G174" s="51"/>
      <c r="H174" s="50"/>
    </row>
    <row r="175" spans="1:8" x14ac:dyDescent="0.4">
      <c r="A175" s="61"/>
      <c r="B175" s="16" t="str">
        <f t="array" ref="B175">IFERROR(MIN(IF(Raw!$A$2:$A$26=MHT!A175,Raw!$B$2:$B$20)),"")</f>
        <v/>
      </c>
      <c r="C175" s="13" t="str">
        <f t="array" ref="C175">IFERROR(MIN(IF(Raw!$A$2:$A$26=MHT!A175,Raw!$C$2:$C$20)),"")</f>
        <v/>
      </c>
      <c r="D175" s="14" t="str">
        <f t="array" ref="D175">IF(Raw!D168="","",IFERROR(MAX(IF(Raw!$A$2:$A$26=MHT!A175,Raw!$D$2:$D$20)),""))</f>
        <v/>
      </c>
      <c r="E175" s="6" t="str">
        <f>IF(SUMIF(Raw!$A$2:$A$500, MHT!A175, Raw!$F$2:$F$500) = TIME(0,0,0), "", SUMIF(Raw!$A$2:$A$500, MHT!A175, Raw!$F$2:$F$500))</f>
        <v/>
      </c>
      <c r="F175" s="12" t="str">
        <f t="array" ref="F175">IF(A175="", "", IF(COUNTIF(Raw!$H$1:$I$500, A175) &gt; 0, "Done", IF(COUNTIF(Raw!$J$1:$J$500, A175) &gt; 0, "Pause", IF(COUNTIF(Raw!$K$1:$K$500, A175) &gt; 0, "On-Going", "Pause"))))</f>
        <v/>
      </c>
      <c r="G175" s="51"/>
      <c r="H175" s="50"/>
    </row>
    <row r="176" spans="1:8" x14ac:dyDescent="0.4">
      <c r="A176" s="61"/>
      <c r="B176" s="16" t="str">
        <f t="array" ref="B176">IFERROR(MIN(IF(Raw!$A$2:$A$26=MHT!A176,Raw!$B$2:$B$20)),"")</f>
        <v/>
      </c>
      <c r="C176" s="13" t="str">
        <f t="array" ref="C176">IFERROR(MIN(IF(Raw!$A$2:$A$26=MHT!A176,Raw!$C$2:$C$20)),"")</f>
        <v/>
      </c>
      <c r="D176" s="14" t="str">
        <f t="array" ref="D176">IF(Raw!D169="","",IFERROR(MAX(IF(Raw!$A$2:$A$26=MHT!A176,Raw!$D$2:$D$20)),""))</f>
        <v/>
      </c>
      <c r="E176" s="6" t="str">
        <f>IF(SUMIF(Raw!$A$2:$A$500, MHT!A176, Raw!$F$2:$F$500) = TIME(0,0,0), "", SUMIF(Raw!$A$2:$A$500, MHT!A176, Raw!$F$2:$F$500))</f>
        <v/>
      </c>
      <c r="F176" s="12" t="str">
        <f t="array" ref="F176">IF(A176="", "", IF(COUNTIF(Raw!$H$1:$I$500, A176) &gt; 0, "Done", IF(COUNTIF(Raw!$J$1:$J$500, A176) &gt; 0, "Pause", IF(COUNTIF(Raw!$K$1:$K$500, A176) &gt; 0, "On-Going", "Pause"))))</f>
        <v/>
      </c>
      <c r="G176" s="51"/>
      <c r="H176" s="50"/>
    </row>
    <row r="177" spans="1:8" x14ac:dyDescent="0.4">
      <c r="A177" s="61"/>
      <c r="B177" s="16" t="str">
        <f t="array" ref="B177">IFERROR(MIN(IF(Raw!$A$2:$A$26=MHT!A177,Raw!$B$2:$B$20)),"")</f>
        <v/>
      </c>
      <c r="C177" s="13" t="str">
        <f t="array" ref="C177">IFERROR(MIN(IF(Raw!$A$2:$A$26=MHT!A177,Raw!$C$2:$C$20)),"")</f>
        <v/>
      </c>
      <c r="D177" s="14" t="str">
        <f t="array" ref="D177">IF(Raw!D170="","",IFERROR(MAX(IF(Raw!$A$2:$A$26=MHT!A177,Raw!$D$2:$D$20)),""))</f>
        <v/>
      </c>
      <c r="E177" s="6" t="str">
        <f>IF(SUMIF(Raw!$A$2:$A$500, MHT!A177, Raw!$F$2:$F$500) = TIME(0,0,0), "", SUMIF(Raw!$A$2:$A$500, MHT!A177, Raw!$F$2:$F$500))</f>
        <v/>
      </c>
      <c r="F177" s="12" t="str">
        <f t="array" ref="F177">IF(A177="", "", IF(COUNTIF(Raw!$H$1:$I$500, A177) &gt; 0, "Done", IF(COUNTIF(Raw!$J$1:$J$500, A177) &gt; 0, "Pause", IF(COUNTIF(Raw!$K$1:$K$500, A177) &gt; 0, "On-Going", "Pause"))))</f>
        <v/>
      </c>
      <c r="G177" s="51"/>
      <c r="H177" s="50"/>
    </row>
    <row r="178" spans="1:8" x14ac:dyDescent="0.4">
      <c r="A178" s="61"/>
      <c r="B178" s="16" t="str">
        <f t="array" ref="B178">IFERROR(MIN(IF(Raw!$A$2:$A$26=MHT!A178,Raw!$B$2:$B$20)),"")</f>
        <v/>
      </c>
      <c r="C178" s="13" t="str">
        <f t="array" ref="C178">IFERROR(MIN(IF(Raw!$A$2:$A$26=MHT!A178,Raw!$C$2:$C$20)),"")</f>
        <v/>
      </c>
      <c r="D178" s="14" t="str">
        <f t="array" ref="D178">IF(Raw!D171="","",IFERROR(MAX(IF(Raw!$A$2:$A$26=MHT!A178,Raw!$D$2:$D$20)),""))</f>
        <v/>
      </c>
      <c r="E178" s="6" t="str">
        <f>IF(SUMIF(Raw!$A$2:$A$500, MHT!A178, Raw!$F$2:$F$500) = TIME(0,0,0), "", SUMIF(Raw!$A$2:$A$500, MHT!A178, Raw!$F$2:$F$500))</f>
        <v/>
      </c>
      <c r="F178" s="12" t="str">
        <f t="array" ref="F178">IF(A178="", "", IF(COUNTIF(Raw!$H$1:$I$500, A178) &gt; 0, "Done", IF(COUNTIF(Raw!$J$1:$J$500, A178) &gt; 0, "Pause", IF(COUNTIF(Raw!$K$1:$K$500, A178) &gt; 0, "On-Going", "Pause"))))</f>
        <v/>
      </c>
      <c r="G178" s="51"/>
      <c r="H178" s="50"/>
    </row>
    <row r="179" spans="1:8" x14ac:dyDescent="0.4">
      <c r="A179" s="61"/>
      <c r="B179" s="16" t="str">
        <f t="array" ref="B179">IFERROR(MIN(IF(Raw!$A$2:$A$26=MHT!A179,Raw!$B$2:$B$20)),"")</f>
        <v/>
      </c>
      <c r="C179" s="13" t="str">
        <f t="array" ref="C179">IFERROR(MIN(IF(Raw!$A$2:$A$26=MHT!A179,Raw!$C$2:$C$20)),"")</f>
        <v/>
      </c>
      <c r="D179" s="14" t="str">
        <f t="array" ref="D179">IF(Raw!D172="","",IFERROR(MAX(IF(Raw!$A$2:$A$26=MHT!A179,Raw!$D$2:$D$20)),""))</f>
        <v/>
      </c>
      <c r="E179" s="6" t="str">
        <f>IF(SUMIF(Raw!$A$2:$A$500, MHT!A179, Raw!$F$2:$F$500) = TIME(0,0,0), "", SUMIF(Raw!$A$2:$A$500, MHT!A179, Raw!$F$2:$F$500))</f>
        <v/>
      </c>
      <c r="F179" s="12" t="str">
        <f t="array" ref="F179">IF(A179="", "", IF(COUNTIF(Raw!$H$1:$I$500, A179) &gt; 0, "Done", IF(COUNTIF(Raw!$J$1:$J$500, A179) &gt; 0, "Pause", IF(COUNTIF(Raw!$K$1:$K$500, A179) &gt; 0, "On-Going", "Pause"))))</f>
        <v/>
      </c>
      <c r="G179" s="51"/>
      <c r="H179" s="50"/>
    </row>
    <row r="180" spans="1:8" x14ac:dyDescent="0.4">
      <c r="A180" s="61"/>
      <c r="B180" s="16" t="str">
        <f t="array" ref="B180">IFERROR(MIN(IF(Raw!$A$2:$A$26=MHT!A180,Raw!$B$2:$B$20)),"")</f>
        <v/>
      </c>
      <c r="C180" s="13" t="str">
        <f t="array" ref="C180">IFERROR(MIN(IF(Raw!$A$2:$A$26=MHT!A180,Raw!$C$2:$C$20)),"")</f>
        <v/>
      </c>
      <c r="D180" s="14" t="str">
        <f t="array" ref="D180">IF(Raw!D173="","",IFERROR(MAX(IF(Raw!$A$2:$A$26=MHT!A180,Raw!$D$2:$D$20)),""))</f>
        <v/>
      </c>
      <c r="E180" s="6" t="str">
        <f>IF(SUMIF(Raw!$A$2:$A$500, MHT!A180, Raw!$F$2:$F$500) = TIME(0,0,0), "", SUMIF(Raw!$A$2:$A$500, MHT!A180, Raw!$F$2:$F$500))</f>
        <v/>
      </c>
      <c r="F180" s="12" t="str">
        <f t="array" ref="F180">IF(A180="", "", IF(COUNTIF(Raw!$H$1:$I$500, A180) &gt; 0, "Done", IF(COUNTIF(Raw!$J$1:$J$500, A180) &gt; 0, "Pause", IF(COUNTIF(Raw!$K$1:$K$500, A180) &gt; 0, "On-Going", "Pause"))))</f>
        <v/>
      </c>
      <c r="G180" s="51"/>
      <c r="H180" s="50"/>
    </row>
    <row r="181" spans="1:8" x14ac:dyDescent="0.4">
      <c r="A181" s="61"/>
      <c r="B181" s="16" t="str">
        <f t="array" ref="B181">IFERROR(MIN(IF(Raw!$A$2:$A$26=MHT!A181,Raw!$B$2:$B$20)),"")</f>
        <v/>
      </c>
      <c r="C181" s="13" t="str">
        <f t="array" ref="C181">IFERROR(MIN(IF(Raw!$A$2:$A$26=MHT!A181,Raw!$C$2:$C$20)),"")</f>
        <v/>
      </c>
      <c r="D181" s="14" t="str">
        <f t="array" ref="D181">IF(Raw!D174="","",IFERROR(MAX(IF(Raw!$A$2:$A$26=MHT!A181,Raw!$D$2:$D$20)),""))</f>
        <v/>
      </c>
      <c r="E181" s="6" t="str">
        <f>IF(SUMIF(Raw!$A$2:$A$500, MHT!A181, Raw!$F$2:$F$500) = TIME(0,0,0), "", SUMIF(Raw!$A$2:$A$500, MHT!A181, Raw!$F$2:$F$500))</f>
        <v/>
      </c>
      <c r="F181" s="12" t="str">
        <f t="array" ref="F181">IF(A181="", "", IF(COUNTIF(Raw!$H$1:$I$500, A181) &gt; 0, "Done", IF(COUNTIF(Raw!$J$1:$J$500, A181) &gt; 0, "Pause", IF(COUNTIF(Raw!$K$1:$K$500, A181) &gt; 0, "On-Going", "Pause"))))</f>
        <v/>
      </c>
      <c r="G181" s="51"/>
      <c r="H181" s="50"/>
    </row>
    <row r="182" spans="1:8" x14ac:dyDescent="0.4">
      <c r="A182" s="61"/>
      <c r="B182" s="16" t="str">
        <f t="array" ref="B182">IFERROR(MIN(IF(Raw!$A$2:$A$26=MHT!A182,Raw!$B$2:$B$20)),"")</f>
        <v/>
      </c>
      <c r="C182" s="13" t="str">
        <f t="array" ref="C182">IFERROR(MIN(IF(Raw!$A$2:$A$26=MHT!A182,Raw!$C$2:$C$20)),"")</f>
        <v/>
      </c>
      <c r="D182" s="14" t="str">
        <f t="array" ref="D182">IF(Raw!D175="","",IFERROR(MAX(IF(Raw!$A$2:$A$26=MHT!A182,Raw!$D$2:$D$20)),""))</f>
        <v/>
      </c>
      <c r="E182" s="6" t="str">
        <f>IF(SUMIF(Raw!$A$2:$A$500, MHT!A182, Raw!$F$2:$F$500) = TIME(0,0,0), "", SUMIF(Raw!$A$2:$A$500, MHT!A182, Raw!$F$2:$F$500))</f>
        <v/>
      </c>
      <c r="F182" s="12" t="str">
        <f t="array" ref="F182">IF(A182="", "", IF(COUNTIF(Raw!$H$1:$I$500, A182) &gt; 0, "Done", IF(COUNTIF(Raw!$J$1:$J$500, A182) &gt; 0, "Pause", IF(COUNTIF(Raw!$K$1:$K$500, A182) &gt; 0, "On-Going", "Pause"))))</f>
        <v/>
      </c>
      <c r="G182" s="51"/>
      <c r="H182" s="50"/>
    </row>
    <row r="183" spans="1:8" x14ac:dyDescent="0.4">
      <c r="A183" s="61"/>
      <c r="B183" s="16" t="str">
        <f t="array" ref="B183">IFERROR(MIN(IF(Raw!$A$2:$A$26=MHT!A183,Raw!$B$2:$B$20)),"")</f>
        <v/>
      </c>
      <c r="C183" s="13" t="str">
        <f t="array" ref="C183">IFERROR(MIN(IF(Raw!$A$2:$A$26=MHT!A183,Raw!$C$2:$C$20)),"")</f>
        <v/>
      </c>
      <c r="D183" s="14" t="str">
        <f t="array" ref="D183">IF(Raw!D176="","",IFERROR(MAX(IF(Raw!$A$2:$A$26=MHT!A183,Raw!$D$2:$D$20)),""))</f>
        <v/>
      </c>
      <c r="E183" s="6" t="str">
        <f>IF(SUMIF(Raw!$A$2:$A$500, MHT!A183, Raw!$F$2:$F$500) = TIME(0,0,0), "", SUMIF(Raw!$A$2:$A$500, MHT!A183, Raw!$F$2:$F$500))</f>
        <v/>
      </c>
      <c r="F183" s="12" t="str">
        <f t="array" ref="F183">IF(A183="", "", IF(COUNTIF(Raw!$H$1:$I$500, A183) &gt; 0, "Done", IF(COUNTIF(Raw!$J$1:$J$500, A183) &gt; 0, "Pause", IF(COUNTIF(Raw!$K$1:$K$500, A183) &gt; 0, "On-Going", "Pause"))))</f>
        <v/>
      </c>
      <c r="G183" s="51"/>
      <c r="H183" s="50"/>
    </row>
    <row r="184" spans="1:8" x14ac:dyDescent="0.4">
      <c r="A184" s="61"/>
      <c r="B184" s="16" t="str">
        <f t="array" ref="B184">IFERROR(MIN(IF(Raw!$A$2:$A$26=MHT!A184,Raw!$B$2:$B$20)),"")</f>
        <v/>
      </c>
      <c r="C184" s="13" t="str">
        <f t="array" ref="C184">IFERROR(MIN(IF(Raw!$A$2:$A$26=MHT!A184,Raw!$C$2:$C$20)),"")</f>
        <v/>
      </c>
      <c r="D184" s="14" t="str">
        <f t="array" ref="D184">IF(Raw!D177="","",IFERROR(MAX(IF(Raw!$A$2:$A$26=MHT!A184,Raw!$D$2:$D$20)),""))</f>
        <v/>
      </c>
      <c r="E184" s="6" t="str">
        <f>IF(SUMIF(Raw!$A$2:$A$500, MHT!A184, Raw!$F$2:$F$500) = TIME(0,0,0), "", SUMIF(Raw!$A$2:$A$500, MHT!A184, Raw!$F$2:$F$500))</f>
        <v/>
      </c>
      <c r="F184" s="12" t="str">
        <f t="array" ref="F184">IF(A184="", "", IF(COUNTIF(Raw!$H$1:$I$500, A184) &gt; 0, "Done", IF(COUNTIF(Raw!$J$1:$J$500, A184) &gt; 0, "Pause", IF(COUNTIF(Raw!$K$1:$K$500, A184) &gt; 0, "On-Going", "Pause"))))</f>
        <v/>
      </c>
      <c r="G184" s="51"/>
      <c r="H184" s="50"/>
    </row>
    <row r="185" spans="1:8" x14ac:dyDescent="0.4">
      <c r="A185" s="61"/>
      <c r="B185" s="16" t="str">
        <f t="array" ref="B185">IFERROR(MIN(IF(Raw!$A$2:$A$26=MHT!A185,Raw!$B$2:$B$20)),"")</f>
        <v/>
      </c>
      <c r="C185" s="13" t="str">
        <f t="array" ref="C185">IFERROR(MIN(IF(Raw!$A$2:$A$26=MHT!A185,Raw!$C$2:$C$20)),"")</f>
        <v/>
      </c>
      <c r="D185" s="14" t="str">
        <f t="array" ref="D185">IF(Raw!D178="","",IFERROR(MAX(IF(Raw!$A$2:$A$26=MHT!A185,Raw!$D$2:$D$20)),""))</f>
        <v/>
      </c>
      <c r="E185" s="6" t="str">
        <f>IF(SUMIF(Raw!$A$2:$A$500, MHT!A185, Raw!$F$2:$F$500) = TIME(0,0,0), "", SUMIF(Raw!$A$2:$A$500, MHT!A185, Raw!$F$2:$F$500))</f>
        <v/>
      </c>
      <c r="F185" s="12" t="str">
        <f t="array" ref="F185">IF(A185="", "", IF(COUNTIF(Raw!$H$1:$I$500, A185) &gt; 0, "Done", IF(COUNTIF(Raw!$J$1:$J$500, A185) &gt; 0, "Pause", IF(COUNTIF(Raw!$K$1:$K$500, A185) &gt; 0, "On-Going", "Pause"))))</f>
        <v/>
      </c>
      <c r="G185" s="51"/>
      <c r="H185" s="50"/>
    </row>
    <row r="186" spans="1:8" x14ac:dyDescent="0.4">
      <c r="A186" s="61"/>
      <c r="B186" s="16" t="str">
        <f t="array" ref="B186">IFERROR(MIN(IF(Raw!$A$2:$A$26=MHT!A186,Raw!$B$2:$B$20)),"")</f>
        <v/>
      </c>
      <c r="C186" s="13" t="str">
        <f t="array" ref="C186">IFERROR(MIN(IF(Raw!$A$2:$A$26=MHT!A186,Raw!$C$2:$C$20)),"")</f>
        <v/>
      </c>
      <c r="D186" s="14" t="str">
        <f t="array" ref="D186">IF(Raw!D179="","",IFERROR(MAX(IF(Raw!$A$2:$A$26=MHT!A186,Raw!$D$2:$D$20)),""))</f>
        <v/>
      </c>
      <c r="E186" s="6" t="str">
        <f>IF(SUMIF(Raw!$A$2:$A$500, MHT!A186, Raw!$F$2:$F$500) = TIME(0,0,0), "", SUMIF(Raw!$A$2:$A$500, MHT!A186, Raw!$F$2:$F$500))</f>
        <v/>
      </c>
      <c r="F186" s="12" t="str">
        <f t="array" ref="F186">IF(A186="", "", IF(COUNTIF(Raw!$H$1:$I$500, A186) &gt; 0, "Done", IF(COUNTIF(Raw!$J$1:$J$500, A186) &gt; 0, "Pause", IF(COUNTIF(Raw!$K$1:$K$500, A186) &gt; 0, "On-Going", "Pause"))))</f>
        <v/>
      </c>
      <c r="G186" s="51"/>
      <c r="H186" s="50"/>
    </row>
    <row r="187" spans="1:8" x14ac:dyDescent="0.4">
      <c r="A187" s="61"/>
      <c r="B187" s="16" t="str">
        <f t="array" ref="B187">IFERROR(MIN(IF(Raw!$A$2:$A$26=MHT!A187,Raw!$B$2:$B$20)),"")</f>
        <v/>
      </c>
      <c r="C187" s="13" t="str">
        <f t="array" ref="C187">IFERROR(MIN(IF(Raw!$A$2:$A$26=MHT!A187,Raw!$C$2:$C$20)),"")</f>
        <v/>
      </c>
      <c r="D187" s="14" t="str">
        <f t="array" ref="D187">IF(Raw!D180="","",IFERROR(MAX(IF(Raw!$A$2:$A$26=MHT!A187,Raw!$D$2:$D$20)),""))</f>
        <v/>
      </c>
      <c r="E187" s="6" t="str">
        <f>IF(SUMIF(Raw!$A$2:$A$500, MHT!A187, Raw!$F$2:$F$500) = TIME(0,0,0), "", SUMIF(Raw!$A$2:$A$500, MHT!A187, Raw!$F$2:$F$500))</f>
        <v/>
      </c>
      <c r="F187" s="12" t="str">
        <f t="array" ref="F187">IF(A187="", "", IF(COUNTIF(Raw!$H$1:$I$500, A187) &gt; 0, "Done", IF(COUNTIF(Raw!$J$1:$J$500, A187) &gt; 0, "Pause", IF(COUNTIF(Raw!$K$1:$K$500, A187) &gt; 0, "On-Going", "Pause"))))</f>
        <v/>
      </c>
      <c r="G187" s="51"/>
      <c r="H187" s="50"/>
    </row>
    <row r="188" spans="1:8" x14ac:dyDescent="0.4">
      <c r="A188" s="61"/>
      <c r="B188" s="16" t="str">
        <f t="array" ref="B188">IFERROR(MIN(IF(Raw!$A$2:$A$26=MHT!A188,Raw!$B$2:$B$20)),"")</f>
        <v/>
      </c>
      <c r="C188" s="13" t="str">
        <f t="array" ref="C188">IFERROR(MIN(IF(Raw!$A$2:$A$26=MHT!A188,Raw!$C$2:$C$20)),"")</f>
        <v/>
      </c>
      <c r="D188" s="14" t="str">
        <f t="array" ref="D188">IF(Raw!D181="","",IFERROR(MAX(IF(Raw!$A$2:$A$26=MHT!A188,Raw!$D$2:$D$20)),""))</f>
        <v/>
      </c>
      <c r="E188" s="6" t="str">
        <f>IF(SUMIF(Raw!$A$2:$A$500, MHT!A188, Raw!$F$2:$F$500) = TIME(0,0,0), "", SUMIF(Raw!$A$2:$A$500, MHT!A188, Raw!$F$2:$F$500))</f>
        <v/>
      </c>
      <c r="F188" s="12" t="str">
        <f t="array" ref="F188">IF(A188="", "", IF(COUNTIF(Raw!$H$1:$I$500, A188) &gt; 0, "Done", IF(COUNTIF(Raw!$J$1:$J$500, A188) &gt; 0, "Pause", IF(COUNTIF(Raw!$K$1:$K$500, A188) &gt; 0, "On-Going", "Pause"))))</f>
        <v/>
      </c>
      <c r="G188" s="51"/>
      <c r="H188" s="50"/>
    </row>
    <row r="189" spans="1:8" x14ac:dyDescent="0.4">
      <c r="A189" s="61"/>
      <c r="B189" s="16" t="str">
        <f t="array" ref="B189">IFERROR(MIN(IF(Raw!$A$2:$A$26=MHT!A189,Raw!$B$2:$B$20)),"")</f>
        <v/>
      </c>
      <c r="C189" s="13" t="str">
        <f t="array" ref="C189">IFERROR(MIN(IF(Raw!$A$2:$A$26=MHT!A189,Raw!$C$2:$C$20)),"")</f>
        <v/>
      </c>
      <c r="D189" s="14" t="str">
        <f t="array" ref="D189">IF(Raw!D182="","",IFERROR(MAX(IF(Raw!$A$2:$A$26=MHT!A189,Raw!$D$2:$D$20)),""))</f>
        <v/>
      </c>
      <c r="E189" s="6" t="str">
        <f>IF(SUMIF(Raw!$A$2:$A$500, MHT!A189, Raw!$F$2:$F$500) = TIME(0,0,0), "", SUMIF(Raw!$A$2:$A$500, MHT!A189, Raw!$F$2:$F$500))</f>
        <v/>
      </c>
      <c r="F189" s="12" t="str">
        <f t="array" ref="F189">IF(A189="", "", IF(COUNTIF(Raw!$H$1:$I$500, A189) &gt; 0, "Done", IF(COUNTIF(Raw!$J$1:$J$500, A189) &gt; 0, "Pause", IF(COUNTIF(Raw!$K$1:$K$500, A189) &gt; 0, "On-Going", "Pause"))))</f>
        <v/>
      </c>
      <c r="G189" s="51"/>
      <c r="H189" s="50"/>
    </row>
    <row r="190" spans="1:8" x14ac:dyDescent="0.4">
      <c r="A190" s="61"/>
      <c r="B190" s="16" t="str">
        <f t="array" ref="B190">IFERROR(MIN(IF(Raw!$A$2:$A$26=MHT!A190,Raw!$B$2:$B$20)),"")</f>
        <v/>
      </c>
      <c r="C190" s="13" t="str">
        <f t="array" ref="C190">IFERROR(MIN(IF(Raw!$A$2:$A$26=MHT!A190,Raw!$C$2:$C$20)),"")</f>
        <v/>
      </c>
      <c r="D190" s="14" t="str">
        <f t="array" ref="D190">IF(Raw!D183="","",IFERROR(MAX(IF(Raw!$A$2:$A$26=MHT!A190,Raw!$D$2:$D$20)),""))</f>
        <v/>
      </c>
      <c r="E190" s="6" t="str">
        <f>IF(SUMIF(Raw!$A$2:$A$500, MHT!A190, Raw!$F$2:$F$500) = TIME(0,0,0), "", SUMIF(Raw!$A$2:$A$500, MHT!A190, Raw!$F$2:$F$500))</f>
        <v/>
      </c>
      <c r="F190" s="12" t="str">
        <f t="array" ref="F190">IF(A190="", "", IF(COUNTIF(Raw!$H$1:$I$500, A190) &gt; 0, "Done", IF(COUNTIF(Raw!$J$1:$J$500, A190) &gt; 0, "Pause", IF(COUNTIF(Raw!$K$1:$K$500, A190) &gt; 0, "On-Going", "Pause"))))</f>
        <v/>
      </c>
      <c r="G190" s="51"/>
      <c r="H190" s="50"/>
    </row>
    <row r="191" spans="1:8" x14ac:dyDescent="0.4">
      <c r="A191" s="61"/>
      <c r="B191" s="16" t="str">
        <f t="array" ref="B191">IFERROR(MIN(IF(Raw!$A$2:$A$26=MHT!A191,Raw!$B$2:$B$20)),"")</f>
        <v/>
      </c>
      <c r="C191" s="13" t="str">
        <f t="array" ref="C191">IFERROR(MIN(IF(Raw!$A$2:$A$26=MHT!A191,Raw!$C$2:$C$20)),"")</f>
        <v/>
      </c>
      <c r="D191" s="14" t="str">
        <f t="array" ref="D191">IF(Raw!D184="","",IFERROR(MAX(IF(Raw!$A$2:$A$26=MHT!A191,Raw!$D$2:$D$20)),""))</f>
        <v/>
      </c>
      <c r="E191" s="6" t="str">
        <f>IF(SUMIF(Raw!$A$2:$A$500, MHT!A191, Raw!$F$2:$F$500) = TIME(0,0,0), "", SUMIF(Raw!$A$2:$A$500, MHT!A191, Raw!$F$2:$F$500))</f>
        <v/>
      </c>
      <c r="F191" s="12" t="str">
        <f t="array" ref="F191">IF(A191="", "", IF(COUNTIF(Raw!$H$1:$I$500, A191) &gt; 0, "Done", IF(COUNTIF(Raw!$J$1:$J$500, A191) &gt; 0, "Pause", IF(COUNTIF(Raw!$K$1:$K$500, A191) &gt; 0, "On-Going", "Pause"))))</f>
        <v/>
      </c>
      <c r="G191" s="51"/>
      <c r="H191" s="50"/>
    </row>
    <row r="192" spans="1:8" x14ac:dyDescent="0.4">
      <c r="A192" s="61"/>
      <c r="B192" s="16" t="str">
        <f t="array" ref="B192">IFERROR(MIN(IF(Raw!$A$2:$A$26=MHT!A192,Raw!$B$2:$B$20)),"")</f>
        <v/>
      </c>
      <c r="C192" s="13" t="str">
        <f t="array" ref="C192">IFERROR(MIN(IF(Raw!$A$2:$A$26=MHT!A192,Raw!$C$2:$C$20)),"")</f>
        <v/>
      </c>
      <c r="D192" s="14" t="str">
        <f t="array" ref="D192">IF(Raw!D185="","",IFERROR(MAX(IF(Raw!$A$2:$A$26=MHT!A192,Raw!$D$2:$D$20)),""))</f>
        <v/>
      </c>
      <c r="E192" s="6" t="str">
        <f>IF(SUMIF(Raw!$A$2:$A$500, MHT!A192, Raw!$F$2:$F$500) = TIME(0,0,0), "", SUMIF(Raw!$A$2:$A$500, MHT!A192, Raw!$F$2:$F$500))</f>
        <v/>
      </c>
      <c r="F192" s="12" t="str">
        <f t="array" ref="F192">IF(A192="", "", IF(COUNTIF(Raw!$H$1:$I$500, A192) &gt; 0, "Done", IF(COUNTIF(Raw!$J$1:$J$500, A192) &gt; 0, "Pause", IF(COUNTIF(Raw!$K$1:$K$500, A192) &gt; 0, "On-Going", "Pause"))))</f>
        <v/>
      </c>
      <c r="G192" s="51"/>
      <c r="H192" s="50"/>
    </row>
    <row r="193" spans="1:8" x14ac:dyDescent="0.4">
      <c r="A193" s="61"/>
      <c r="B193" s="16" t="str">
        <f t="array" ref="B193">IFERROR(MIN(IF(Raw!$A$2:$A$26=MHT!A193,Raw!$B$2:$B$20)),"")</f>
        <v/>
      </c>
      <c r="C193" s="13" t="str">
        <f t="array" ref="C193">IFERROR(MIN(IF(Raw!$A$2:$A$26=MHT!A193,Raw!$C$2:$C$20)),"")</f>
        <v/>
      </c>
      <c r="D193" s="14" t="str">
        <f t="array" ref="D193">IF(Raw!D186="","",IFERROR(MAX(IF(Raw!$A$2:$A$26=MHT!A193,Raw!$D$2:$D$20)),""))</f>
        <v/>
      </c>
      <c r="E193" s="6" t="str">
        <f>IF(SUMIF(Raw!$A$2:$A$500, MHT!A193, Raw!$F$2:$F$500) = TIME(0,0,0), "", SUMIF(Raw!$A$2:$A$500, MHT!A193, Raw!$F$2:$F$500))</f>
        <v/>
      </c>
      <c r="F193" s="12" t="str">
        <f t="array" ref="F193">IF(A193="", "", IF(COUNTIF(Raw!$H$1:$I$500, A193) &gt; 0, "Done", IF(COUNTIF(Raw!$J$1:$J$500, A193) &gt; 0, "Pause", IF(COUNTIF(Raw!$K$1:$K$500, A193) &gt; 0, "On-Going", "Pause"))))</f>
        <v/>
      </c>
      <c r="G193" s="51"/>
      <c r="H193" s="50"/>
    </row>
    <row r="194" spans="1:8" x14ac:dyDescent="0.4">
      <c r="A194" s="61"/>
      <c r="B194" s="16" t="str">
        <f t="array" ref="B194">IFERROR(MIN(IF(Raw!$A$2:$A$26=MHT!A194,Raw!$B$2:$B$20)),"")</f>
        <v/>
      </c>
      <c r="C194" s="13" t="str">
        <f t="array" ref="C194">IFERROR(MIN(IF(Raw!$A$2:$A$26=MHT!A194,Raw!$C$2:$C$20)),"")</f>
        <v/>
      </c>
      <c r="D194" s="14" t="str">
        <f t="array" ref="D194">IF(Raw!D187="","",IFERROR(MAX(IF(Raw!$A$2:$A$26=MHT!A194,Raw!$D$2:$D$20)),""))</f>
        <v/>
      </c>
      <c r="E194" s="6" t="str">
        <f>IF(SUMIF(Raw!$A$2:$A$500, MHT!A194, Raw!$F$2:$F$500) = TIME(0,0,0), "", SUMIF(Raw!$A$2:$A$500, MHT!A194, Raw!$F$2:$F$500))</f>
        <v/>
      </c>
      <c r="F194" s="12" t="str">
        <f t="array" ref="F194">IF(A194="", "", IF(COUNTIF(Raw!$H$1:$I$500, A194) &gt; 0, "Done", IF(COUNTIF(Raw!$J$1:$J$500, A194) &gt; 0, "Pause", IF(COUNTIF(Raw!$K$1:$K$500, A194) &gt; 0, "On-Going", "Pause"))))</f>
        <v/>
      </c>
      <c r="G194" s="51"/>
      <c r="H194" s="50"/>
    </row>
    <row r="195" spans="1:8" x14ac:dyDescent="0.4">
      <c r="A195" s="61"/>
      <c r="B195" s="16" t="str">
        <f t="array" ref="B195">IFERROR(MIN(IF(Raw!$A$2:$A$26=MHT!A195,Raw!$B$2:$B$20)),"")</f>
        <v/>
      </c>
      <c r="C195" s="13" t="str">
        <f t="array" ref="C195">IFERROR(MIN(IF(Raw!$A$2:$A$26=MHT!A195,Raw!$C$2:$C$20)),"")</f>
        <v/>
      </c>
      <c r="D195" s="14" t="str">
        <f t="array" ref="D195">IF(Raw!D188="","",IFERROR(MAX(IF(Raw!$A$2:$A$26=MHT!A195,Raw!$D$2:$D$20)),""))</f>
        <v/>
      </c>
      <c r="E195" s="6" t="str">
        <f>IF(SUMIF(Raw!$A$2:$A$500, MHT!A195, Raw!$F$2:$F$500) = TIME(0,0,0), "", SUMIF(Raw!$A$2:$A$500, MHT!A195, Raw!$F$2:$F$500))</f>
        <v/>
      </c>
      <c r="F195" s="12" t="str">
        <f t="array" ref="F195">IF(A195="", "", IF(COUNTIF(Raw!$H$1:$I$500, A195) &gt; 0, "Done", IF(COUNTIF(Raw!$J$1:$J$500, A195) &gt; 0, "Pause", IF(COUNTIF(Raw!$K$1:$K$500, A195) &gt; 0, "On-Going", "Pause"))))</f>
        <v/>
      </c>
      <c r="G195" s="51"/>
      <c r="H195" s="50"/>
    </row>
    <row r="196" spans="1:8" x14ac:dyDescent="0.4">
      <c r="A196" s="61"/>
      <c r="B196" s="16" t="str">
        <f t="array" ref="B196">IFERROR(MIN(IF(Raw!$A$2:$A$26=MHT!A196,Raw!$B$2:$B$20)),"")</f>
        <v/>
      </c>
      <c r="C196" s="13" t="str">
        <f t="array" ref="C196">IFERROR(MIN(IF(Raw!$A$2:$A$26=MHT!A196,Raw!$C$2:$C$20)),"")</f>
        <v/>
      </c>
      <c r="D196" s="14" t="str">
        <f t="array" ref="D196">IF(Raw!D189="","",IFERROR(MAX(IF(Raw!$A$2:$A$26=MHT!A196,Raw!$D$2:$D$20)),""))</f>
        <v/>
      </c>
      <c r="E196" s="6" t="str">
        <f>IF(SUMIF(Raw!$A$2:$A$500, MHT!A196, Raw!$F$2:$F$500) = TIME(0,0,0), "", SUMIF(Raw!$A$2:$A$500, MHT!A196, Raw!$F$2:$F$500))</f>
        <v/>
      </c>
      <c r="F196" s="12" t="str">
        <f t="array" ref="F196">IF(A196="", "", IF(COUNTIF(Raw!$H$1:$I$500, A196) &gt; 0, "Done", IF(COUNTIF(Raw!$J$1:$J$500, A196) &gt; 0, "Pause", IF(COUNTIF(Raw!$K$1:$K$500, A196) &gt; 0, "On-Going", "Pause"))))</f>
        <v/>
      </c>
      <c r="G196" s="51"/>
      <c r="H196" s="50"/>
    </row>
    <row r="197" spans="1:8" x14ac:dyDescent="0.4">
      <c r="A197" s="61"/>
      <c r="B197" s="16" t="str">
        <f t="array" ref="B197">IFERROR(MIN(IF(Raw!$A$2:$A$26=MHT!A197,Raw!$B$2:$B$20)),"")</f>
        <v/>
      </c>
      <c r="C197" s="13" t="str">
        <f t="array" ref="C197">IFERROR(MIN(IF(Raw!$A$2:$A$26=MHT!A197,Raw!$C$2:$C$20)),"")</f>
        <v/>
      </c>
      <c r="D197" s="14" t="str">
        <f t="array" ref="D197">IF(Raw!D190="","",IFERROR(MAX(IF(Raw!$A$2:$A$26=MHT!A197,Raw!$D$2:$D$20)),""))</f>
        <v/>
      </c>
      <c r="E197" s="6" t="str">
        <f>IF(SUMIF(Raw!$A$2:$A$500, MHT!A197, Raw!$F$2:$F$500) = TIME(0,0,0), "", SUMIF(Raw!$A$2:$A$500, MHT!A197, Raw!$F$2:$F$500))</f>
        <v/>
      </c>
      <c r="F197" s="12" t="str">
        <f t="array" ref="F197">IF(A197="", "", IF(COUNTIF(Raw!$H$1:$I$500, A197) &gt; 0, "Done", IF(COUNTIF(Raw!$J$1:$J$500, A197) &gt; 0, "Pause", IF(COUNTIF(Raw!$K$1:$K$500, A197) &gt; 0, "On-Going", "Pause"))))</f>
        <v/>
      </c>
      <c r="G197" s="51"/>
      <c r="H197" s="50"/>
    </row>
    <row r="198" spans="1:8" x14ac:dyDescent="0.4">
      <c r="A198" s="61"/>
      <c r="B198" s="16" t="str">
        <f t="array" ref="B198">IFERROR(MIN(IF(Raw!$A$2:$A$26=MHT!A198,Raw!$B$2:$B$20)),"")</f>
        <v/>
      </c>
      <c r="C198" s="13" t="str">
        <f t="array" ref="C198">IFERROR(MIN(IF(Raw!$A$2:$A$26=MHT!A198,Raw!$C$2:$C$20)),"")</f>
        <v/>
      </c>
      <c r="D198" s="14" t="str">
        <f t="array" ref="D198">IF(Raw!D191="","",IFERROR(MAX(IF(Raw!$A$2:$A$26=MHT!A198,Raw!$D$2:$D$20)),""))</f>
        <v/>
      </c>
      <c r="E198" s="6" t="str">
        <f>IF(SUMIF(Raw!$A$2:$A$500, MHT!A198, Raw!$F$2:$F$500) = TIME(0,0,0), "", SUMIF(Raw!$A$2:$A$500, MHT!A198, Raw!$F$2:$F$500))</f>
        <v/>
      </c>
      <c r="F198" s="12" t="str">
        <f t="array" ref="F198">IF(A198="", "", IF(COUNTIF(Raw!$H$1:$I$500, A198) &gt; 0, "Done", IF(COUNTIF(Raw!$J$1:$J$500, A198) &gt; 0, "Pause", IF(COUNTIF(Raw!$K$1:$K$500, A198) &gt; 0, "On-Going", "Pause"))))</f>
        <v/>
      </c>
      <c r="G198" s="51"/>
      <c r="H198" s="50"/>
    </row>
    <row r="199" spans="1:8" x14ac:dyDescent="0.4">
      <c r="A199" s="61"/>
      <c r="B199" s="16" t="str">
        <f t="array" ref="B199">IFERROR(MIN(IF(Raw!$A$2:$A$26=MHT!A199,Raw!$B$2:$B$20)),"")</f>
        <v/>
      </c>
      <c r="C199" s="13" t="str">
        <f t="array" ref="C199">IFERROR(MIN(IF(Raw!$A$2:$A$26=MHT!A199,Raw!$C$2:$C$20)),"")</f>
        <v/>
      </c>
      <c r="D199" s="14" t="str">
        <f t="array" ref="D199">IF(Raw!D192="","",IFERROR(MAX(IF(Raw!$A$2:$A$26=MHT!A199,Raw!$D$2:$D$20)),""))</f>
        <v/>
      </c>
      <c r="E199" s="6" t="str">
        <f>IF(SUMIF(Raw!$A$2:$A$500, MHT!A199, Raw!$F$2:$F$500) = TIME(0,0,0), "", SUMIF(Raw!$A$2:$A$500, MHT!A199, Raw!$F$2:$F$500))</f>
        <v/>
      </c>
      <c r="F199" s="12" t="str">
        <f t="array" ref="F199">IF(A199="", "", IF(COUNTIF(Raw!$H$1:$I$500, A199) &gt; 0, "Done", IF(COUNTIF(Raw!$J$1:$J$500, A199) &gt; 0, "Pause", IF(COUNTIF(Raw!$K$1:$K$500, A199) &gt; 0, "On-Going", "Pause"))))</f>
        <v/>
      </c>
      <c r="G199" s="51"/>
      <c r="H199" s="50"/>
    </row>
    <row r="200" spans="1:8" x14ac:dyDescent="0.4">
      <c r="A200" s="61"/>
      <c r="B200" s="16" t="str">
        <f t="array" ref="B200">IFERROR(MIN(IF(Raw!$A$2:$A$26=MHT!A200,Raw!$B$2:$B$20)),"")</f>
        <v/>
      </c>
      <c r="C200" s="13" t="str">
        <f t="array" ref="C200">IFERROR(MIN(IF(Raw!$A$2:$A$26=MHT!A200,Raw!$C$2:$C$20)),"")</f>
        <v/>
      </c>
      <c r="D200" s="14" t="str">
        <f t="array" ref="D200">IF(Raw!D193="","",IFERROR(MAX(IF(Raw!$A$2:$A$26=MHT!A200,Raw!$D$2:$D$20)),""))</f>
        <v/>
      </c>
      <c r="E200" s="6" t="str">
        <f>IF(SUMIF(Raw!$A$2:$A$500, MHT!A200, Raw!$F$2:$F$500) = TIME(0,0,0), "", SUMIF(Raw!$A$2:$A$500, MHT!A200, Raw!$F$2:$F$500))</f>
        <v/>
      </c>
      <c r="F200" s="12" t="str">
        <f t="array" ref="F200">IF(A200="", "", IF(COUNTIF(Raw!$H$1:$I$500, A200) &gt; 0, "Done", IF(COUNTIF(Raw!$J$1:$J$500, A200) &gt; 0, "Pause", IF(COUNTIF(Raw!$K$1:$K$500, A200) &gt; 0, "On-Going", "Pause"))))</f>
        <v/>
      </c>
      <c r="G200" s="51"/>
      <c r="H200" s="50"/>
    </row>
    <row r="201" spans="1:8" x14ac:dyDescent="0.4">
      <c r="A201" s="61"/>
      <c r="B201" s="16" t="str">
        <f t="array" ref="B201">IFERROR(MIN(IF(Raw!$A$2:$A$26=MHT!A201,Raw!$B$2:$B$20)),"")</f>
        <v/>
      </c>
      <c r="C201" s="13" t="str">
        <f t="array" ref="C201">IFERROR(MIN(IF(Raw!$A$2:$A$26=MHT!A201,Raw!$C$2:$C$20)),"")</f>
        <v/>
      </c>
      <c r="D201" s="14" t="str">
        <f t="array" ref="D201">IF(Raw!D194="","",IFERROR(MAX(IF(Raw!$A$2:$A$26=MHT!A201,Raw!$D$2:$D$20)),""))</f>
        <v/>
      </c>
      <c r="E201" s="6" t="str">
        <f>IF(SUMIF(Raw!$A$2:$A$500, MHT!A201, Raw!$F$2:$F$500) = TIME(0,0,0), "", SUMIF(Raw!$A$2:$A$500, MHT!A201, Raw!$F$2:$F$500))</f>
        <v/>
      </c>
      <c r="F201" s="12" t="str">
        <f t="array" ref="F201">IF(A201="", "", IF(COUNTIF(Raw!$H$1:$I$500, A201) &gt; 0, "Done", IF(COUNTIF(Raw!$J$1:$J$500, A201) &gt; 0, "Pause", IF(COUNTIF(Raw!$K$1:$K$500, A201) &gt; 0, "On-Going", "Pause"))))</f>
        <v/>
      </c>
      <c r="G201" s="51"/>
      <c r="H201" s="50"/>
    </row>
    <row r="202" spans="1:8" x14ac:dyDescent="0.4">
      <c r="A202" s="61"/>
      <c r="B202" s="16" t="str">
        <f t="array" ref="B202">IFERROR(MIN(IF(Raw!$A$2:$A$26=MHT!A202,Raw!$B$2:$B$20)),"")</f>
        <v/>
      </c>
      <c r="C202" s="13" t="str">
        <f t="array" ref="C202">IFERROR(MIN(IF(Raw!$A$2:$A$26=MHT!A202,Raw!$C$2:$C$20)),"")</f>
        <v/>
      </c>
      <c r="D202" s="14" t="str">
        <f t="array" ref="D202">IF(Raw!D195="","",IFERROR(MAX(IF(Raw!$A$2:$A$26=MHT!A202,Raw!$D$2:$D$20)),""))</f>
        <v/>
      </c>
      <c r="E202" s="6" t="str">
        <f>IF(SUMIF(Raw!$A$2:$A$500, MHT!A202, Raw!$F$2:$F$500) = TIME(0,0,0), "", SUMIF(Raw!$A$2:$A$500, MHT!A202, Raw!$F$2:$F$500))</f>
        <v/>
      </c>
      <c r="F202" s="12" t="str">
        <f t="array" ref="F202">IF(A202="", "", IF(COUNTIF(Raw!$H$1:$I$500, A202) &gt; 0, "Done", IF(COUNTIF(Raw!$J$1:$J$500, A202) &gt; 0, "Pause", IF(COUNTIF(Raw!$K$1:$K$500, A202) &gt; 0, "On-Going", "Pause"))))</f>
        <v/>
      </c>
      <c r="G202" s="51"/>
      <c r="H202" s="50"/>
    </row>
    <row r="203" spans="1:8" x14ac:dyDescent="0.4">
      <c r="A203" s="61"/>
      <c r="B203" s="16" t="str">
        <f t="array" ref="B203">IFERROR(MIN(IF(Raw!$A$2:$A$26=MHT!A203,Raw!$B$2:$B$20)),"")</f>
        <v/>
      </c>
      <c r="C203" s="13" t="str">
        <f t="array" ref="C203">IFERROR(MIN(IF(Raw!$A$2:$A$26=MHT!A203,Raw!$C$2:$C$20)),"")</f>
        <v/>
      </c>
      <c r="D203" s="14" t="str">
        <f t="array" ref="D203">IF(Raw!D196="","",IFERROR(MAX(IF(Raw!$A$2:$A$26=MHT!A203,Raw!$D$2:$D$20)),""))</f>
        <v/>
      </c>
      <c r="E203" s="6" t="str">
        <f>IF(SUMIF(Raw!$A$2:$A$500, MHT!A203, Raw!$F$2:$F$500) = TIME(0,0,0), "", SUMIF(Raw!$A$2:$A$500, MHT!A203, Raw!$F$2:$F$500))</f>
        <v/>
      </c>
      <c r="F203" s="12" t="str">
        <f t="array" ref="F203">IF(A203="", "", IF(COUNTIF(Raw!$H$1:$I$500, A203) &gt; 0, "Done", IF(COUNTIF(Raw!$J$1:$J$500, A203) &gt; 0, "Pause", IF(COUNTIF(Raw!$K$1:$K$500, A203) &gt; 0, "On-Going", "Pause"))))</f>
        <v/>
      </c>
      <c r="G203" s="51"/>
      <c r="H203" s="50"/>
    </row>
    <row r="204" spans="1:8" x14ac:dyDescent="0.4">
      <c r="A204" s="61"/>
      <c r="B204" s="16" t="str">
        <f t="array" ref="B204">IFERROR(MIN(IF(Raw!$A$2:$A$26=MHT!A204,Raw!$B$2:$B$20)),"")</f>
        <v/>
      </c>
      <c r="C204" s="13" t="str">
        <f t="array" ref="C204">IFERROR(MIN(IF(Raw!$A$2:$A$26=MHT!A204,Raw!$C$2:$C$20)),"")</f>
        <v/>
      </c>
      <c r="D204" s="14" t="str">
        <f t="array" ref="D204">IF(Raw!D197="","",IFERROR(MAX(IF(Raw!$A$2:$A$26=MHT!A204,Raw!$D$2:$D$20)),""))</f>
        <v/>
      </c>
      <c r="E204" s="6" t="str">
        <f>IF(SUMIF(Raw!$A$2:$A$500, MHT!A204, Raw!$F$2:$F$500) = TIME(0,0,0), "", SUMIF(Raw!$A$2:$A$500, MHT!A204, Raw!$F$2:$F$500))</f>
        <v/>
      </c>
      <c r="F204" s="12" t="str">
        <f t="array" ref="F204">IF(A204="", "", IF(COUNTIF(Raw!$H$1:$I$500, A204) &gt; 0, "Done", IF(COUNTIF(Raw!$J$1:$J$500, A204) &gt; 0, "Pause", IF(COUNTIF(Raw!$K$1:$K$500, A204) &gt; 0, "On-Going", "Pause"))))</f>
        <v/>
      </c>
      <c r="G204" s="51"/>
      <c r="H204" s="50"/>
    </row>
    <row r="205" spans="1:8" x14ac:dyDescent="0.4">
      <c r="A205" s="61"/>
      <c r="B205" s="16" t="str">
        <f t="array" ref="B205">IFERROR(MIN(IF(Raw!$A$2:$A$26=MHT!A205,Raw!$B$2:$B$20)),"")</f>
        <v/>
      </c>
      <c r="C205" s="13" t="str">
        <f t="array" ref="C205">IFERROR(MIN(IF(Raw!$A$2:$A$26=MHT!A205,Raw!$C$2:$C$20)),"")</f>
        <v/>
      </c>
      <c r="D205" s="14" t="str">
        <f t="array" ref="D205">IF(Raw!D198="","",IFERROR(MAX(IF(Raw!$A$2:$A$26=MHT!A205,Raw!$D$2:$D$20)),""))</f>
        <v/>
      </c>
      <c r="E205" s="6" t="str">
        <f>IF(SUMIF(Raw!$A$2:$A$500, MHT!A205, Raw!$F$2:$F$500) = TIME(0,0,0), "", SUMIF(Raw!$A$2:$A$500, MHT!A205, Raw!$F$2:$F$500))</f>
        <v/>
      </c>
      <c r="F205" s="12" t="str">
        <f t="array" ref="F205">IF(A205="", "", IF(COUNTIF(Raw!$H$1:$I$500, A205) &gt; 0, "Done", IF(COUNTIF(Raw!$J$1:$J$500, A205) &gt; 0, "Pause", IF(COUNTIF(Raw!$K$1:$K$500, A205) &gt; 0, "On-Going", "Pause"))))</f>
        <v/>
      </c>
      <c r="G205" s="51"/>
      <c r="H205" s="50"/>
    </row>
    <row r="206" spans="1:8" x14ac:dyDescent="0.4">
      <c r="A206" s="61"/>
      <c r="B206" s="16" t="str">
        <f t="array" ref="B206">IFERROR(MIN(IF(Raw!$A$2:$A$26=MHT!A206,Raw!$B$2:$B$20)),"")</f>
        <v/>
      </c>
      <c r="C206" s="13" t="str">
        <f t="array" ref="C206">IFERROR(MIN(IF(Raw!$A$2:$A$26=MHT!A206,Raw!$C$2:$C$20)),"")</f>
        <v/>
      </c>
      <c r="D206" s="14" t="str">
        <f t="array" ref="D206">IF(Raw!D199="","",IFERROR(MAX(IF(Raw!$A$2:$A$26=MHT!A206,Raw!$D$2:$D$20)),""))</f>
        <v/>
      </c>
      <c r="E206" s="6" t="str">
        <f>IF(SUMIF(Raw!$A$2:$A$500, MHT!A206, Raw!$F$2:$F$500) = TIME(0,0,0), "", SUMIF(Raw!$A$2:$A$500, MHT!A206, Raw!$F$2:$F$500))</f>
        <v/>
      </c>
      <c r="F206" s="12" t="str">
        <f t="array" ref="F206">IF(A206="", "", IF(COUNTIF(Raw!$H$1:$I$500, A206) &gt; 0, "Done", IF(COUNTIF(Raw!$J$1:$J$500, A206) &gt; 0, "Pause", IF(COUNTIF(Raw!$K$1:$K$500, A206) &gt; 0, "On-Going", "Pause"))))</f>
        <v/>
      </c>
      <c r="G206" s="51"/>
      <c r="H206" s="50"/>
    </row>
    <row r="207" spans="1:8" x14ac:dyDescent="0.4">
      <c r="A207" s="61"/>
      <c r="B207" s="16" t="str">
        <f t="array" ref="B207">IFERROR(MIN(IF(Raw!$A$2:$A$26=MHT!A207,Raw!$B$2:$B$20)),"")</f>
        <v/>
      </c>
      <c r="C207" s="13" t="str">
        <f t="array" ref="C207">IFERROR(MIN(IF(Raw!$A$2:$A$26=MHT!A207,Raw!$C$2:$C$20)),"")</f>
        <v/>
      </c>
      <c r="D207" s="14" t="str">
        <f t="array" ref="D207">IF(Raw!D200="","",IFERROR(MAX(IF(Raw!$A$2:$A$26=MHT!A207,Raw!$D$2:$D$20)),""))</f>
        <v/>
      </c>
      <c r="E207" s="6" t="str">
        <f>IF(SUMIF(Raw!$A$2:$A$500, MHT!A207, Raw!$F$2:$F$500) = TIME(0,0,0), "", SUMIF(Raw!$A$2:$A$500, MHT!A207, Raw!$F$2:$F$500))</f>
        <v/>
      </c>
      <c r="F207" s="12" t="str">
        <f t="array" ref="F207">IF(A207="", "", IF(COUNTIF(Raw!$H$1:$I$500, A207) &gt; 0, "Done", IF(COUNTIF(Raw!$J$1:$J$500, A207) &gt; 0, "Pause", IF(COUNTIF(Raw!$K$1:$K$500, A207) &gt; 0, "On-Going", "Pause"))))</f>
        <v/>
      </c>
      <c r="G207" s="51"/>
      <c r="H207" s="50"/>
    </row>
    <row r="208" spans="1:8" x14ac:dyDescent="0.4">
      <c r="A208" s="61"/>
      <c r="B208" s="16" t="str">
        <f t="array" ref="B208">IFERROR(MIN(IF(Raw!$A$2:$A$26=MHT!A208,Raw!$B$2:$B$20)),"")</f>
        <v/>
      </c>
      <c r="C208" s="13" t="str">
        <f t="array" ref="C208">IFERROR(MIN(IF(Raw!$A$2:$A$26=MHT!A208,Raw!$C$2:$C$20)),"")</f>
        <v/>
      </c>
      <c r="D208" s="14" t="str">
        <f t="array" ref="D208">IF(Raw!D201="","",IFERROR(MAX(IF(Raw!$A$2:$A$26=MHT!A208,Raw!$D$2:$D$20)),""))</f>
        <v/>
      </c>
      <c r="E208" s="6" t="str">
        <f>IF(SUMIF(Raw!$A$2:$A$500, MHT!A208, Raw!$F$2:$F$500) = TIME(0,0,0), "", SUMIF(Raw!$A$2:$A$500, MHT!A208, Raw!$F$2:$F$500))</f>
        <v/>
      </c>
      <c r="F208" s="12" t="str">
        <f t="array" ref="F208">IF(A208="", "", IF(COUNTIF(Raw!$H$1:$I$500, A208) &gt; 0, "Done", IF(COUNTIF(Raw!$J$1:$J$500, A208) &gt; 0, "Pause", IF(COUNTIF(Raw!$K$1:$K$500, A208) &gt; 0, "On-Going", "Pause"))))</f>
        <v/>
      </c>
      <c r="G208" s="51"/>
      <c r="H208" s="50"/>
    </row>
    <row r="209" spans="1:8" x14ac:dyDescent="0.4">
      <c r="A209" s="61"/>
      <c r="B209" s="16" t="str">
        <f t="array" ref="B209">IFERROR(MIN(IF(Raw!$A$2:$A$26=MHT!A209,Raw!$B$2:$B$20)),"")</f>
        <v/>
      </c>
      <c r="C209" s="13" t="str">
        <f t="array" ref="C209">IFERROR(MIN(IF(Raw!$A$2:$A$26=MHT!A209,Raw!$C$2:$C$20)),"")</f>
        <v/>
      </c>
      <c r="D209" s="14" t="str">
        <f t="array" ref="D209">IF(Raw!D202="","",IFERROR(MAX(IF(Raw!$A$2:$A$26=MHT!A209,Raw!$D$2:$D$20)),""))</f>
        <v/>
      </c>
      <c r="E209" s="6" t="str">
        <f>IF(SUMIF(Raw!$A$2:$A$500, MHT!A209, Raw!$F$2:$F$500) = TIME(0,0,0), "", SUMIF(Raw!$A$2:$A$500, MHT!A209, Raw!$F$2:$F$500))</f>
        <v/>
      </c>
      <c r="F209" s="12" t="str">
        <f t="array" ref="F209">IF(A209="", "", IF(COUNTIF(Raw!$H$1:$I$500, A209) &gt; 0, "Done", IF(COUNTIF(Raw!$J$1:$J$500, A209) &gt; 0, "Pause", IF(COUNTIF(Raw!$K$1:$K$500, A209) &gt; 0, "On-Going", "Pause"))))</f>
        <v/>
      </c>
      <c r="G209" s="51"/>
      <c r="H209" s="50"/>
    </row>
    <row r="210" spans="1:8" x14ac:dyDescent="0.4">
      <c r="A210" s="61"/>
      <c r="B210" s="16" t="str">
        <f t="array" ref="B210">IFERROR(MIN(IF(Raw!$A$2:$A$26=MHT!A210,Raw!$B$2:$B$20)),"")</f>
        <v/>
      </c>
      <c r="C210" s="13" t="str">
        <f t="array" ref="C210">IFERROR(MIN(IF(Raw!$A$2:$A$26=MHT!A210,Raw!$C$2:$C$20)),"")</f>
        <v/>
      </c>
      <c r="D210" s="14" t="str">
        <f t="array" ref="D210">IF(Raw!D203="","",IFERROR(MAX(IF(Raw!$A$2:$A$26=MHT!A210,Raw!$D$2:$D$20)),""))</f>
        <v/>
      </c>
      <c r="E210" s="6" t="str">
        <f>IF(SUMIF(Raw!$A$2:$A$500, MHT!A210, Raw!$F$2:$F$500) = TIME(0,0,0), "", SUMIF(Raw!$A$2:$A$500, MHT!A210, Raw!$F$2:$F$500))</f>
        <v/>
      </c>
      <c r="F210" s="12" t="str">
        <f t="array" ref="F210">IF(A210="", "", IF(COUNTIF(Raw!$H$1:$I$500, A210) &gt; 0, "Done", IF(COUNTIF(Raw!$J$1:$J$500, A210) &gt; 0, "Pause", IF(COUNTIF(Raw!$K$1:$K$500, A210) &gt; 0, "On-Going", "Pause"))))</f>
        <v/>
      </c>
      <c r="G210" s="51"/>
      <c r="H210" s="50"/>
    </row>
    <row r="211" spans="1:8" x14ac:dyDescent="0.4">
      <c r="A211" s="61"/>
      <c r="B211" s="16" t="str">
        <f t="array" ref="B211">IFERROR(MIN(IF(Raw!$A$2:$A$26=MHT!A211,Raw!$B$2:$B$20)),"")</f>
        <v/>
      </c>
      <c r="C211" s="13" t="str">
        <f t="array" ref="C211">IFERROR(MIN(IF(Raw!$A$2:$A$26=MHT!A211,Raw!$C$2:$C$20)),"")</f>
        <v/>
      </c>
      <c r="D211" s="14" t="str">
        <f t="array" ref="D211">IF(Raw!D204="","",IFERROR(MAX(IF(Raw!$A$2:$A$26=MHT!A211,Raw!$D$2:$D$20)),""))</f>
        <v/>
      </c>
      <c r="E211" s="6" t="str">
        <f>IF(SUMIF(Raw!$A$2:$A$500, MHT!A211, Raw!$F$2:$F$500) = TIME(0,0,0), "", SUMIF(Raw!$A$2:$A$500, MHT!A211, Raw!$F$2:$F$500))</f>
        <v/>
      </c>
      <c r="F211" s="12" t="str">
        <f t="array" ref="F211">IF(A211="", "", IF(COUNTIF(Raw!$H$1:$I$500, A211) &gt; 0, "Done", IF(COUNTIF(Raw!$J$1:$J$500, A211) &gt; 0, "Pause", IF(COUNTIF(Raw!$K$1:$K$500, A211) &gt; 0, "On-Going", "Pause"))))</f>
        <v/>
      </c>
      <c r="G211" s="51"/>
      <c r="H211" s="50"/>
    </row>
    <row r="212" spans="1:8" x14ac:dyDescent="0.4">
      <c r="A212" s="61"/>
      <c r="B212" s="16" t="str">
        <f t="array" ref="B212">IFERROR(MIN(IF(Raw!$A$2:$A$26=MHT!A212,Raw!$B$2:$B$20)),"")</f>
        <v/>
      </c>
      <c r="C212" s="13" t="str">
        <f t="array" ref="C212">IFERROR(MIN(IF(Raw!$A$2:$A$26=MHT!A212,Raw!$C$2:$C$20)),"")</f>
        <v/>
      </c>
      <c r="D212" s="14" t="str">
        <f t="array" ref="D212">IF(Raw!D205="","",IFERROR(MAX(IF(Raw!$A$2:$A$26=MHT!A212,Raw!$D$2:$D$20)),""))</f>
        <v/>
      </c>
      <c r="E212" s="6" t="str">
        <f>IF(SUMIF(Raw!$A$2:$A$500, MHT!A212, Raw!$F$2:$F$500) = TIME(0,0,0), "", SUMIF(Raw!$A$2:$A$500, MHT!A212, Raw!$F$2:$F$500))</f>
        <v/>
      </c>
      <c r="F212" s="12" t="str">
        <f t="array" ref="F212">IF(A212="", "", IF(COUNTIF(Raw!$H$1:$I$500, A212) &gt; 0, "Done", IF(COUNTIF(Raw!$J$1:$J$500, A212) &gt; 0, "Pause", IF(COUNTIF(Raw!$K$1:$K$500, A212) &gt; 0, "On-Going", "Pause"))))</f>
        <v/>
      </c>
      <c r="G212" s="51"/>
      <c r="H212" s="50"/>
    </row>
    <row r="213" spans="1:8" x14ac:dyDescent="0.4">
      <c r="A213" s="61"/>
      <c r="B213" s="16" t="str">
        <f t="array" ref="B213">IFERROR(MIN(IF(Raw!$A$2:$A$26=MHT!A213,Raw!$B$2:$B$20)),"")</f>
        <v/>
      </c>
      <c r="C213" s="13" t="str">
        <f t="array" ref="C213">IFERROR(MIN(IF(Raw!$A$2:$A$26=MHT!A213,Raw!$C$2:$C$20)),"")</f>
        <v/>
      </c>
      <c r="D213" s="14" t="str">
        <f t="array" ref="D213">IF(Raw!D206="","",IFERROR(MAX(IF(Raw!$A$2:$A$26=MHT!A213,Raw!$D$2:$D$20)),""))</f>
        <v/>
      </c>
      <c r="E213" s="6" t="str">
        <f>IF(SUMIF(Raw!$A$2:$A$500, MHT!A213, Raw!$F$2:$F$500) = TIME(0,0,0), "", SUMIF(Raw!$A$2:$A$500, MHT!A213, Raw!$F$2:$F$500))</f>
        <v/>
      </c>
      <c r="F213" s="12" t="str">
        <f t="array" ref="F213">IF(A213="", "", IF(COUNTIF(Raw!$H$1:$I$500, A213) &gt; 0, "Done", IF(COUNTIF(Raw!$J$1:$J$500, A213) &gt; 0, "Pause", IF(COUNTIF(Raw!$K$1:$K$500, A213) &gt; 0, "On-Going", "Pause"))))</f>
        <v/>
      </c>
      <c r="G213" s="51"/>
      <c r="H213" s="50"/>
    </row>
    <row r="214" spans="1:8" x14ac:dyDescent="0.4">
      <c r="A214" s="61"/>
      <c r="B214" s="16" t="str">
        <f t="array" ref="B214">IFERROR(MIN(IF(Raw!$A$2:$A$26=MHT!A214,Raw!$B$2:$B$20)),"")</f>
        <v/>
      </c>
      <c r="C214" s="13" t="str">
        <f t="array" ref="C214">IFERROR(MIN(IF(Raw!$A$2:$A$26=MHT!A214,Raw!$C$2:$C$20)),"")</f>
        <v/>
      </c>
      <c r="D214" s="14" t="str">
        <f t="array" ref="D214">IF(Raw!D207="","",IFERROR(MAX(IF(Raw!$A$2:$A$26=MHT!A214,Raw!$D$2:$D$20)),""))</f>
        <v/>
      </c>
      <c r="E214" s="6" t="str">
        <f>IF(SUMIF(Raw!$A$2:$A$500, MHT!A214, Raw!$F$2:$F$500) = TIME(0,0,0), "", SUMIF(Raw!$A$2:$A$500, MHT!A214, Raw!$F$2:$F$500))</f>
        <v/>
      </c>
      <c r="F214" s="12" t="str">
        <f t="array" ref="F214">IF(A214="", "", IF(COUNTIF(Raw!$H$1:$I$500, A214) &gt; 0, "Done", IF(COUNTIF(Raw!$J$1:$J$500, A214) &gt; 0, "Pause", IF(COUNTIF(Raw!$K$1:$K$500, A214) &gt; 0, "On-Going", "Pause"))))</f>
        <v/>
      </c>
      <c r="G214" s="51"/>
      <c r="H214" s="50"/>
    </row>
    <row r="215" spans="1:8" x14ac:dyDescent="0.4">
      <c r="A215" s="61"/>
      <c r="B215" s="16" t="str">
        <f t="array" ref="B215">IFERROR(MIN(IF(Raw!$A$2:$A$26=MHT!A215,Raw!$B$2:$B$20)),"")</f>
        <v/>
      </c>
      <c r="C215" s="13" t="str">
        <f t="array" ref="C215">IFERROR(MIN(IF(Raw!$A$2:$A$26=MHT!A215,Raw!$C$2:$C$20)),"")</f>
        <v/>
      </c>
      <c r="D215" s="14" t="str">
        <f t="array" ref="D215">IF(Raw!D208="","",IFERROR(MAX(IF(Raw!$A$2:$A$26=MHT!A215,Raw!$D$2:$D$20)),""))</f>
        <v/>
      </c>
      <c r="E215" s="6" t="str">
        <f>IF(SUMIF(Raw!$A$2:$A$500, MHT!A215, Raw!$F$2:$F$500) = TIME(0,0,0), "", SUMIF(Raw!$A$2:$A$500, MHT!A215, Raw!$F$2:$F$500))</f>
        <v/>
      </c>
      <c r="F215" s="12" t="str">
        <f t="array" ref="F215">IF(A215="", "", IF(COUNTIF(Raw!$H$1:$I$500, A215) &gt; 0, "Done", IF(COUNTIF(Raw!$J$1:$J$500, A215) &gt; 0, "Pause", IF(COUNTIF(Raw!$K$1:$K$500, A215) &gt; 0, "On-Going", "Pause"))))</f>
        <v/>
      </c>
      <c r="G215" s="51"/>
      <c r="H215" s="50"/>
    </row>
    <row r="216" spans="1:8" x14ac:dyDescent="0.4">
      <c r="A216" s="61"/>
      <c r="B216" s="16" t="str">
        <f t="array" ref="B216">IFERROR(MIN(IF(Raw!$A$2:$A$26=MHT!A216,Raw!$B$2:$B$20)),"")</f>
        <v/>
      </c>
      <c r="C216" s="13" t="str">
        <f t="array" ref="C216">IFERROR(MIN(IF(Raw!$A$2:$A$26=MHT!A216,Raw!$C$2:$C$20)),"")</f>
        <v/>
      </c>
      <c r="D216" s="14" t="str">
        <f t="array" ref="D216">IF(Raw!D209="","",IFERROR(MAX(IF(Raw!$A$2:$A$26=MHT!A216,Raw!$D$2:$D$20)),""))</f>
        <v/>
      </c>
      <c r="E216" s="6" t="str">
        <f>IF(SUMIF(Raw!$A$2:$A$500, MHT!A216, Raw!$F$2:$F$500) = TIME(0,0,0), "", SUMIF(Raw!$A$2:$A$500, MHT!A216, Raw!$F$2:$F$500))</f>
        <v/>
      </c>
      <c r="F216" s="12" t="str">
        <f t="array" ref="F216">IF(A216="", "", IF(COUNTIF(Raw!$H$1:$I$500, A216) &gt; 0, "Done", IF(COUNTIF(Raw!$J$1:$J$500, A216) &gt; 0, "Pause", IF(COUNTIF(Raw!$K$1:$K$500, A216) &gt; 0, "On-Going", "Pause"))))</f>
        <v/>
      </c>
      <c r="G216" s="51"/>
      <c r="H216" s="50"/>
    </row>
    <row r="217" spans="1:8" x14ac:dyDescent="0.4">
      <c r="A217" s="61"/>
      <c r="B217" s="16" t="str">
        <f t="array" ref="B217">IFERROR(MIN(IF(Raw!$A$2:$A$26=MHT!A217,Raw!$B$2:$B$20)),"")</f>
        <v/>
      </c>
      <c r="C217" s="13" t="str">
        <f t="array" ref="C217">IFERROR(MIN(IF(Raw!$A$2:$A$26=MHT!A217,Raw!$C$2:$C$20)),"")</f>
        <v/>
      </c>
      <c r="D217" s="14" t="str">
        <f t="array" ref="D217">IF(Raw!D210="","",IFERROR(MAX(IF(Raw!$A$2:$A$26=MHT!A217,Raw!$D$2:$D$20)),""))</f>
        <v/>
      </c>
      <c r="E217" s="6" t="str">
        <f>IF(SUMIF(Raw!$A$2:$A$500, MHT!A217, Raw!$F$2:$F$500) = TIME(0,0,0), "", SUMIF(Raw!$A$2:$A$500, MHT!A217, Raw!$F$2:$F$500))</f>
        <v/>
      </c>
      <c r="F217" s="12" t="str">
        <f t="array" ref="F217">IF(A217="", "", IF(COUNTIF(Raw!$H$1:$I$500, A217) &gt; 0, "Done", IF(COUNTIF(Raw!$J$1:$J$500, A217) &gt; 0, "Pause", IF(COUNTIF(Raw!$K$1:$K$500, A217) &gt; 0, "On-Going", "Pause"))))</f>
        <v/>
      </c>
      <c r="G217" s="51"/>
      <c r="H217" s="50"/>
    </row>
    <row r="218" spans="1:8" x14ac:dyDescent="0.4">
      <c r="A218" s="61"/>
      <c r="B218" s="16" t="str">
        <f t="array" ref="B218">IFERROR(MIN(IF(Raw!$A$2:$A$26=MHT!A218,Raw!$B$2:$B$20)),"")</f>
        <v/>
      </c>
      <c r="C218" s="13" t="str">
        <f t="array" ref="C218">IFERROR(MIN(IF(Raw!$A$2:$A$26=MHT!A218,Raw!$C$2:$C$20)),"")</f>
        <v/>
      </c>
      <c r="D218" s="14" t="str">
        <f t="array" ref="D218">IF(Raw!D211="","",IFERROR(MAX(IF(Raw!$A$2:$A$26=MHT!A218,Raw!$D$2:$D$20)),""))</f>
        <v/>
      </c>
      <c r="E218" s="6" t="str">
        <f>IF(SUMIF(Raw!$A$2:$A$500, MHT!A218, Raw!$F$2:$F$500) = TIME(0,0,0), "", SUMIF(Raw!$A$2:$A$500, MHT!A218, Raw!$F$2:$F$500))</f>
        <v/>
      </c>
      <c r="F218" s="12" t="str">
        <f t="array" ref="F218">IF(A218="", "", IF(COUNTIF(Raw!$H$1:$I$500, A218) &gt; 0, "Done", IF(COUNTIF(Raw!$J$1:$J$500, A218) &gt; 0, "Pause", IF(COUNTIF(Raw!$K$1:$K$500, A218) &gt; 0, "On-Going", "Pause"))))</f>
        <v/>
      </c>
      <c r="G218" s="51"/>
      <c r="H218" s="50"/>
    </row>
    <row r="219" spans="1:8" x14ac:dyDescent="0.4">
      <c r="A219" s="61"/>
      <c r="B219" s="16" t="str">
        <f t="array" ref="B219">IFERROR(MIN(IF(Raw!$A$2:$A$26=MHT!A219,Raw!$B$2:$B$20)),"")</f>
        <v/>
      </c>
      <c r="C219" s="13" t="str">
        <f t="array" ref="C219">IFERROR(MIN(IF(Raw!$A$2:$A$26=MHT!A219,Raw!$C$2:$C$20)),"")</f>
        <v/>
      </c>
      <c r="D219" s="14" t="str">
        <f t="array" ref="D219">IF(Raw!D212="","",IFERROR(MAX(IF(Raw!$A$2:$A$26=MHT!A219,Raw!$D$2:$D$20)),""))</f>
        <v/>
      </c>
      <c r="E219" s="6" t="str">
        <f>IF(SUMIF(Raw!$A$2:$A$500, MHT!A219, Raw!$F$2:$F$500) = TIME(0,0,0), "", SUMIF(Raw!$A$2:$A$500, MHT!A219, Raw!$F$2:$F$500))</f>
        <v/>
      </c>
      <c r="F219" s="12" t="str">
        <f t="array" ref="F219">IF(A219="", "", IF(COUNTIF(Raw!$H$1:$I$500, A219) &gt; 0, "Done", IF(COUNTIF(Raw!$J$1:$J$500, A219) &gt; 0, "Pause", IF(COUNTIF(Raw!$K$1:$K$500, A219) &gt; 0, "On-Going", "Pause"))))</f>
        <v/>
      </c>
      <c r="G219" s="51"/>
      <c r="H219" s="50"/>
    </row>
    <row r="220" spans="1:8" x14ac:dyDescent="0.4">
      <c r="A220" s="61"/>
      <c r="B220" s="16" t="str">
        <f t="array" ref="B220">IFERROR(MIN(IF(Raw!$A$2:$A$26=MHT!A220,Raw!$B$2:$B$20)),"")</f>
        <v/>
      </c>
      <c r="C220" s="13" t="str">
        <f t="array" ref="C220">IFERROR(MIN(IF(Raw!$A$2:$A$26=MHT!A220,Raw!$C$2:$C$20)),"")</f>
        <v/>
      </c>
      <c r="D220" s="14" t="str">
        <f t="array" ref="D220">IF(Raw!D213="","",IFERROR(MAX(IF(Raw!$A$2:$A$26=MHT!A220,Raw!$D$2:$D$20)),""))</f>
        <v/>
      </c>
      <c r="E220" s="6" t="str">
        <f>IF(SUMIF(Raw!$A$2:$A$500, MHT!A220, Raw!$F$2:$F$500) = TIME(0,0,0), "", SUMIF(Raw!$A$2:$A$500, MHT!A220, Raw!$F$2:$F$500))</f>
        <v/>
      </c>
      <c r="F220" s="12" t="str">
        <f t="array" ref="F220">IF(A220="", "", IF(COUNTIF(Raw!$H$1:$I$500, A220) &gt; 0, "Done", IF(COUNTIF(Raw!$J$1:$J$500, A220) &gt; 0, "Pause", IF(COUNTIF(Raw!$K$1:$K$500, A220) &gt; 0, "On-Going", "Pause"))))</f>
        <v/>
      </c>
      <c r="G220" s="51"/>
      <c r="H220" s="50"/>
    </row>
    <row r="221" spans="1:8" x14ac:dyDescent="0.4">
      <c r="A221" s="61"/>
      <c r="B221" s="16" t="str">
        <f t="array" ref="B221">IFERROR(MIN(IF(Raw!$A$2:$A$26=MHT!A221,Raw!$B$2:$B$20)),"")</f>
        <v/>
      </c>
      <c r="C221" s="13" t="str">
        <f t="array" ref="C221">IFERROR(MIN(IF(Raw!$A$2:$A$26=MHT!A221,Raw!$C$2:$C$20)),"")</f>
        <v/>
      </c>
      <c r="D221" s="14" t="str">
        <f t="array" ref="D221">IF(Raw!D214="","",IFERROR(MAX(IF(Raw!$A$2:$A$26=MHT!A221,Raw!$D$2:$D$20)),""))</f>
        <v/>
      </c>
      <c r="E221" s="6" t="str">
        <f>IF(SUMIF(Raw!$A$2:$A$500, MHT!A221, Raw!$F$2:$F$500) = TIME(0,0,0), "", SUMIF(Raw!$A$2:$A$500, MHT!A221, Raw!$F$2:$F$500))</f>
        <v/>
      </c>
      <c r="F221" s="12" t="str">
        <f t="array" ref="F221">IF(A221="", "", IF(COUNTIF(Raw!$H$1:$I$500, A221) &gt; 0, "Done", IF(COUNTIF(Raw!$J$1:$J$500, A221) &gt; 0, "Pause", IF(COUNTIF(Raw!$K$1:$K$500, A221) &gt; 0, "On-Going", "Pause"))))</f>
        <v/>
      </c>
      <c r="G221" s="51"/>
      <c r="H221" s="50"/>
    </row>
    <row r="222" spans="1:8" x14ac:dyDescent="0.4">
      <c r="A222" s="61"/>
      <c r="B222" s="16" t="str">
        <f t="array" ref="B222">IFERROR(MIN(IF(Raw!$A$2:$A$26=MHT!A222,Raw!$B$2:$B$20)),"")</f>
        <v/>
      </c>
      <c r="C222" s="13" t="str">
        <f t="array" ref="C222">IFERROR(MIN(IF(Raw!$A$2:$A$26=MHT!A222,Raw!$C$2:$C$20)),"")</f>
        <v/>
      </c>
      <c r="D222" s="14" t="str">
        <f t="array" ref="D222">IF(Raw!D215="","",IFERROR(MAX(IF(Raw!$A$2:$A$26=MHT!A222,Raw!$D$2:$D$20)),""))</f>
        <v/>
      </c>
      <c r="E222" s="6" t="str">
        <f>IF(SUMIF(Raw!$A$2:$A$500, MHT!A222, Raw!$F$2:$F$500) = TIME(0,0,0), "", SUMIF(Raw!$A$2:$A$500, MHT!A222, Raw!$F$2:$F$500))</f>
        <v/>
      </c>
      <c r="F222" s="12" t="str">
        <f t="array" ref="F222">IF(A222="", "", IF(COUNTIF(Raw!$H$1:$I$500, A222) &gt; 0, "Done", IF(COUNTIF(Raw!$J$1:$J$500, A222) &gt; 0, "Pause", IF(COUNTIF(Raw!$K$1:$K$500, A222) &gt; 0, "On-Going", "Pause"))))</f>
        <v/>
      </c>
      <c r="G222" s="51"/>
      <c r="H222" s="50"/>
    </row>
    <row r="223" spans="1:8" x14ac:dyDescent="0.4">
      <c r="A223" s="61"/>
      <c r="B223" s="16" t="str">
        <f t="array" ref="B223">IFERROR(MIN(IF(Raw!$A$2:$A$26=MHT!A223,Raw!$B$2:$B$20)),"")</f>
        <v/>
      </c>
      <c r="C223" s="13" t="str">
        <f t="array" ref="C223">IFERROR(MIN(IF(Raw!$A$2:$A$26=MHT!A223,Raw!$C$2:$C$20)),"")</f>
        <v/>
      </c>
      <c r="D223" s="14" t="str">
        <f t="array" ref="D223">IF(Raw!D216="","",IFERROR(MAX(IF(Raw!$A$2:$A$26=MHT!A223,Raw!$D$2:$D$20)),""))</f>
        <v/>
      </c>
      <c r="E223" s="6" t="str">
        <f>IF(SUMIF(Raw!$A$2:$A$500, MHT!A223, Raw!$F$2:$F$500) = TIME(0,0,0), "", SUMIF(Raw!$A$2:$A$500, MHT!A223, Raw!$F$2:$F$500))</f>
        <v/>
      </c>
      <c r="F223" s="12" t="str">
        <f t="array" ref="F223">IF(A223="", "", IF(COUNTIF(Raw!$H$1:$I$500, A223) &gt; 0, "Done", IF(COUNTIF(Raw!$J$1:$J$500, A223) &gt; 0, "Pause", IF(COUNTIF(Raw!$K$1:$K$500, A223) &gt; 0, "On-Going", "Pause"))))</f>
        <v/>
      </c>
      <c r="G223" s="51"/>
      <c r="H223" s="50"/>
    </row>
    <row r="224" spans="1:8" x14ac:dyDescent="0.4">
      <c r="A224" s="61"/>
      <c r="B224" s="16" t="str">
        <f t="array" ref="B224">IFERROR(MIN(IF(Raw!$A$2:$A$26=MHT!A224,Raw!$B$2:$B$20)),"")</f>
        <v/>
      </c>
      <c r="C224" s="13" t="str">
        <f t="array" ref="C224">IFERROR(MIN(IF(Raw!$A$2:$A$26=MHT!A224,Raw!$C$2:$C$20)),"")</f>
        <v/>
      </c>
      <c r="D224" s="14" t="str">
        <f t="array" ref="D224">IF(Raw!D217="","",IFERROR(MAX(IF(Raw!$A$2:$A$26=MHT!A224,Raw!$D$2:$D$20)),""))</f>
        <v/>
      </c>
      <c r="E224" s="6" t="str">
        <f>IF(SUMIF(Raw!$A$2:$A$500, MHT!A224, Raw!$F$2:$F$500) = TIME(0,0,0), "", SUMIF(Raw!$A$2:$A$500, MHT!A224, Raw!$F$2:$F$500))</f>
        <v/>
      </c>
      <c r="F224" s="12" t="str">
        <f t="array" ref="F224">IF(A224="", "", IF(COUNTIF(Raw!$H$1:$I$500, A224) &gt; 0, "Done", IF(COUNTIF(Raw!$J$1:$J$500, A224) &gt; 0, "Pause", IF(COUNTIF(Raw!$K$1:$K$500, A224) &gt; 0, "On-Going", "Pause"))))</f>
        <v/>
      </c>
      <c r="G224" s="51"/>
      <c r="H224" s="50"/>
    </row>
    <row r="225" spans="1:8" x14ac:dyDescent="0.4">
      <c r="A225" s="61"/>
      <c r="B225" s="16" t="str">
        <f t="array" ref="B225">IFERROR(MIN(IF(Raw!$A$2:$A$26=MHT!A225,Raw!$B$2:$B$20)),"")</f>
        <v/>
      </c>
      <c r="C225" s="13" t="str">
        <f t="array" ref="C225">IFERROR(MIN(IF(Raw!$A$2:$A$26=MHT!A225,Raw!$C$2:$C$20)),"")</f>
        <v/>
      </c>
      <c r="D225" s="14" t="str">
        <f t="array" ref="D225">IF(Raw!D218="","",IFERROR(MAX(IF(Raw!$A$2:$A$26=MHT!A225,Raw!$D$2:$D$20)),""))</f>
        <v/>
      </c>
      <c r="E225" s="6" t="str">
        <f>IF(SUMIF(Raw!$A$2:$A$500, MHT!A225, Raw!$F$2:$F$500) = TIME(0,0,0), "", SUMIF(Raw!$A$2:$A$500, MHT!A225, Raw!$F$2:$F$500))</f>
        <v/>
      </c>
      <c r="F225" s="12" t="str">
        <f t="array" ref="F225">IF(A225="", "", IF(COUNTIF(Raw!$H$1:$I$500, A225) &gt; 0, "Done", IF(COUNTIF(Raw!$J$1:$J$500, A225) &gt; 0, "Pause", IF(COUNTIF(Raw!$K$1:$K$500, A225) &gt; 0, "On-Going", "Pause"))))</f>
        <v/>
      </c>
      <c r="G225" s="51"/>
      <c r="H225" s="50"/>
    </row>
    <row r="226" spans="1:8" x14ac:dyDescent="0.4">
      <c r="A226" s="61"/>
      <c r="B226" s="16" t="str">
        <f t="array" ref="B226">IFERROR(MIN(IF(Raw!$A$2:$A$26=MHT!A226,Raw!$B$2:$B$20)),"")</f>
        <v/>
      </c>
      <c r="C226" s="13" t="str">
        <f t="array" ref="C226">IFERROR(MIN(IF(Raw!$A$2:$A$26=MHT!A226,Raw!$C$2:$C$20)),"")</f>
        <v/>
      </c>
      <c r="D226" s="14" t="str">
        <f t="array" ref="D226">IF(Raw!D219="","",IFERROR(MAX(IF(Raw!$A$2:$A$26=MHT!A226,Raw!$D$2:$D$20)),""))</f>
        <v/>
      </c>
      <c r="E226" s="6" t="str">
        <f>IF(SUMIF(Raw!$A$2:$A$500, MHT!A226, Raw!$F$2:$F$500) = TIME(0,0,0), "", SUMIF(Raw!$A$2:$A$500, MHT!A226, Raw!$F$2:$F$500))</f>
        <v/>
      </c>
      <c r="F226" s="12" t="str">
        <f t="array" ref="F226">IF(A226="", "", IF(COUNTIF(Raw!$H$1:$I$500, A226) &gt; 0, "Done", IF(COUNTIF(Raw!$J$1:$J$500, A226) &gt; 0, "Pause", IF(COUNTIF(Raw!$K$1:$K$500, A226) &gt; 0, "On-Going", "Pause"))))</f>
        <v/>
      </c>
      <c r="G226" s="51"/>
      <c r="H226" s="50"/>
    </row>
    <row r="227" spans="1:8" x14ac:dyDescent="0.4">
      <c r="A227" s="61"/>
      <c r="B227" s="16" t="str">
        <f t="array" ref="B227">IFERROR(MIN(IF(Raw!$A$2:$A$26=MHT!A227,Raw!$B$2:$B$20)),"")</f>
        <v/>
      </c>
      <c r="C227" s="13" t="str">
        <f t="array" ref="C227">IFERROR(MIN(IF(Raw!$A$2:$A$26=MHT!A227,Raw!$C$2:$C$20)),"")</f>
        <v/>
      </c>
      <c r="D227" s="14" t="str">
        <f t="array" ref="D227">IF(Raw!D220="","",IFERROR(MAX(IF(Raw!$A$2:$A$26=MHT!A227,Raw!$D$2:$D$20)),""))</f>
        <v/>
      </c>
      <c r="E227" s="6" t="str">
        <f>IF(SUMIF(Raw!$A$2:$A$500, MHT!A227, Raw!$F$2:$F$500) = TIME(0,0,0), "", SUMIF(Raw!$A$2:$A$500, MHT!A227, Raw!$F$2:$F$500))</f>
        <v/>
      </c>
      <c r="F227" s="12" t="str">
        <f t="array" ref="F227">IF(A227="", "", IF(COUNTIF(Raw!$H$1:$I$500, A227) &gt; 0, "Done", IF(COUNTIF(Raw!$J$1:$J$500, A227) &gt; 0, "Pause", IF(COUNTIF(Raw!$K$1:$K$500, A227) &gt; 0, "On-Going", "Pause"))))</f>
        <v/>
      </c>
      <c r="G227" s="51"/>
      <c r="H227" s="50"/>
    </row>
    <row r="228" spans="1:8" x14ac:dyDescent="0.4">
      <c r="A228" s="61"/>
      <c r="B228" s="16" t="str">
        <f t="array" ref="B228">IFERROR(MIN(IF(Raw!$A$2:$A$26=MHT!A228,Raw!$B$2:$B$20)),"")</f>
        <v/>
      </c>
      <c r="C228" s="13" t="str">
        <f t="array" ref="C228">IFERROR(MIN(IF(Raw!$A$2:$A$26=MHT!A228,Raw!$C$2:$C$20)),"")</f>
        <v/>
      </c>
      <c r="D228" s="14" t="str">
        <f t="array" ref="D228">IF(Raw!D221="","",IFERROR(MAX(IF(Raw!$A$2:$A$26=MHT!A228,Raw!$D$2:$D$20)),""))</f>
        <v/>
      </c>
      <c r="E228" s="6" t="str">
        <f>IF(SUMIF(Raw!$A$2:$A$500, MHT!A228, Raw!$F$2:$F$500) = TIME(0,0,0), "", SUMIF(Raw!$A$2:$A$500, MHT!A228, Raw!$F$2:$F$500))</f>
        <v/>
      </c>
      <c r="F228" s="12" t="str">
        <f t="array" ref="F228">IF(A228="", "", IF(COUNTIF(Raw!$H$1:$I$500, A228) &gt; 0, "Done", IF(COUNTIF(Raw!$J$1:$J$500, A228) &gt; 0, "Pause", IF(COUNTIF(Raw!$K$1:$K$500, A228) &gt; 0, "On-Going", "Pause"))))</f>
        <v/>
      </c>
      <c r="G228" s="51"/>
      <c r="H228" s="50"/>
    </row>
    <row r="229" spans="1:8" x14ac:dyDescent="0.4">
      <c r="A229" s="61"/>
      <c r="B229" s="16" t="str">
        <f t="array" ref="B229">IFERROR(MIN(IF(Raw!$A$2:$A$26=MHT!A229,Raw!$B$2:$B$20)),"")</f>
        <v/>
      </c>
      <c r="C229" s="13" t="str">
        <f t="array" ref="C229">IFERROR(MIN(IF(Raw!$A$2:$A$26=MHT!A229,Raw!$C$2:$C$20)),"")</f>
        <v/>
      </c>
      <c r="D229" s="14" t="str">
        <f t="array" ref="D229">IF(Raw!D222="","",IFERROR(MAX(IF(Raw!$A$2:$A$26=MHT!A229,Raw!$D$2:$D$20)),""))</f>
        <v/>
      </c>
      <c r="E229" s="6" t="str">
        <f>IF(SUMIF(Raw!$A$2:$A$500, MHT!A229, Raw!$F$2:$F$500) = TIME(0,0,0), "", SUMIF(Raw!$A$2:$A$500, MHT!A229, Raw!$F$2:$F$500))</f>
        <v/>
      </c>
      <c r="F229" s="12" t="str">
        <f t="array" ref="F229">IF(A229="", "", IF(COUNTIF(Raw!$H$1:$I$500, A229) &gt; 0, "Done", IF(COUNTIF(Raw!$J$1:$J$500, A229) &gt; 0, "Pause", IF(COUNTIF(Raw!$K$1:$K$500, A229) &gt; 0, "On-Going", "Pause"))))</f>
        <v/>
      </c>
      <c r="G229" s="51"/>
      <c r="H229" s="50"/>
    </row>
    <row r="230" spans="1:8" x14ac:dyDescent="0.4">
      <c r="A230" s="61"/>
      <c r="B230" s="16" t="str">
        <f t="array" ref="B230">IFERROR(MIN(IF(Raw!$A$2:$A$26=MHT!A230,Raw!$B$2:$B$20)),"")</f>
        <v/>
      </c>
      <c r="C230" s="13" t="str">
        <f t="array" ref="C230">IFERROR(MIN(IF(Raw!$A$2:$A$26=MHT!A230,Raw!$C$2:$C$20)),"")</f>
        <v/>
      </c>
      <c r="D230" s="14" t="str">
        <f t="array" ref="D230">IF(Raw!D223="","",IFERROR(MAX(IF(Raw!$A$2:$A$26=MHT!A230,Raw!$D$2:$D$20)),""))</f>
        <v/>
      </c>
      <c r="E230" s="6" t="str">
        <f>IF(SUMIF(Raw!$A$2:$A$500, MHT!A230, Raw!$F$2:$F$500) = TIME(0,0,0), "", SUMIF(Raw!$A$2:$A$500, MHT!A230, Raw!$F$2:$F$500))</f>
        <v/>
      </c>
      <c r="F230" s="12" t="str">
        <f t="array" ref="F230">IF(A230="", "", IF(COUNTIF(Raw!$H$1:$I$500, A230) &gt; 0, "Done", IF(COUNTIF(Raw!$J$1:$J$500, A230) &gt; 0, "Pause", IF(COUNTIF(Raw!$K$1:$K$500, A230) &gt; 0, "On-Going", "Pause"))))</f>
        <v/>
      </c>
      <c r="G230" s="51"/>
      <c r="H230" s="50"/>
    </row>
    <row r="231" spans="1:8" x14ac:dyDescent="0.4">
      <c r="A231" s="61"/>
      <c r="B231" s="16" t="str">
        <f t="array" ref="B231">IFERROR(MIN(IF(Raw!$A$2:$A$26=MHT!A231,Raw!$B$2:$B$20)),"")</f>
        <v/>
      </c>
      <c r="C231" s="13" t="str">
        <f t="array" ref="C231">IFERROR(MIN(IF(Raw!$A$2:$A$26=MHT!A231,Raw!$C$2:$C$20)),"")</f>
        <v/>
      </c>
      <c r="D231" s="14" t="str">
        <f t="array" ref="D231">IF(Raw!D224="","",IFERROR(MAX(IF(Raw!$A$2:$A$26=MHT!A231,Raw!$D$2:$D$20)),""))</f>
        <v/>
      </c>
      <c r="E231" s="6" t="str">
        <f>IF(SUMIF(Raw!$A$2:$A$500, MHT!A231, Raw!$F$2:$F$500) = TIME(0,0,0), "", SUMIF(Raw!$A$2:$A$500, MHT!A231, Raw!$F$2:$F$500))</f>
        <v/>
      </c>
      <c r="F231" s="12" t="str">
        <f t="array" ref="F231">IF(A231="", "", IF(COUNTIF(Raw!$H$1:$I$500, A231) &gt; 0, "Done", IF(COUNTIF(Raw!$J$1:$J$500, A231) &gt; 0, "Pause", IF(COUNTIF(Raw!$K$1:$K$500, A231) &gt; 0, "On-Going", "Pause"))))</f>
        <v/>
      </c>
      <c r="G231" s="51"/>
      <c r="H231" s="50"/>
    </row>
    <row r="232" spans="1:8" x14ac:dyDescent="0.4">
      <c r="A232" s="61"/>
      <c r="B232" s="16" t="str">
        <f t="array" ref="B232">IFERROR(MIN(IF(Raw!$A$2:$A$26=MHT!A232,Raw!$B$2:$B$20)),"")</f>
        <v/>
      </c>
      <c r="C232" s="13" t="str">
        <f t="array" ref="C232">IFERROR(MIN(IF(Raw!$A$2:$A$26=MHT!A232,Raw!$C$2:$C$20)),"")</f>
        <v/>
      </c>
      <c r="D232" s="14" t="str">
        <f t="array" ref="D232">IF(Raw!D225="","",IFERROR(MAX(IF(Raw!$A$2:$A$26=MHT!A232,Raw!$D$2:$D$20)),""))</f>
        <v/>
      </c>
      <c r="E232" s="6" t="str">
        <f>IF(SUMIF(Raw!$A$2:$A$500, MHT!A232, Raw!$F$2:$F$500) = TIME(0,0,0), "", SUMIF(Raw!$A$2:$A$500, MHT!A232, Raw!$F$2:$F$500))</f>
        <v/>
      </c>
      <c r="F232" s="12" t="str">
        <f t="array" ref="F232">IF(A232="", "", IF(COUNTIF(Raw!$H$1:$I$500, A232) &gt; 0, "Done", IF(COUNTIF(Raw!$J$1:$J$500, A232) &gt; 0, "Pause", IF(COUNTIF(Raw!$K$1:$K$500, A232) &gt; 0, "On-Going", "Pause"))))</f>
        <v/>
      </c>
      <c r="G232" s="51"/>
      <c r="H232" s="50"/>
    </row>
    <row r="233" spans="1:8" x14ac:dyDescent="0.4">
      <c r="A233" s="61"/>
      <c r="B233" s="16" t="str">
        <f t="array" ref="B233">IFERROR(MIN(IF(Raw!$A$2:$A$26=MHT!A233,Raw!$B$2:$B$20)),"")</f>
        <v/>
      </c>
      <c r="C233" s="13" t="str">
        <f t="array" ref="C233">IFERROR(MIN(IF(Raw!$A$2:$A$26=MHT!A233,Raw!$C$2:$C$20)),"")</f>
        <v/>
      </c>
      <c r="D233" s="14" t="str">
        <f t="array" ref="D233">IF(Raw!D226="","",IFERROR(MAX(IF(Raw!$A$2:$A$26=MHT!A233,Raw!$D$2:$D$20)),""))</f>
        <v/>
      </c>
      <c r="E233" s="6" t="str">
        <f>IF(SUMIF(Raw!$A$2:$A$500, MHT!A233, Raw!$F$2:$F$500) = TIME(0,0,0), "", SUMIF(Raw!$A$2:$A$500, MHT!A233, Raw!$F$2:$F$500))</f>
        <v/>
      </c>
      <c r="F233" s="12" t="str">
        <f t="array" ref="F233">IF(A233="", "", IF(COUNTIF(Raw!$H$1:$I$500, A233) &gt; 0, "Done", IF(COUNTIF(Raw!$J$1:$J$500, A233) &gt; 0, "Pause", IF(COUNTIF(Raw!$K$1:$K$500, A233) &gt; 0, "On-Going", "Pause"))))</f>
        <v/>
      </c>
      <c r="G233" s="51"/>
      <c r="H233" s="50"/>
    </row>
    <row r="234" spans="1:8" x14ac:dyDescent="0.4">
      <c r="A234" s="61"/>
      <c r="B234" s="16" t="str">
        <f t="array" ref="B234">IFERROR(MIN(IF(Raw!$A$2:$A$26=MHT!A234,Raw!$B$2:$B$20)),"")</f>
        <v/>
      </c>
      <c r="C234" s="13" t="str">
        <f t="array" ref="C234">IFERROR(MIN(IF(Raw!$A$2:$A$26=MHT!A234,Raw!$C$2:$C$20)),"")</f>
        <v/>
      </c>
      <c r="D234" s="14" t="str">
        <f t="array" ref="D234">IF(Raw!D227="","",IFERROR(MAX(IF(Raw!$A$2:$A$26=MHT!A234,Raw!$D$2:$D$20)),""))</f>
        <v/>
      </c>
      <c r="E234" s="6" t="str">
        <f>IF(SUMIF(Raw!$A$2:$A$500, MHT!A234, Raw!$F$2:$F$500) = TIME(0,0,0), "", SUMIF(Raw!$A$2:$A$500, MHT!A234, Raw!$F$2:$F$500))</f>
        <v/>
      </c>
      <c r="F234" s="12" t="str">
        <f t="array" ref="F234">IF(A234="", "", IF(COUNTIF(Raw!$H$1:$I$500, A234) &gt; 0, "Done", IF(COUNTIF(Raw!$J$1:$J$500, A234) &gt; 0, "Pause", IF(COUNTIF(Raw!$K$1:$K$500, A234) &gt; 0, "On-Going", "Pause"))))</f>
        <v/>
      </c>
      <c r="G234" s="51"/>
      <c r="H234" s="50"/>
    </row>
    <row r="235" spans="1:8" x14ac:dyDescent="0.4">
      <c r="A235" s="61"/>
      <c r="B235" s="16" t="str">
        <f t="array" ref="B235">IFERROR(MIN(IF(Raw!$A$2:$A$26=MHT!A235,Raw!$B$2:$B$20)),"")</f>
        <v/>
      </c>
      <c r="C235" s="13" t="str">
        <f t="array" ref="C235">IFERROR(MIN(IF(Raw!$A$2:$A$26=MHT!A235,Raw!$C$2:$C$20)),"")</f>
        <v/>
      </c>
      <c r="D235" s="14" t="str">
        <f t="array" ref="D235">IF(Raw!D228="","",IFERROR(MAX(IF(Raw!$A$2:$A$26=MHT!A235,Raw!$D$2:$D$20)),""))</f>
        <v/>
      </c>
      <c r="E235" s="6" t="str">
        <f>IF(SUMIF(Raw!$A$2:$A$500, MHT!A235, Raw!$F$2:$F$500) = TIME(0,0,0), "", SUMIF(Raw!$A$2:$A$500, MHT!A235, Raw!$F$2:$F$500))</f>
        <v/>
      </c>
      <c r="F235" s="12" t="str">
        <f t="array" ref="F235">IF(A235="", "", IF(COUNTIF(Raw!$H$1:$I$500, A235) &gt; 0, "Done", IF(COUNTIF(Raw!$J$1:$J$500, A235) &gt; 0, "Pause", IF(COUNTIF(Raw!$K$1:$K$500, A235) &gt; 0, "On-Going", "Pause"))))</f>
        <v/>
      </c>
      <c r="G235" s="51"/>
      <c r="H235" s="50"/>
    </row>
    <row r="236" spans="1:8" x14ac:dyDescent="0.4">
      <c r="A236" s="61"/>
      <c r="B236" s="16" t="str">
        <f t="array" ref="B236">IFERROR(MIN(IF(Raw!$A$2:$A$26=MHT!A236,Raw!$B$2:$B$20)),"")</f>
        <v/>
      </c>
      <c r="C236" s="13" t="str">
        <f t="array" ref="C236">IFERROR(MIN(IF(Raw!$A$2:$A$26=MHT!A236,Raw!$C$2:$C$20)),"")</f>
        <v/>
      </c>
      <c r="D236" s="14" t="str">
        <f t="array" ref="D236">IF(Raw!D229="","",IFERROR(MAX(IF(Raw!$A$2:$A$26=MHT!A236,Raw!$D$2:$D$20)),""))</f>
        <v/>
      </c>
      <c r="E236" s="6" t="str">
        <f>IF(SUMIF(Raw!$A$2:$A$500, MHT!A236, Raw!$F$2:$F$500) = TIME(0,0,0), "", SUMIF(Raw!$A$2:$A$500, MHT!A236, Raw!$F$2:$F$500))</f>
        <v/>
      </c>
      <c r="F236" s="12" t="str">
        <f t="array" ref="F236">IF(A236="", "", IF(COUNTIF(Raw!$H$1:$I$500, A236) &gt; 0, "Done", IF(COUNTIF(Raw!$J$1:$J$500, A236) &gt; 0, "Pause", IF(COUNTIF(Raw!$K$1:$K$500, A236) &gt; 0, "On-Going", "Pause"))))</f>
        <v/>
      </c>
      <c r="G236" s="51"/>
      <c r="H236" s="50"/>
    </row>
    <row r="237" spans="1:8" x14ac:dyDescent="0.4">
      <c r="A237" s="61"/>
      <c r="B237" s="16" t="str">
        <f t="array" ref="B237">IFERROR(MIN(IF(Raw!$A$2:$A$26=MHT!A237,Raw!$B$2:$B$20)),"")</f>
        <v/>
      </c>
      <c r="C237" s="13" t="str">
        <f t="array" ref="C237">IFERROR(MIN(IF(Raw!$A$2:$A$26=MHT!A237,Raw!$C$2:$C$20)),"")</f>
        <v/>
      </c>
      <c r="D237" s="14" t="str">
        <f t="array" ref="D237">IF(Raw!D230="","",IFERROR(MAX(IF(Raw!$A$2:$A$26=MHT!A237,Raw!$D$2:$D$20)),""))</f>
        <v/>
      </c>
      <c r="E237" s="6" t="str">
        <f>IF(SUMIF(Raw!$A$2:$A$500, MHT!A237, Raw!$F$2:$F$500) = TIME(0,0,0), "", SUMIF(Raw!$A$2:$A$500, MHT!A237, Raw!$F$2:$F$500))</f>
        <v/>
      </c>
      <c r="F237" s="12" t="str">
        <f t="array" ref="F237">IF(A237="", "", IF(COUNTIF(Raw!$H$1:$I$500, A237) &gt; 0, "Done", IF(COUNTIF(Raw!$J$1:$J$500, A237) &gt; 0, "Pause", IF(COUNTIF(Raw!$K$1:$K$500, A237) &gt; 0, "On-Going", "Pause"))))</f>
        <v/>
      </c>
      <c r="G237" s="51"/>
      <c r="H237" s="50"/>
    </row>
    <row r="238" spans="1:8" x14ac:dyDescent="0.4">
      <c r="A238" s="61"/>
      <c r="B238" s="16" t="str">
        <f t="array" ref="B238">IFERROR(MIN(IF(Raw!$A$2:$A$26=MHT!A238,Raw!$B$2:$B$20)),"")</f>
        <v/>
      </c>
      <c r="C238" s="13" t="str">
        <f t="array" ref="C238">IFERROR(MIN(IF(Raw!$A$2:$A$26=MHT!A238,Raw!$C$2:$C$20)),"")</f>
        <v/>
      </c>
      <c r="D238" s="14" t="str">
        <f t="array" ref="D238">IF(Raw!D231="","",IFERROR(MAX(IF(Raw!$A$2:$A$26=MHT!A238,Raw!$D$2:$D$20)),""))</f>
        <v/>
      </c>
      <c r="E238" s="6" t="str">
        <f>IF(SUMIF(Raw!$A$2:$A$500, MHT!A238, Raw!$F$2:$F$500) = TIME(0,0,0), "", SUMIF(Raw!$A$2:$A$500, MHT!A238, Raw!$F$2:$F$500))</f>
        <v/>
      </c>
      <c r="F238" s="12" t="str">
        <f t="array" ref="F238">IF(A238="", "", IF(COUNTIF(Raw!$H$1:$I$500, A238) &gt; 0, "Done", IF(COUNTIF(Raw!$J$1:$J$500, A238) &gt; 0, "Pause", IF(COUNTIF(Raw!$K$1:$K$500, A238) &gt; 0, "On-Going", "Pause"))))</f>
        <v/>
      </c>
      <c r="G238" s="51"/>
      <c r="H238" s="50"/>
    </row>
    <row r="239" spans="1:8" x14ac:dyDescent="0.4">
      <c r="A239" s="61"/>
      <c r="B239" s="16" t="str">
        <f t="array" ref="B239">IFERROR(MIN(IF(Raw!$A$2:$A$26=MHT!A239,Raw!$B$2:$B$20)),"")</f>
        <v/>
      </c>
      <c r="C239" s="13" t="str">
        <f t="array" ref="C239">IFERROR(MIN(IF(Raw!$A$2:$A$26=MHT!A239,Raw!$C$2:$C$20)),"")</f>
        <v/>
      </c>
      <c r="D239" s="14" t="str">
        <f t="array" ref="D239">IF(Raw!D232="","",IFERROR(MAX(IF(Raw!$A$2:$A$26=MHT!A239,Raw!$D$2:$D$20)),""))</f>
        <v/>
      </c>
      <c r="E239" s="6" t="str">
        <f>IF(SUMIF(Raw!$A$2:$A$500, MHT!A239, Raw!$F$2:$F$500) = TIME(0,0,0), "", SUMIF(Raw!$A$2:$A$500, MHT!A239, Raw!$F$2:$F$500))</f>
        <v/>
      </c>
      <c r="F239" s="12" t="str">
        <f t="array" ref="F239">IF(A239="", "", IF(COUNTIF(Raw!$H$1:$I$500, A239) &gt; 0, "Done", IF(COUNTIF(Raw!$J$1:$J$500, A239) &gt; 0, "Pause", IF(COUNTIF(Raw!$K$1:$K$500, A239) &gt; 0, "On-Going", "Pause"))))</f>
        <v/>
      </c>
      <c r="G239" s="51"/>
      <c r="H239" s="50"/>
    </row>
    <row r="240" spans="1:8" x14ac:dyDescent="0.4">
      <c r="A240" s="61"/>
      <c r="B240" s="16" t="str">
        <f t="array" ref="B240">IFERROR(MIN(IF(Raw!$A$2:$A$26=MHT!A240,Raw!$B$2:$B$20)),"")</f>
        <v/>
      </c>
      <c r="C240" s="13" t="str">
        <f t="array" ref="C240">IFERROR(MIN(IF(Raw!$A$2:$A$26=MHT!A240,Raw!$C$2:$C$20)),"")</f>
        <v/>
      </c>
      <c r="D240" s="14" t="str">
        <f t="array" ref="D240">IF(Raw!D233="","",IFERROR(MAX(IF(Raw!$A$2:$A$26=MHT!A240,Raw!$D$2:$D$20)),""))</f>
        <v/>
      </c>
      <c r="E240" s="6" t="str">
        <f>IF(SUMIF(Raw!$A$2:$A$500, MHT!A240, Raw!$F$2:$F$500) = TIME(0,0,0), "", SUMIF(Raw!$A$2:$A$500, MHT!A240, Raw!$F$2:$F$500))</f>
        <v/>
      </c>
      <c r="F240" s="12" t="str">
        <f t="array" ref="F240">IF(A240="", "", IF(COUNTIF(Raw!$H$1:$I$500, A240) &gt; 0, "Done", IF(COUNTIF(Raw!$J$1:$J$500, A240) &gt; 0, "Pause", IF(COUNTIF(Raw!$K$1:$K$500, A240) &gt; 0, "On-Going", "Pause"))))</f>
        <v/>
      </c>
      <c r="G240" s="51"/>
      <c r="H240" s="50"/>
    </row>
    <row r="241" spans="1:8" x14ac:dyDescent="0.4">
      <c r="A241" s="61"/>
      <c r="B241" s="16" t="str">
        <f t="array" ref="B241">IFERROR(MIN(IF(Raw!$A$2:$A$26=MHT!A241,Raw!$B$2:$B$20)),"")</f>
        <v/>
      </c>
      <c r="C241" s="13" t="str">
        <f t="array" ref="C241">IFERROR(MIN(IF(Raw!$A$2:$A$26=MHT!A241,Raw!$C$2:$C$20)),"")</f>
        <v/>
      </c>
      <c r="D241" s="14" t="str">
        <f t="array" ref="D241">IF(Raw!D234="","",IFERROR(MAX(IF(Raw!$A$2:$A$26=MHT!A241,Raw!$D$2:$D$20)),""))</f>
        <v/>
      </c>
      <c r="E241" s="6" t="str">
        <f>IF(SUMIF(Raw!$A$2:$A$500, MHT!A241, Raw!$F$2:$F$500) = TIME(0,0,0), "", SUMIF(Raw!$A$2:$A$500, MHT!A241, Raw!$F$2:$F$500))</f>
        <v/>
      </c>
      <c r="F241" s="12" t="str">
        <f t="array" ref="F241">IF(A241="", "", IF(COUNTIF(Raw!$H$1:$I$500, A241) &gt; 0, "Done", IF(COUNTIF(Raw!$J$1:$J$500, A241) &gt; 0, "Pause", IF(COUNTIF(Raw!$K$1:$K$500, A241) &gt; 0, "On-Going", "Pause"))))</f>
        <v/>
      </c>
      <c r="G241" s="51"/>
      <c r="H241" s="50"/>
    </row>
    <row r="242" spans="1:8" x14ac:dyDescent="0.4">
      <c r="A242" s="61"/>
      <c r="B242" s="16" t="str">
        <f t="array" ref="B242">IFERROR(MIN(IF(Raw!$A$2:$A$26=MHT!A242,Raw!$B$2:$B$20)),"")</f>
        <v/>
      </c>
      <c r="C242" s="13" t="str">
        <f t="array" ref="C242">IFERROR(MIN(IF(Raw!$A$2:$A$26=MHT!A242,Raw!$C$2:$C$20)),"")</f>
        <v/>
      </c>
      <c r="D242" s="14" t="str">
        <f t="array" ref="D242">IF(Raw!D235="","",IFERROR(MAX(IF(Raw!$A$2:$A$26=MHT!A242,Raw!$D$2:$D$20)),""))</f>
        <v/>
      </c>
      <c r="E242" s="6" t="str">
        <f>IF(SUMIF(Raw!$A$2:$A$500, MHT!A242, Raw!$F$2:$F$500) = TIME(0,0,0), "", SUMIF(Raw!$A$2:$A$500, MHT!A242, Raw!$F$2:$F$500))</f>
        <v/>
      </c>
      <c r="F242" s="12" t="str">
        <f t="array" ref="F242">IF(A242="", "", IF(COUNTIF(Raw!$H$1:$I$500, A242) &gt; 0, "Done", IF(COUNTIF(Raw!$J$1:$J$500, A242) &gt; 0, "Pause", IF(COUNTIF(Raw!$K$1:$K$500, A242) &gt; 0, "On-Going", "Pause"))))</f>
        <v/>
      </c>
      <c r="G242" s="51"/>
      <c r="H242" s="50"/>
    </row>
    <row r="243" spans="1:8" x14ac:dyDescent="0.4">
      <c r="A243" s="61"/>
      <c r="B243" s="16" t="str">
        <f t="array" ref="B243">IFERROR(MIN(IF(Raw!$A$2:$A$26=MHT!A243,Raw!$B$2:$B$20)),"")</f>
        <v/>
      </c>
      <c r="C243" s="13" t="str">
        <f t="array" ref="C243">IFERROR(MIN(IF(Raw!$A$2:$A$26=MHT!A243,Raw!$C$2:$C$20)),"")</f>
        <v/>
      </c>
      <c r="D243" s="14" t="str">
        <f t="array" ref="D243">IF(Raw!D236="","",IFERROR(MAX(IF(Raw!$A$2:$A$26=MHT!A243,Raw!$D$2:$D$20)),""))</f>
        <v/>
      </c>
      <c r="E243" s="6" t="str">
        <f>IF(SUMIF(Raw!$A$2:$A$500, MHT!A243, Raw!$F$2:$F$500) = TIME(0,0,0), "", SUMIF(Raw!$A$2:$A$500, MHT!A243, Raw!$F$2:$F$500))</f>
        <v/>
      </c>
      <c r="F243" s="12" t="str">
        <f t="array" ref="F243">IF(A243="", "", IF(COUNTIF(Raw!$H$1:$I$500, A243) &gt; 0, "Done", IF(COUNTIF(Raw!$J$1:$J$500, A243) &gt; 0, "Pause", IF(COUNTIF(Raw!$K$1:$K$500, A243) &gt; 0, "On-Going", "Pause"))))</f>
        <v/>
      </c>
      <c r="G243" s="51"/>
      <c r="H243" s="50"/>
    </row>
    <row r="244" spans="1:8" x14ac:dyDescent="0.4">
      <c r="A244" s="61"/>
      <c r="B244" s="16" t="str">
        <f t="array" ref="B244">IFERROR(MIN(IF(Raw!$A$2:$A$26=MHT!A244,Raw!$B$2:$B$20)),"")</f>
        <v/>
      </c>
      <c r="C244" s="13" t="str">
        <f t="array" ref="C244">IFERROR(MIN(IF(Raw!$A$2:$A$26=MHT!A244,Raw!$C$2:$C$20)),"")</f>
        <v/>
      </c>
      <c r="D244" s="14" t="str">
        <f t="array" ref="D244">IF(Raw!D237="","",IFERROR(MAX(IF(Raw!$A$2:$A$26=MHT!A244,Raw!$D$2:$D$20)),""))</f>
        <v/>
      </c>
      <c r="E244" s="6" t="str">
        <f>IF(SUMIF(Raw!$A$2:$A$500, MHT!A244, Raw!$F$2:$F$500) = TIME(0,0,0), "", SUMIF(Raw!$A$2:$A$500, MHT!A244, Raw!$F$2:$F$500))</f>
        <v/>
      </c>
      <c r="F244" s="12" t="str">
        <f t="array" ref="F244">IF(A244="", "", IF(COUNTIF(Raw!$H$1:$I$500, A244) &gt; 0, "Done", IF(COUNTIF(Raw!$J$1:$J$500, A244) &gt; 0, "Pause", IF(COUNTIF(Raw!$K$1:$K$500, A244) &gt; 0, "On-Going", "Pause"))))</f>
        <v/>
      </c>
      <c r="G244" s="51"/>
      <c r="H244" s="50"/>
    </row>
    <row r="245" spans="1:8" x14ac:dyDescent="0.4">
      <c r="A245" s="61"/>
      <c r="B245" s="16" t="str">
        <f t="array" ref="B245">IFERROR(MIN(IF(Raw!$A$2:$A$26=MHT!A245,Raw!$B$2:$B$20)),"")</f>
        <v/>
      </c>
      <c r="C245" s="13" t="str">
        <f t="array" ref="C245">IFERROR(MIN(IF(Raw!$A$2:$A$26=MHT!A245,Raw!$C$2:$C$20)),"")</f>
        <v/>
      </c>
      <c r="D245" s="14" t="str">
        <f t="array" ref="D245">IF(Raw!D238="","",IFERROR(MAX(IF(Raw!$A$2:$A$26=MHT!A245,Raw!$D$2:$D$20)),""))</f>
        <v/>
      </c>
      <c r="E245" s="6" t="str">
        <f>IF(SUMIF(Raw!$A$2:$A$500, MHT!A245, Raw!$F$2:$F$500) = TIME(0,0,0), "", SUMIF(Raw!$A$2:$A$500, MHT!A245, Raw!$F$2:$F$500))</f>
        <v/>
      </c>
      <c r="F245" s="12" t="str">
        <f t="array" ref="F245">IF(A245="", "", IF(COUNTIF(Raw!$H$1:$I$500, A245) &gt; 0, "Done", IF(COUNTIF(Raw!$J$1:$J$500, A245) &gt; 0, "Pause", IF(COUNTIF(Raw!$K$1:$K$500, A245) &gt; 0, "On-Going", "Pause"))))</f>
        <v/>
      </c>
      <c r="G245" s="51"/>
      <c r="H245" s="50"/>
    </row>
    <row r="246" spans="1:8" x14ac:dyDescent="0.4">
      <c r="A246" s="61"/>
      <c r="B246" s="16" t="str">
        <f t="array" ref="B246">IFERROR(MIN(IF(Raw!$A$2:$A$26=MHT!A246,Raw!$B$2:$B$20)),"")</f>
        <v/>
      </c>
      <c r="C246" s="13" t="str">
        <f t="array" ref="C246">IFERROR(MIN(IF(Raw!$A$2:$A$26=MHT!A246,Raw!$C$2:$C$20)),"")</f>
        <v/>
      </c>
      <c r="D246" s="14" t="str">
        <f t="array" ref="D246">IF(Raw!D239="","",IFERROR(MAX(IF(Raw!$A$2:$A$26=MHT!A246,Raw!$D$2:$D$20)),""))</f>
        <v/>
      </c>
      <c r="E246" s="6" t="str">
        <f>IF(SUMIF(Raw!$A$2:$A$500, MHT!A246, Raw!$F$2:$F$500) = TIME(0,0,0), "", SUMIF(Raw!$A$2:$A$500, MHT!A246, Raw!$F$2:$F$500))</f>
        <v/>
      </c>
      <c r="F246" s="12" t="str">
        <f t="array" ref="F246">IF(A246="", "", IF(COUNTIF(Raw!$H$1:$I$500, A246) &gt; 0, "Done", IF(COUNTIF(Raw!$J$1:$J$500, A246) &gt; 0, "Pause", IF(COUNTIF(Raw!$K$1:$K$500, A246) &gt; 0, "On-Going", "Pause"))))</f>
        <v/>
      </c>
      <c r="G246" s="51"/>
      <c r="H246" s="50"/>
    </row>
    <row r="247" spans="1:8" x14ac:dyDescent="0.4">
      <c r="A247" s="61"/>
      <c r="B247" s="16" t="str">
        <f t="array" ref="B247">IFERROR(MIN(IF(Raw!$A$2:$A$26=MHT!A247,Raw!$B$2:$B$20)),"")</f>
        <v/>
      </c>
      <c r="C247" s="13" t="str">
        <f t="array" ref="C247">IFERROR(MIN(IF(Raw!$A$2:$A$26=MHT!A247,Raw!$C$2:$C$20)),"")</f>
        <v/>
      </c>
      <c r="D247" s="14" t="str">
        <f t="array" ref="D247">IF(Raw!D240="","",IFERROR(MAX(IF(Raw!$A$2:$A$26=MHT!A247,Raw!$D$2:$D$20)),""))</f>
        <v/>
      </c>
      <c r="E247" s="6" t="str">
        <f>IF(SUMIF(Raw!$A$2:$A$500, MHT!A247, Raw!$F$2:$F$500) = TIME(0,0,0), "", SUMIF(Raw!$A$2:$A$500, MHT!A247, Raw!$F$2:$F$500))</f>
        <v/>
      </c>
      <c r="F247" s="12" t="str">
        <f t="array" ref="F247">IF(A247="", "", IF(COUNTIF(Raw!$H$1:$I$500, A247) &gt; 0, "Done", IF(COUNTIF(Raw!$J$1:$J$500, A247) &gt; 0, "Pause", IF(COUNTIF(Raw!$K$1:$K$500, A247) &gt; 0, "On-Going", "Pause"))))</f>
        <v/>
      </c>
      <c r="G247" s="51"/>
      <c r="H247" s="50"/>
    </row>
    <row r="248" spans="1:8" x14ac:dyDescent="0.4">
      <c r="A248" s="61"/>
      <c r="B248" s="16" t="str">
        <f t="array" ref="B248">IFERROR(MIN(IF(Raw!$A$2:$A$26=MHT!A248,Raw!$B$2:$B$20)),"")</f>
        <v/>
      </c>
      <c r="C248" s="13" t="str">
        <f t="array" ref="C248">IFERROR(MIN(IF(Raw!$A$2:$A$26=MHT!A248,Raw!$C$2:$C$20)),"")</f>
        <v/>
      </c>
      <c r="D248" s="14" t="str">
        <f t="array" ref="D248">IF(Raw!D241="","",IFERROR(MAX(IF(Raw!$A$2:$A$26=MHT!A248,Raw!$D$2:$D$20)),""))</f>
        <v/>
      </c>
      <c r="E248" s="6" t="str">
        <f>IF(SUMIF(Raw!$A$2:$A$500, MHT!A248, Raw!$F$2:$F$500) = TIME(0,0,0), "", SUMIF(Raw!$A$2:$A$500, MHT!A248, Raw!$F$2:$F$500))</f>
        <v/>
      </c>
      <c r="F248" s="12" t="str">
        <f t="array" ref="F248">IF(A248="", "", IF(COUNTIF(Raw!$H$1:$I$500, A248) &gt; 0, "Done", IF(COUNTIF(Raw!$J$1:$J$500, A248) &gt; 0, "Pause", IF(COUNTIF(Raw!$K$1:$K$500, A248) &gt; 0, "On-Going", "Pause"))))</f>
        <v/>
      </c>
      <c r="G248" s="51"/>
      <c r="H248" s="50"/>
    </row>
    <row r="249" spans="1:8" x14ac:dyDescent="0.4">
      <c r="A249" s="61"/>
      <c r="B249" s="16" t="str">
        <f t="array" ref="B249">IFERROR(MIN(IF(Raw!$A$2:$A$26=MHT!A249,Raw!$B$2:$B$20)),"")</f>
        <v/>
      </c>
      <c r="C249" s="13" t="str">
        <f t="array" ref="C249">IFERROR(MIN(IF(Raw!$A$2:$A$26=MHT!A249,Raw!$C$2:$C$20)),"")</f>
        <v/>
      </c>
      <c r="D249" s="14" t="str">
        <f t="array" ref="D249">IF(Raw!D242="","",IFERROR(MAX(IF(Raw!$A$2:$A$26=MHT!A249,Raw!$D$2:$D$20)),""))</f>
        <v/>
      </c>
      <c r="E249" s="6" t="str">
        <f>IF(SUMIF(Raw!$A$2:$A$500, MHT!A249, Raw!$F$2:$F$500) = TIME(0,0,0), "", SUMIF(Raw!$A$2:$A$500, MHT!A249, Raw!$F$2:$F$500))</f>
        <v/>
      </c>
      <c r="F249" s="12" t="str">
        <f t="array" ref="F249">IF(A249="", "", IF(COUNTIF(Raw!$H$1:$I$500, A249) &gt; 0, "Done", IF(COUNTIF(Raw!$J$1:$J$500, A249) &gt; 0, "Pause", IF(COUNTIF(Raw!$K$1:$K$500, A249) &gt; 0, "On-Going", "Pause"))))</f>
        <v/>
      </c>
      <c r="G249" s="51"/>
      <c r="H249" s="50"/>
    </row>
    <row r="250" spans="1:8" x14ac:dyDescent="0.4">
      <c r="A250" s="61"/>
      <c r="B250" s="16" t="str">
        <f t="array" ref="B250">IFERROR(MIN(IF(Raw!$A$2:$A$26=MHT!A250,Raw!$B$2:$B$20)),"")</f>
        <v/>
      </c>
      <c r="C250" s="13" t="str">
        <f t="array" ref="C250">IFERROR(MIN(IF(Raw!$A$2:$A$26=MHT!A250,Raw!$C$2:$C$20)),"")</f>
        <v/>
      </c>
      <c r="D250" s="14" t="str">
        <f t="array" ref="D250">IF(Raw!D243="","",IFERROR(MAX(IF(Raw!$A$2:$A$26=MHT!A250,Raw!$D$2:$D$20)),""))</f>
        <v/>
      </c>
      <c r="E250" s="6" t="str">
        <f>IF(SUMIF(Raw!$A$2:$A$500, MHT!A250, Raw!$F$2:$F$500) = TIME(0,0,0), "", SUMIF(Raw!$A$2:$A$500, MHT!A250, Raw!$F$2:$F$500))</f>
        <v/>
      </c>
      <c r="F250" s="12" t="str">
        <f t="array" ref="F250">IF(A250="", "", IF(COUNTIF(Raw!$H$1:$I$500, A250) &gt; 0, "Done", IF(COUNTIF(Raw!$J$1:$J$500, A250) &gt; 0, "Pause", IF(COUNTIF(Raw!$K$1:$K$500, A250) &gt; 0, "On-Going", "Pause"))))</f>
        <v/>
      </c>
      <c r="G250" s="51"/>
      <c r="H250" s="50"/>
    </row>
    <row r="251" spans="1:8" x14ac:dyDescent="0.4">
      <c r="A251" s="61"/>
      <c r="B251" s="16" t="str">
        <f t="array" ref="B251">IFERROR(MIN(IF(Raw!$A$2:$A$26=MHT!A251,Raw!$B$2:$B$20)),"")</f>
        <v/>
      </c>
      <c r="C251" s="13" t="str">
        <f t="array" ref="C251">IFERROR(MIN(IF(Raw!$A$2:$A$26=MHT!A251,Raw!$C$2:$C$20)),"")</f>
        <v/>
      </c>
      <c r="D251" s="14" t="str">
        <f t="array" ref="D251">IF(Raw!D244="","",IFERROR(MAX(IF(Raw!$A$2:$A$26=MHT!A251,Raw!$D$2:$D$20)),""))</f>
        <v/>
      </c>
      <c r="E251" s="6" t="str">
        <f>IF(SUMIF(Raw!$A$2:$A$500, MHT!A251, Raw!$F$2:$F$500) = TIME(0,0,0), "", SUMIF(Raw!$A$2:$A$500, MHT!A251, Raw!$F$2:$F$500))</f>
        <v/>
      </c>
      <c r="F251" s="12" t="str">
        <f t="array" ref="F251">IF(A251="", "", IF(COUNTIF(Raw!$H$1:$I$500, A251) &gt; 0, "Done", IF(COUNTIF(Raw!$J$1:$J$500, A251) &gt; 0, "Pause", IF(COUNTIF(Raw!$K$1:$K$500, A251) &gt; 0, "On-Going", "Pause"))))</f>
        <v/>
      </c>
      <c r="G251" s="51"/>
      <c r="H251" s="50"/>
    </row>
    <row r="252" spans="1:8" x14ac:dyDescent="0.4">
      <c r="A252" s="61"/>
      <c r="B252" s="16" t="str">
        <f t="array" ref="B252">IFERROR(MIN(IF(Raw!$A$2:$A$26=MHT!A252,Raw!$B$2:$B$20)),"")</f>
        <v/>
      </c>
      <c r="C252" s="13" t="str">
        <f t="array" ref="C252">IFERROR(MIN(IF(Raw!$A$2:$A$26=MHT!A252,Raw!$C$2:$C$20)),"")</f>
        <v/>
      </c>
      <c r="D252" s="14" t="str">
        <f t="array" ref="D252">IF(Raw!D245="","",IFERROR(MAX(IF(Raw!$A$2:$A$26=MHT!A252,Raw!$D$2:$D$20)),""))</f>
        <v/>
      </c>
      <c r="E252" s="6" t="str">
        <f>IF(SUMIF(Raw!$A$2:$A$500, MHT!A252, Raw!$F$2:$F$500) = TIME(0,0,0), "", SUMIF(Raw!$A$2:$A$500, MHT!A252, Raw!$F$2:$F$500))</f>
        <v/>
      </c>
      <c r="F252" s="12" t="str">
        <f t="array" ref="F252">IF(A252="", "", IF(COUNTIF(Raw!$H$1:$I$500, A252) &gt; 0, "Done", IF(COUNTIF(Raw!$J$1:$J$500, A252) &gt; 0, "Pause", IF(COUNTIF(Raw!$K$1:$K$500, A252) &gt; 0, "On-Going", "Pause"))))</f>
        <v/>
      </c>
      <c r="G252" s="51"/>
      <c r="H252" s="50"/>
    </row>
    <row r="253" spans="1:8" x14ac:dyDescent="0.4">
      <c r="A253" s="61"/>
      <c r="B253" s="16" t="str">
        <f t="array" ref="B253">IFERROR(MIN(IF(Raw!$A$2:$A$26=MHT!A253,Raw!$B$2:$B$20)),"")</f>
        <v/>
      </c>
      <c r="C253" s="13" t="str">
        <f t="array" ref="C253">IFERROR(MIN(IF(Raw!$A$2:$A$26=MHT!A253,Raw!$C$2:$C$20)),"")</f>
        <v/>
      </c>
      <c r="D253" s="14" t="str">
        <f t="array" ref="D253">IF(Raw!D246="","",IFERROR(MAX(IF(Raw!$A$2:$A$26=MHT!A253,Raw!$D$2:$D$20)),""))</f>
        <v/>
      </c>
      <c r="E253" s="6" t="str">
        <f>IF(SUMIF(Raw!$A$2:$A$500, MHT!A253, Raw!$F$2:$F$500) = TIME(0,0,0), "", SUMIF(Raw!$A$2:$A$500, MHT!A253, Raw!$F$2:$F$500))</f>
        <v/>
      </c>
      <c r="F253" s="12" t="str">
        <f t="array" ref="F253">IF(A253="", "", IF(COUNTIF(Raw!$H$1:$I$500, A253) &gt; 0, "Done", IF(COUNTIF(Raw!$J$1:$J$500, A253) &gt; 0, "Pause", IF(COUNTIF(Raw!$K$1:$K$500, A253) &gt; 0, "On-Going", "Pause"))))</f>
        <v/>
      </c>
      <c r="G253" s="51"/>
      <c r="H253" s="50"/>
    </row>
    <row r="254" spans="1:8" x14ac:dyDescent="0.4">
      <c r="A254" s="61"/>
      <c r="B254" s="16" t="str">
        <f t="array" ref="B254">IFERROR(MIN(IF(Raw!$A$2:$A$26=MHT!A254,Raw!$B$2:$B$20)),"")</f>
        <v/>
      </c>
      <c r="C254" s="13" t="str">
        <f t="array" ref="C254">IFERROR(MIN(IF(Raw!$A$2:$A$26=MHT!A254,Raw!$C$2:$C$20)),"")</f>
        <v/>
      </c>
      <c r="D254" s="14" t="str">
        <f t="array" ref="D254">IF(Raw!D247="","",IFERROR(MAX(IF(Raw!$A$2:$A$26=MHT!A254,Raw!$D$2:$D$20)),""))</f>
        <v/>
      </c>
      <c r="E254" s="6" t="str">
        <f>IF(SUMIF(Raw!$A$2:$A$500, MHT!A254, Raw!$F$2:$F$500) = TIME(0,0,0), "", SUMIF(Raw!$A$2:$A$500, MHT!A254, Raw!$F$2:$F$500))</f>
        <v/>
      </c>
      <c r="F254" s="12" t="str">
        <f t="array" ref="F254">IF(A254="", "", IF(COUNTIF(Raw!$H$1:$I$500, A254) &gt; 0, "Done", IF(COUNTIF(Raw!$J$1:$J$500, A254) &gt; 0, "Pause", IF(COUNTIF(Raw!$K$1:$K$500, A254) &gt; 0, "On-Going", "Pause"))))</f>
        <v/>
      </c>
      <c r="G254" s="51"/>
      <c r="H254" s="50"/>
    </row>
    <row r="255" spans="1:8" x14ac:dyDescent="0.4">
      <c r="A255" s="61"/>
      <c r="B255" s="16" t="str">
        <f t="array" ref="B255">IFERROR(MIN(IF(Raw!$A$2:$A$26=MHT!A255,Raw!$B$2:$B$20)),"")</f>
        <v/>
      </c>
      <c r="C255" s="13" t="str">
        <f t="array" ref="C255">IFERROR(MIN(IF(Raw!$A$2:$A$26=MHT!A255,Raw!$C$2:$C$20)),"")</f>
        <v/>
      </c>
      <c r="D255" s="14" t="str">
        <f t="array" ref="D255">IF(Raw!D248="","",IFERROR(MAX(IF(Raw!$A$2:$A$26=MHT!A255,Raw!$D$2:$D$20)),""))</f>
        <v/>
      </c>
      <c r="E255" s="6" t="str">
        <f>IF(SUMIF(Raw!$A$2:$A$500, MHT!A255, Raw!$F$2:$F$500) = TIME(0,0,0), "", SUMIF(Raw!$A$2:$A$500, MHT!A255, Raw!$F$2:$F$500))</f>
        <v/>
      </c>
      <c r="F255" s="12" t="str">
        <f t="array" ref="F255">IF(A255="", "", IF(COUNTIF(Raw!$H$1:$I$500, A255) &gt; 0, "Done", IF(COUNTIF(Raw!$J$1:$J$500, A255) &gt; 0, "Pause", IF(COUNTIF(Raw!$K$1:$K$500, A255) &gt; 0, "On-Going", "Pause"))))</f>
        <v/>
      </c>
      <c r="G255" s="51"/>
      <c r="H255" s="50"/>
    </row>
    <row r="256" spans="1:8" x14ac:dyDescent="0.4">
      <c r="A256" s="61"/>
      <c r="B256" s="16" t="str">
        <f t="array" ref="B256">IFERROR(MIN(IF(Raw!$A$2:$A$26=MHT!A256,Raw!$B$2:$B$20)),"")</f>
        <v/>
      </c>
      <c r="C256" s="13" t="str">
        <f t="array" ref="C256">IFERROR(MIN(IF(Raw!$A$2:$A$26=MHT!A256,Raw!$C$2:$C$20)),"")</f>
        <v/>
      </c>
      <c r="D256" s="14" t="str">
        <f t="array" ref="D256">IF(Raw!D249="","",IFERROR(MAX(IF(Raw!$A$2:$A$26=MHT!A256,Raw!$D$2:$D$20)),""))</f>
        <v/>
      </c>
      <c r="E256" s="6" t="str">
        <f>IF(SUMIF(Raw!$A$2:$A$500, MHT!A256, Raw!$F$2:$F$500) = TIME(0,0,0), "", SUMIF(Raw!$A$2:$A$500, MHT!A256, Raw!$F$2:$F$500))</f>
        <v/>
      </c>
      <c r="F256" s="12" t="str">
        <f t="array" ref="F256">IF(A256="", "", IF(COUNTIF(Raw!$H$1:$I$500, A256) &gt; 0, "Done", IF(COUNTIF(Raw!$J$1:$J$500, A256) &gt; 0, "Pause", IF(COUNTIF(Raw!$K$1:$K$500, A256) &gt; 0, "On-Going", "Pause"))))</f>
        <v/>
      </c>
      <c r="G256" s="51"/>
      <c r="H256" s="50"/>
    </row>
    <row r="257" spans="1:8" x14ac:dyDescent="0.4">
      <c r="A257" s="61"/>
      <c r="B257" s="16" t="str">
        <f t="array" ref="B257">IFERROR(MIN(IF(Raw!$A$2:$A$26=MHT!A257,Raw!$B$2:$B$20)),"")</f>
        <v/>
      </c>
      <c r="C257" s="13" t="str">
        <f t="array" ref="C257">IFERROR(MIN(IF(Raw!$A$2:$A$26=MHT!A257,Raw!$C$2:$C$20)),"")</f>
        <v/>
      </c>
      <c r="D257" s="14" t="str">
        <f t="array" ref="D257">IF(Raw!D250="","",IFERROR(MAX(IF(Raw!$A$2:$A$26=MHT!A257,Raw!$D$2:$D$20)),""))</f>
        <v/>
      </c>
      <c r="E257" s="6" t="str">
        <f>IF(SUMIF(Raw!$A$2:$A$500, MHT!A257, Raw!$F$2:$F$500) = TIME(0,0,0), "", SUMIF(Raw!$A$2:$A$500, MHT!A257, Raw!$F$2:$F$500))</f>
        <v/>
      </c>
      <c r="F257" s="12" t="str">
        <f t="array" ref="F257">IF(A257="", "", IF(COUNTIF(Raw!$H$1:$I$500, A257) &gt; 0, "Done", IF(COUNTIF(Raw!$J$1:$J$500, A257) &gt; 0, "Pause", IF(COUNTIF(Raw!$K$1:$K$500, A257) &gt; 0, "On-Going", "Pause"))))</f>
        <v/>
      </c>
      <c r="G257" s="51"/>
      <c r="H257" s="50"/>
    </row>
    <row r="258" spans="1:8" x14ac:dyDescent="0.4">
      <c r="A258" s="61"/>
      <c r="B258" s="16" t="str">
        <f t="array" ref="B258">IFERROR(MIN(IF(Raw!$A$2:$A$26=MHT!A258,Raw!$B$2:$B$20)),"")</f>
        <v/>
      </c>
      <c r="C258" s="13" t="str">
        <f t="array" ref="C258">IFERROR(MIN(IF(Raw!$A$2:$A$26=MHT!A258,Raw!$C$2:$C$20)),"")</f>
        <v/>
      </c>
      <c r="D258" s="14" t="str">
        <f t="array" ref="D258">IF(Raw!D251="","",IFERROR(MAX(IF(Raw!$A$2:$A$26=MHT!A258,Raw!$D$2:$D$20)),""))</f>
        <v/>
      </c>
      <c r="E258" s="6" t="str">
        <f>IF(SUMIF(Raw!$A$2:$A$500, MHT!A258, Raw!$F$2:$F$500) = TIME(0,0,0), "", SUMIF(Raw!$A$2:$A$500, MHT!A258, Raw!$F$2:$F$500))</f>
        <v/>
      </c>
      <c r="F258" s="12" t="str">
        <f t="array" ref="F258">IF(A258="", "", IF(COUNTIF(Raw!$H$1:$I$500, A258) &gt; 0, "Done", IF(COUNTIF(Raw!$J$1:$J$500, A258) &gt; 0, "Pause", IF(COUNTIF(Raw!$K$1:$K$500, A258) &gt; 0, "On-Going", "Pause"))))</f>
        <v/>
      </c>
      <c r="G258" s="51"/>
      <c r="H258" s="50"/>
    </row>
    <row r="259" spans="1:8" x14ac:dyDescent="0.4">
      <c r="A259" s="61"/>
      <c r="B259" s="16" t="str">
        <f t="array" ref="B259">IFERROR(MIN(IF(Raw!$A$2:$A$26=MHT!A259,Raw!$B$2:$B$20)),"")</f>
        <v/>
      </c>
      <c r="C259" s="13" t="str">
        <f t="array" ref="C259">IFERROR(MIN(IF(Raw!$A$2:$A$26=MHT!A259,Raw!$C$2:$C$20)),"")</f>
        <v/>
      </c>
      <c r="D259" s="14" t="str">
        <f t="array" ref="D259">IF(Raw!D252="","",IFERROR(MAX(IF(Raw!$A$2:$A$26=MHT!A259,Raw!$D$2:$D$20)),""))</f>
        <v/>
      </c>
      <c r="E259" s="6" t="str">
        <f>IF(SUMIF(Raw!$A$2:$A$500, MHT!A259, Raw!$F$2:$F$500) = TIME(0,0,0), "", SUMIF(Raw!$A$2:$A$500, MHT!A259, Raw!$F$2:$F$500))</f>
        <v/>
      </c>
      <c r="F259" s="12" t="str">
        <f t="array" ref="F259">IF(A259="", "", IF(COUNTIF(Raw!$H$1:$I$500, A259) &gt; 0, "Done", IF(COUNTIF(Raw!$J$1:$J$500, A259) &gt; 0, "Pause", IF(COUNTIF(Raw!$K$1:$K$500, A259) &gt; 0, "On-Going", "Pause"))))</f>
        <v/>
      </c>
      <c r="G259" s="51"/>
      <c r="H259" s="50"/>
    </row>
    <row r="260" spans="1:8" x14ac:dyDescent="0.4">
      <c r="A260" s="61"/>
      <c r="B260" s="16" t="str">
        <f t="array" ref="B260">IFERROR(MIN(IF(Raw!$A$2:$A$26=MHT!A260,Raw!$B$2:$B$20)),"")</f>
        <v/>
      </c>
      <c r="C260" s="13" t="str">
        <f t="array" ref="C260">IFERROR(MIN(IF(Raw!$A$2:$A$26=MHT!A260,Raw!$C$2:$C$20)),"")</f>
        <v/>
      </c>
      <c r="D260" s="14" t="str">
        <f t="array" ref="D260">IF(Raw!D253="","",IFERROR(MAX(IF(Raw!$A$2:$A$26=MHT!A260,Raw!$D$2:$D$20)),""))</f>
        <v/>
      </c>
      <c r="E260" s="6" t="str">
        <f>IF(SUMIF(Raw!$A$2:$A$500, MHT!A260, Raw!$F$2:$F$500) = TIME(0,0,0), "", SUMIF(Raw!$A$2:$A$500, MHT!A260, Raw!$F$2:$F$500))</f>
        <v/>
      </c>
      <c r="F260" s="12" t="str">
        <f t="array" ref="F260">IF(A260="", "", IF(COUNTIF(Raw!$H$1:$I$500, A260) &gt; 0, "Done", IF(COUNTIF(Raw!$J$1:$J$500, A260) &gt; 0, "Pause", IF(COUNTIF(Raw!$K$1:$K$500, A260) &gt; 0, "On-Going", "Pause"))))</f>
        <v/>
      </c>
      <c r="G260" s="51"/>
      <c r="H260" s="50"/>
    </row>
    <row r="261" spans="1:8" x14ac:dyDescent="0.4">
      <c r="A261" s="61"/>
      <c r="B261" s="16" t="str">
        <f t="array" ref="B261">IFERROR(MIN(IF(Raw!$A$2:$A$26=MHT!A261,Raw!$B$2:$B$20)),"")</f>
        <v/>
      </c>
      <c r="C261" s="13" t="str">
        <f t="array" ref="C261">IFERROR(MIN(IF(Raw!$A$2:$A$26=MHT!A261,Raw!$C$2:$C$20)),"")</f>
        <v/>
      </c>
      <c r="D261" s="14" t="str">
        <f t="array" ref="D261">IF(Raw!D254="","",IFERROR(MAX(IF(Raw!$A$2:$A$26=MHT!A261,Raw!$D$2:$D$20)),""))</f>
        <v/>
      </c>
      <c r="E261" s="6" t="str">
        <f>IF(SUMIF(Raw!$A$2:$A$500, MHT!A261, Raw!$F$2:$F$500) = TIME(0,0,0), "", SUMIF(Raw!$A$2:$A$500, MHT!A261, Raw!$F$2:$F$500))</f>
        <v/>
      </c>
      <c r="F261" s="12" t="str">
        <f t="array" ref="F261">IF(A261="", "", IF(COUNTIF(Raw!$H$1:$I$500, A261) &gt; 0, "Done", IF(COUNTIF(Raw!$J$1:$J$500, A261) &gt; 0, "Pause", IF(COUNTIF(Raw!$K$1:$K$500, A261) &gt; 0, "On-Going", "Pause"))))</f>
        <v/>
      </c>
      <c r="G261" s="51"/>
      <c r="H261" s="50"/>
    </row>
    <row r="262" spans="1:8" x14ac:dyDescent="0.4">
      <c r="A262" s="61"/>
      <c r="B262" s="16" t="str">
        <f t="array" ref="B262">IFERROR(MIN(IF(Raw!$A$2:$A$26=MHT!A262,Raw!$B$2:$B$20)),"")</f>
        <v/>
      </c>
      <c r="C262" s="13" t="str">
        <f t="array" ref="C262">IFERROR(MIN(IF(Raw!$A$2:$A$26=MHT!A262,Raw!$C$2:$C$20)),"")</f>
        <v/>
      </c>
      <c r="D262" s="14" t="str">
        <f t="array" ref="D262">IF(Raw!D255="","",IFERROR(MAX(IF(Raw!$A$2:$A$26=MHT!A262,Raw!$D$2:$D$20)),""))</f>
        <v/>
      </c>
      <c r="E262" s="6" t="str">
        <f>IF(SUMIF(Raw!$A$2:$A$500, MHT!A262, Raw!$F$2:$F$500) = TIME(0,0,0), "", SUMIF(Raw!$A$2:$A$500, MHT!A262, Raw!$F$2:$F$500))</f>
        <v/>
      </c>
      <c r="F262" s="12" t="str">
        <f t="array" ref="F262">IF(A262="", "", IF(COUNTIF(Raw!$H$1:$I$500, A262) &gt; 0, "Done", IF(COUNTIF(Raw!$J$1:$J$500, A262) &gt; 0, "Pause", IF(COUNTIF(Raw!$K$1:$K$500, A262) &gt; 0, "On-Going", "Pause"))))</f>
        <v/>
      </c>
      <c r="G262" s="51"/>
      <c r="H262" s="50"/>
    </row>
    <row r="263" spans="1:8" x14ac:dyDescent="0.4">
      <c r="A263" s="61"/>
      <c r="B263" s="16" t="str">
        <f t="array" ref="B263">IFERROR(MIN(IF(Raw!$A$2:$A$26=MHT!A263,Raw!$B$2:$B$20)),"")</f>
        <v/>
      </c>
      <c r="C263" s="13" t="str">
        <f t="array" ref="C263">IFERROR(MIN(IF(Raw!$A$2:$A$26=MHT!A263,Raw!$C$2:$C$20)),"")</f>
        <v/>
      </c>
      <c r="D263" s="14" t="str">
        <f t="array" ref="D263">IF(Raw!D256="","",IFERROR(MAX(IF(Raw!$A$2:$A$26=MHT!A263,Raw!$D$2:$D$20)),""))</f>
        <v/>
      </c>
      <c r="E263" s="6" t="str">
        <f>IF(SUMIF(Raw!$A$2:$A$500, MHT!A263, Raw!$F$2:$F$500) = TIME(0,0,0), "", SUMIF(Raw!$A$2:$A$500, MHT!A263, Raw!$F$2:$F$500))</f>
        <v/>
      </c>
      <c r="F263" s="12" t="str">
        <f t="array" ref="F263">IF(A263="", "", IF(COUNTIF(Raw!$H$1:$I$500, A263) &gt; 0, "Done", IF(COUNTIF(Raw!$J$1:$J$500, A263) &gt; 0, "Pause", IF(COUNTIF(Raw!$K$1:$K$500, A263) &gt; 0, "On-Going", "Pause"))))</f>
        <v/>
      </c>
      <c r="G263" s="51"/>
      <c r="H263" s="50"/>
    </row>
    <row r="264" spans="1:8" x14ac:dyDescent="0.4">
      <c r="A264" s="61"/>
      <c r="B264" s="16" t="str">
        <f t="array" ref="B264">IFERROR(MIN(IF(Raw!$A$2:$A$26=MHT!A264,Raw!$B$2:$B$20)),"")</f>
        <v/>
      </c>
      <c r="C264" s="13" t="str">
        <f t="array" ref="C264">IFERROR(MIN(IF(Raw!$A$2:$A$26=MHT!A264,Raw!$C$2:$C$20)),"")</f>
        <v/>
      </c>
      <c r="D264" s="14" t="str">
        <f t="array" ref="D264">IF(Raw!D257="","",IFERROR(MAX(IF(Raw!$A$2:$A$26=MHT!A264,Raw!$D$2:$D$20)),""))</f>
        <v/>
      </c>
      <c r="E264" s="6" t="str">
        <f>IF(SUMIF(Raw!$A$2:$A$500, MHT!A264, Raw!$F$2:$F$500) = TIME(0,0,0), "", SUMIF(Raw!$A$2:$A$500, MHT!A264, Raw!$F$2:$F$500))</f>
        <v/>
      </c>
      <c r="F264" s="12" t="str">
        <f t="array" ref="F264">IF(A264="", "", IF(COUNTIF(Raw!$H$1:$I$500, A264) &gt; 0, "Done", IF(COUNTIF(Raw!$J$1:$J$500, A264) &gt; 0, "Pause", IF(COUNTIF(Raw!$K$1:$K$500, A264) &gt; 0, "On-Going", "Pause"))))</f>
        <v/>
      </c>
      <c r="G264" s="51"/>
      <c r="H264" s="50"/>
    </row>
    <row r="265" spans="1:8" x14ac:dyDescent="0.4">
      <c r="A265" s="61"/>
      <c r="B265" s="16" t="str">
        <f t="array" ref="B265">IFERROR(MIN(IF(Raw!$A$2:$A$26=MHT!A265,Raw!$B$2:$B$20)),"")</f>
        <v/>
      </c>
      <c r="C265" s="13" t="str">
        <f t="array" ref="C265">IFERROR(MIN(IF(Raw!$A$2:$A$26=MHT!A265,Raw!$C$2:$C$20)),"")</f>
        <v/>
      </c>
      <c r="D265" s="14" t="str">
        <f t="array" ref="D265">IF(Raw!D258="","",IFERROR(MAX(IF(Raw!$A$2:$A$26=MHT!A265,Raw!$D$2:$D$20)),""))</f>
        <v/>
      </c>
      <c r="E265" s="6" t="str">
        <f>IF(SUMIF(Raw!$A$2:$A$500, MHT!A265, Raw!$F$2:$F$500) = TIME(0,0,0), "", SUMIF(Raw!$A$2:$A$500, MHT!A265, Raw!$F$2:$F$500))</f>
        <v/>
      </c>
      <c r="F265" s="12" t="str">
        <f t="array" ref="F265">IF(A265="", "", IF(COUNTIF(Raw!$H$1:$I$500, A265) &gt; 0, "Done", IF(COUNTIF(Raw!$J$1:$J$500, A265) &gt; 0, "Pause", IF(COUNTIF(Raw!$K$1:$K$500, A265) &gt; 0, "On-Going", "Pause"))))</f>
        <v/>
      </c>
      <c r="G265" s="51"/>
      <c r="H265" s="50"/>
    </row>
    <row r="266" spans="1:8" x14ac:dyDescent="0.4">
      <c r="A266" s="61"/>
      <c r="B266" s="16" t="str">
        <f t="array" ref="B266">IFERROR(MIN(IF(Raw!$A$2:$A$26=MHT!A266,Raw!$B$2:$B$20)),"")</f>
        <v/>
      </c>
      <c r="C266" s="13" t="str">
        <f t="array" ref="C266">IFERROR(MIN(IF(Raw!$A$2:$A$26=MHT!A266,Raw!$C$2:$C$20)),"")</f>
        <v/>
      </c>
      <c r="D266" s="14" t="str">
        <f t="array" ref="D266">IF(Raw!D259="","",IFERROR(MAX(IF(Raw!$A$2:$A$26=MHT!A266,Raw!$D$2:$D$20)),""))</f>
        <v/>
      </c>
      <c r="E266" s="6" t="str">
        <f>IF(SUMIF(Raw!$A$2:$A$500, MHT!A266, Raw!$F$2:$F$500) = TIME(0,0,0), "", SUMIF(Raw!$A$2:$A$500, MHT!A266, Raw!$F$2:$F$500))</f>
        <v/>
      </c>
      <c r="F266" s="12" t="str">
        <f t="array" ref="F266">IF(A266="", "", IF(COUNTIF(Raw!$H$1:$I$500, A266) &gt; 0, "Done", IF(COUNTIF(Raw!$J$1:$J$500, A266) &gt; 0, "Pause", IF(COUNTIF(Raw!$K$1:$K$500, A266) &gt; 0, "On-Going", "Pause"))))</f>
        <v/>
      </c>
      <c r="G266" s="51"/>
      <c r="H266" s="50"/>
    </row>
    <row r="267" spans="1:8" x14ac:dyDescent="0.4">
      <c r="A267" s="61"/>
      <c r="B267" s="16" t="str">
        <f t="array" ref="B267">IFERROR(MIN(IF(Raw!$A$2:$A$26=MHT!A267,Raw!$B$2:$B$20)),"")</f>
        <v/>
      </c>
      <c r="C267" s="13" t="str">
        <f t="array" ref="C267">IFERROR(MIN(IF(Raw!$A$2:$A$26=MHT!A267,Raw!$C$2:$C$20)),"")</f>
        <v/>
      </c>
      <c r="D267" s="14" t="str">
        <f t="array" ref="D267">IF(Raw!D260="","",IFERROR(MAX(IF(Raw!$A$2:$A$26=MHT!A267,Raw!$D$2:$D$20)),""))</f>
        <v/>
      </c>
      <c r="E267" s="6" t="str">
        <f>IF(SUMIF(Raw!$A$2:$A$500, MHT!A267, Raw!$F$2:$F$500) = TIME(0,0,0), "", SUMIF(Raw!$A$2:$A$500, MHT!A267, Raw!$F$2:$F$500))</f>
        <v/>
      </c>
      <c r="F267" s="12" t="str">
        <f t="array" ref="F267">IF(A267="", "", IF(COUNTIF(Raw!$H$1:$I$500, A267) &gt; 0, "Done", IF(COUNTIF(Raw!$J$1:$J$500, A267) &gt; 0, "Pause", IF(COUNTIF(Raw!$K$1:$K$500, A267) &gt; 0, "On-Going", "Pause"))))</f>
        <v/>
      </c>
      <c r="G267" s="51"/>
      <c r="H267" s="50"/>
    </row>
    <row r="268" spans="1:8" x14ac:dyDescent="0.4">
      <c r="A268" s="61"/>
      <c r="B268" s="16" t="str">
        <f t="array" ref="B268">IFERROR(MIN(IF(Raw!$A$2:$A$26=MHT!A268,Raw!$B$2:$B$20)),"")</f>
        <v/>
      </c>
      <c r="C268" s="13" t="str">
        <f t="array" ref="C268">IFERROR(MIN(IF(Raw!$A$2:$A$26=MHT!A268,Raw!$C$2:$C$20)),"")</f>
        <v/>
      </c>
      <c r="D268" s="14" t="str">
        <f t="array" ref="D268">IF(Raw!D261="","",IFERROR(MAX(IF(Raw!$A$2:$A$26=MHT!A268,Raw!$D$2:$D$20)),""))</f>
        <v/>
      </c>
      <c r="E268" s="6" t="str">
        <f>IF(SUMIF(Raw!$A$2:$A$500, MHT!A268, Raw!$F$2:$F$500) = TIME(0,0,0), "", SUMIF(Raw!$A$2:$A$500, MHT!A268, Raw!$F$2:$F$500))</f>
        <v/>
      </c>
      <c r="F268" s="12" t="str">
        <f t="array" ref="F268">IF(A268="", "", IF(COUNTIF(Raw!$H$1:$I$500, A268) &gt; 0, "Done", IF(COUNTIF(Raw!$J$1:$J$500, A268) &gt; 0, "Pause", IF(COUNTIF(Raw!$K$1:$K$500, A268) &gt; 0, "On-Going", "Pause"))))</f>
        <v/>
      </c>
      <c r="G268" s="51"/>
      <c r="H268" s="50"/>
    </row>
    <row r="269" spans="1:8" x14ac:dyDescent="0.4">
      <c r="A269" s="61"/>
      <c r="B269" s="16" t="str">
        <f t="array" ref="B269">IFERROR(MIN(IF(Raw!$A$2:$A$26=MHT!A269,Raw!$B$2:$B$20)),"")</f>
        <v/>
      </c>
      <c r="C269" s="13" t="str">
        <f t="array" ref="C269">IFERROR(MIN(IF(Raw!$A$2:$A$26=MHT!A269,Raw!$C$2:$C$20)),"")</f>
        <v/>
      </c>
      <c r="D269" s="14" t="str">
        <f t="array" ref="D269">IF(Raw!D262="","",IFERROR(MAX(IF(Raw!$A$2:$A$26=MHT!A269,Raw!$D$2:$D$20)),""))</f>
        <v/>
      </c>
      <c r="E269" s="6" t="str">
        <f>IF(SUMIF(Raw!$A$2:$A$500, MHT!A269, Raw!$F$2:$F$500) = TIME(0,0,0), "", SUMIF(Raw!$A$2:$A$500, MHT!A269, Raw!$F$2:$F$500))</f>
        <v/>
      </c>
      <c r="F269" s="12" t="str">
        <f t="array" ref="F269">IF(A269="", "", IF(COUNTIF(Raw!$H$1:$I$500, A269) &gt; 0, "Done", IF(COUNTIF(Raw!$J$1:$J$500, A269) &gt; 0, "Pause", IF(COUNTIF(Raw!$K$1:$K$500, A269) &gt; 0, "On-Going", "Pause"))))</f>
        <v/>
      </c>
      <c r="G269" s="51"/>
      <c r="H269" s="50"/>
    </row>
    <row r="270" spans="1:8" x14ac:dyDescent="0.4">
      <c r="A270" s="61"/>
      <c r="B270" s="16" t="str">
        <f t="array" ref="B270">IFERROR(MIN(IF(Raw!$A$2:$A$26=MHT!A270,Raw!$B$2:$B$20)),"")</f>
        <v/>
      </c>
      <c r="C270" s="13" t="str">
        <f t="array" ref="C270">IFERROR(MIN(IF(Raw!$A$2:$A$26=MHT!A270,Raw!$C$2:$C$20)),"")</f>
        <v/>
      </c>
      <c r="D270" s="14" t="str">
        <f t="array" ref="D270">IF(Raw!D263="","",IFERROR(MAX(IF(Raw!$A$2:$A$26=MHT!A270,Raw!$D$2:$D$20)),""))</f>
        <v/>
      </c>
      <c r="E270" s="6" t="str">
        <f>IF(SUMIF(Raw!$A$2:$A$500, MHT!A270, Raw!$F$2:$F$500) = TIME(0,0,0), "", SUMIF(Raw!$A$2:$A$500, MHT!A270, Raw!$F$2:$F$500))</f>
        <v/>
      </c>
      <c r="F270" s="12" t="str">
        <f t="array" ref="F270">IF(A270="", "", IF(COUNTIF(Raw!$H$1:$I$500, A270) &gt; 0, "Done", IF(COUNTIF(Raw!$J$1:$J$500, A270) &gt; 0, "Pause", IF(COUNTIF(Raw!$K$1:$K$500, A270) &gt; 0, "On-Going", "Pause"))))</f>
        <v/>
      </c>
      <c r="G270" s="51"/>
      <c r="H270" s="50"/>
    </row>
    <row r="271" spans="1:8" x14ac:dyDescent="0.4">
      <c r="A271" s="61"/>
      <c r="B271" s="16" t="str">
        <f t="array" ref="B271">IFERROR(MIN(IF(Raw!$A$2:$A$26=MHT!A271,Raw!$B$2:$B$20)),"")</f>
        <v/>
      </c>
      <c r="C271" s="13" t="str">
        <f t="array" ref="C271">IFERROR(MIN(IF(Raw!$A$2:$A$26=MHT!A271,Raw!$C$2:$C$20)),"")</f>
        <v/>
      </c>
      <c r="D271" s="14" t="str">
        <f t="array" ref="D271">IF(Raw!D264="","",IFERROR(MAX(IF(Raw!$A$2:$A$26=MHT!A271,Raw!$D$2:$D$20)),""))</f>
        <v/>
      </c>
      <c r="E271" s="6" t="str">
        <f>IF(SUMIF(Raw!$A$2:$A$500, MHT!A271, Raw!$F$2:$F$500) = TIME(0,0,0), "", SUMIF(Raw!$A$2:$A$500, MHT!A271, Raw!$F$2:$F$500))</f>
        <v/>
      </c>
      <c r="F271" s="12" t="str">
        <f t="array" ref="F271">IF(A271="", "", IF(COUNTIF(Raw!$H$1:$I$500, A271) &gt; 0, "Done", IF(COUNTIF(Raw!$J$1:$J$500, A271) &gt; 0, "Pause", IF(COUNTIF(Raw!$K$1:$K$500, A271) &gt; 0, "On-Going", "Pause"))))</f>
        <v/>
      </c>
      <c r="G271" s="51"/>
      <c r="H271" s="50"/>
    </row>
    <row r="272" spans="1:8" x14ac:dyDescent="0.4">
      <c r="A272" s="61"/>
      <c r="B272" s="16" t="str">
        <f t="array" ref="B272">IFERROR(MIN(IF(Raw!$A$2:$A$26=MHT!A272,Raw!$B$2:$B$20)),"")</f>
        <v/>
      </c>
      <c r="C272" s="13" t="str">
        <f t="array" ref="C272">IFERROR(MIN(IF(Raw!$A$2:$A$26=MHT!A272,Raw!$C$2:$C$20)),"")</f>
        <v/>
      </c>
      <c r="D272" s="14" t="str">
        <f t="array" ref="D272">IF(Raw!D265="","",IFERROR(MAX(IF(Raw!$A$2:$A$26=MHT!A272,Raw!$D$2:$D$20)),""))</f>
        <v/>
      </c>
      <c r="E272" s="6" t="str">
        <f>IF(SUMIF(Raw!$A$2:$A$500, MHT!A272, Raw!$F$2:$F$500) = TIME(0,0,0), "", SUMIF(Raw!$A$2:$A$500, MHT!A272, Raw!$F$2:$F$500))</f>
        <v/>
      </c>
      <c r="F272" s="12" t="str">
        <f t="array" ref="F272">IF(A272="", "", IF(COUNTIF(Raw!$H$1:$I$500, A272) &gt; 0, "Done", IF(COUNTIF(Raw!$J$1:$J$500, A272) &gt; 0, "Pause", IF(COUNTIF(Raw!$K$1:$K$500, A272) &gt; 0, "On-Going", "Pause"))))</f>
        <v/>
      </c>
      <c r="G272" s="51"/>
      <c r="H272" s="50"/>
    </row>
    <row r="273" spans="1:8" x14ac:dyDescent="0.4">
      <c r="A273" s="61"/>
      <c r="B273" s="16" t="str">
        <f t="array" ref="B273">IFERROR(MIN(IF(Raw!$A$2:$A$26=MHT!A273,Raw!$B$2:$B$20)),"")</f>
        <v/>
      </c>
      <c r="C273" s="13" t="str">
        <f t="array" ref="C273">IFERROR(MIN(IF(Raw!$A$2:$A$26=MHT!A273,Raw!$C$2:$C$20)),"")</f>
        <v/>
      </c>
      <c r="D273" s="14" t="str">
        <f t="array" ref="D273">IF(Raw!D266="","",IFERROR(MAX(IF(Raw!$A$2:$A$26=MHT!A273,Raw!$D$2:$D$20)),""))</f>
        <v/>
      </c>
      <c r="E273" s="6" t="str">
        <f>IF(SUMIF(Raw!$A$2:$A$500, MHT!A273, Raw!$F$2:$F$500) = TIME(0,0,0), "", SUMIF(Raw!$A$2:$A$500, MHT!A273, Raw!$F$2:$F$500))</f>
        <v/>
      </c>
      <c r="F273" s="12" t="str">
        <f t="array" ref="F273">IF(A273="", "", IF(COUNTIF(Raw!$H$1:$I$500, A273) &gt; 0, "Done", IF(COUNTIF(Raw!$J$1:$J$500, A273) &gt; 0, "Pause", IF(COUNTIF(Raw!$K$1:$K$500, A273) &gt; 0, "On-Going", "Pause"))))</f>
        <v/>
      </c>
      <c r="G273" s="51"/>
      <c r="H273" s="50"/>
    </row>
    <row r="274" spans="1:8" x14ac:dyDescent="0.4">
      <c r="A274" s="61"/>
      <c r="B274" s="16" t="str">
        <f t="array" ref="B274">IFERROR(MIN(IF(Raw!$A$2:$A$26=MHT!A274,Raw!$B$2:$B$20)),"")</f>
        <v/>
      </c>
      <c r="C274" s="13" t="str">
        <f t="array" ref="C274">IFERROR(MIN(IF(Raw!$A$2:$A$26=MHT!A274,Raw!$C$2:$C$20)),"")</f>
        <v/>
      </c>
      <c r="D274" s="14" t="str">
        <f t="array" ref="D274">IF(Raw!D267="","",IFERROR(MAX(IF(Raw!$A$2:$A$26=MHT!A274,Raw!$D$2:$D$20)),""))</f>
        <v/>
      </c>
      <c r="E274" s="6" t="str">
        <f>IF(SUMIF(Raw!$A$2:$A$500, MHT!A274, Raw!$F$2:$F$500) = TIME(0,0,0), "", SUMIF(Raw!$A$2:$A$500, MHT!A274, Raw!$F$2:$F$500))</f>
        <v/>
      </c>
      <c r="F274" s="12" t="str">
        <f t="array" ref="F274">IF(A274="", "", IF(COUNTIF(Raw!$H$1:$I$500, A274) &gt; 0, "Done", IF(COUNTIF(Raw!$J$1:$J$500, A274) &gt; 0, "Pause", IF(COUNTIF(Raw!$K$1:$K$500, A274) &gt; 0, "On-Going", "Pause"))))</f>
        <v/>
      </c>
      <c r="G274" s="51"/>
      <c r="H274" s="50"/>
    </row>
    <row r="275" spans="1:8" x14ac:dyDescent="0.4">
      <c r="A275" s="61"/>
      <c r="B275" s="16" t="str">
        <f t="array" ref="B275">IFERROR(MIN(IF(Raw!$A$2:$A$26=MHT!A275,Raw!$B$2:$B$20)),"")</f>
        <v/>
      </c>
      <c r="C275" s="13" t="str">
        <f t="array" ref="C275">IFERROR(MIN(IF(Raw!$A$2:$A$26=MHT!A275,Raw!$C$2:$C$20)),"")</f>
        <v/>
      </c>
      <c r="D275" s="14" t="str">
        <f t="array" ref="D275">IF(Raw!D268="","",IFERROR(MAX(IF(Raw!$A$2:$A$26=MHT!A275,Raw!$D$2:$D$20)),""))</f>
        <v/>
      </c>
      <c r="E275" s="6" t="str">
        <f>IF(SUMIF(Raw!$A$2:$A$500, MHT!A275, Raw!$F$2:$F$500) = TIME(0,0,0), "", SUMIF(Raw!$A$2:$A$500, MHT!A275, Raw!$F$2:$F$500))</f>
        <v/>
      </c>
      <c r="F275" s="12" t="str">
        <f t="array" ref="F275">IF(A275="", "", IF(COUNTIF(Raw!$H$1:$I$500, A275) &gt; 0, "Done", IF(COUNTIF(Raw!$J$1:$J$500, A275) &gt; 0, "Pause", IF(COUNTIF(Raw!$K$1:$K$500, A275) &gt; 0, "On-Going", "Pause"))))</f>
        <v/>
      </c>
      <c r="G275" s="51"/>
      <c r="H275" s="50"/>
    </row>
    <row r="276" spans="1:8" x14ac:dyDescent="0.4">
      <c r="A276" s="61"/>
      <c r="B276" s="16" t="str">
        <f t="array" ref="B276">IFERROR(MIN(IF(Raw!$A$2:$A$26=MHT!A276,Raw!$B$2:$B$20)),"")</f>
        <v/>
      </c>
      <c r="C276" s="13" t="str">
        <f t="array" ref="C276">IFERROR(MIN(IF(Raw!$A$2:$A$26=MHT!A276,Raw!$C$2:$C$20)),"")</f>
        <v/>
      </c>
      <c r="D276" s="14" t="str">
        <f t="array" ref="D276">IF(Raw!D269="","",IFERROR(MAX(IF(Raw!$A$2:$A$26=MHT!A276,Raw!$D$2:$D$20)),""))</f>
        <v/>
      </c>
      <c r="E276" s="6" t="str">
        <f>IF(SUMIF(Raw!$A$2:$A$500, MHT!A276, Raw!$F$2:$F$500) = TIME(0,0,0), "", SUMIF(Raw!$A$2:$A$500, MHT!A276, Raw!$F$2:$F$500))</f>
        <v/>
      </c>
      <c r="F276" s="12" t="str">
        <f t="array" ref="F276">IF(A276="", "", IF(COUNTIF(Raw!$H$1:$I$500, A276) &gt; 0, "Done", IF(COUNTIF(Raw!$J$1:$J$500, A276) &gt; 0, "Pause", IF(COUNTIF(Raw!$K$1:$K$500, A276) &gt; 0, "On-Going", "Pause"))))</f>
        <v/>
      </c>
      <c r="G276" s="51"/>
      <c r="H276" s="50"/>
    </row>
    <row r="277" spans="1:8" x14ac:dyDescent="0.4">
      <c r="A277" s="61"/>
      <c r="B277" s="16" t="str">
        <f t="array" ref="B277">IFERROR(MIN(IF(Raw!$A$2:$A$26=MHT!A277,Raw!$B$2:$B$20)),"")</f>
        <v/>
      </c>
      <c r="C277" s="13" t="str">
        <f t="array" ref="C277">IFERROR(MIN(IF(Raw!$A$2:$A$26=MHT!A277,Raw!$C$2:$C$20)),"")</f>
        <v/>
      </c>
      <c r="D277" s="14" t="str">
        <f t="array" ref="D277">IF(Raw!D270="","",IFERROR(MAX(IF(Raw!$A$2:$A$26=MHT!A277,Raw!$D$2:$D$20)),""))</f>
        <v/>
      </c>
      <c r="E277" s="6" t="str">
        <f>IF(SUMIF(Raw!$A$2:$A$500, MHT!A277, Raw!$F$2:$F$500) = TIME(0,0,0), "", SUMIF(Raw!$A$2:$A$500, MHT!A277, Raw!$F$2:$F$500))</f>
        <v/>
      </c>
      <c r="F277" s="12" t="str">
        <f t="array" ref="F277">IF(A277="", "", IF(COUNTIF(Raw!$H$1:$I$500, A277) &gt; 0, "Done", IF(COUNTIF(Raw!$J$1:$J$500, A277) &gt; 0, "Pause", IF(COUNTIF(Raw!$K$1:$K$500, A277) &gt; 0, "On-Going", "Pause"))))</f>
        <v/>
      </c>
      <c r="G277" s="51"/>
      <c r="H277" s="50"/>
    </row>
    <row r="278" spans="1:8" x14ac:dyDescent="0.4">
      <c r="A278" s="61"/>
      <c r="B278" s="16" t="str">
        <f t="array" ref="B278">IFERROR(MIN(IF(Raw!$A$2:$A$26=MHT!A278,Raw!$B$2:$B$20)),"")</f>
        <v/>
      </c>
      <c r="C278" s="13" t="str">
        <f t="array" ref="C278">IFERROR(MIN(IF(Raw!$A$2:$A$26=MHT!A278,Raw!$C$2:$C$20)),"")</f>
        <v/>
      </c>
      <c r="D278" s="14" t="str">
        <f t="array" ref="D278">IF(Raw!D271="","",IFERROR(MAX(IF(Raw!$A$2:$A$26=MHT!A278,Raw!$D$2:$D$20)),""))</f>
        <v/>
      </c>
      <c r="E278" s="6" t="str">
        <f>IF(SUMIF(Raw!$A$2:$A$500, MHT!A278, Raw!$F$2:$F$500) = TIME(0,0,0), "", SUMIF(Raw!$A$2:$A$500, MHT!A278, Raw!$F$2:$F$500))</f>
        <v/>
      </c>
      <c r="F278" s="12" t="str">
        <f t="array" ref="F278">IF(A278="", "", IF(COUNTIF(Raw!$H$1:$I$500, A278) &gt; 0, "Done", IF(COUNTIF(Raw!$J$1:$J$500, A278) &gt; 0, "Pause", IF(COUNTIF(Raw!$K$1:$K$500, A278) &gt; 0, "On-Going", "Pause"))))</f>
        <v/>
      </c>
      <c r="G278" s="51"/>
      <c r="H278" s="50"/>
    </row>
    <row r="279" spans="1:8" x14ac:dyDescent="0.4">
      <c r="A279" s="61"/>
      <c r="B279" s="16" t="str">
        <f t="array" ref="B279">IFERROR(MIN(IF(Raw!$A$2:$A$26=MHT!A279,Raw!$B$2:$B$20)),"")</f>
        <v/>
      </c>
      <c r="C279" s="13" t="str">
        <f t="array" ref="C279">IFERROR(MIN(IF(Raw!$A$2:$A$26=MHT!A279,Raw!$C$2:$C$20)),"")</f>
        <v/>
      </c>
      <c r="D279" s="14" t="str">
        <f t="array" ref="D279">IF(Raw!D272="","",IFERROR(MAX(IF(Raw!$A$2:$A$26=MHT!A279,Raw!$D$2:$D$20)),""))</f>
        <v/>
      </c>
      <c r="E279" s="6" t="str">
        <f>IF(SUMIF(Raw!$A$2:$A$500, MHT!A279, Raw!$F$2:$F$500) = TIME(0,0,0), "", SUMIF(Raw!$A$2:$A$500, MHT!A279, Raw!$F$2:$F$500))</f>
        <v/>
      </c>
      <c r="F279" s="12" t="str">
        <f t="array" ref="F279">IF(A279="", "", IF(COUNTIF(Raw!$H$1:$I$500, A279) &gt; 0, "Done", IF(COUNTIF(Raw!$J$1:$J$500, A279) &gt; 0, "Pause", IF(COUNTIF(Raw!$K$1:$K$500, A279) &gt; 0, "On-Going", "Pause"))))</f>
        <v/>
      </c>
      <c r="G279" s="51"/>
      <c r="H279" s="50"/>
    </row>
    <row r="280" spans="1:8" x14ac:dyDescent="0.4">
      <c r="A280" s="61"/>
      <c r="B280" s="16" t="str">
        <f t="array" ref="B280">IFERROR(MIN(IF(Raw!$A$2:$A$26=MHT!A280,Raw!$B$2:$B$20)),"")</f>
        <v/>
      </c>
      <c r="C280" s="13" t="str">
        <f t="array" ref="C280">IFERROR(MIN(IF(Raw!$A$2:$A$26=MHT!A280,Raw!$C$2:$C$20)),"")</f>
        <v/>
      </c>
      <c r="D280" s="14" t="str">
        <f t="array" ref="D280">IF(Raw!D273="","",IFERROR(MAX(IF(Raw!$A$2:$A$26=MHT!A280,Raw!$D$2:$D$20)),""))</f>
        <v/>
      </c>
      <c r="E280" s="6" t="str">
        <f>IF(SUMIF(Raw!$A$2:$A$500, MHT!A280, Raw!$F$2:$F$500) = TIME(0,0,0), "", SUMIF(Raw!$A$2:$A$500, MHT!A280, Raw!$F$2:$F$500))</f>
        <v/>
      </c>
      <c r="F280" s="12" t="str">
        <f t="array" ref="F280">IF(A280="", "", IF(COUNTIF(Raw!$H$1:$I$500, A280) &gt; 0, "Done", IF(COUNTIF(Raw!$J$1:$J$500, A280) &gt; 0, "Pause", IF(COUNTIF(Raw!$K$1:$K$500, A280) &gt; 0, "On-Going", "Pause"))))</f>
        <v/>
      </c>
      <c r="G280" s="51"/>
      <c r="H280" s="50"/>
    </row>
    <row r="281" spans="1:8" x14ac:dyDescent="0.4">
      <c r="A281" s="61"/>
      <c r="B281" s="16" t="str">
        <f t="array" ref="B281">IFERROR(MIN(IF(Raw!$A$2:$A$26=MHT!A281,Raw!$B$2:$B$20)),"")</f>
        <v/>
      </c>
      <c r="C281" s="13" t="str">
        <f t="array" ref="C281">IFERROR(MIN(IF(Raw!$A$2:$A$26=MHT!A281,Raw!$C$2:$C$20)),"")</f>
        <v/>
      </c>
      <c r="D281" s="14" t="str">
        <f t="array" ref="D281">IF(Raw!D274="","",IFERROR(MAX(IF(Raw!$A$2:$A$26=MHT!A281,Raw!$D$2:$D$20)),""))</f>
        <v/>
      </c>
      <c r="E281" s="6" t="str">
        <f>IF(SUMIF(Raw!$A$2:$A$500, MHT!A281, Raw!$F$2:$F$500) = TIME(0,0,0), "", SUMIF(Raw!$A$2:$A$500, MHT!A281, Raw!$F$2:$F$500))</f>
        <v/>
      </c>
      <c r="F281" s="12" t="str">
        <f t="array" ref="F281">IF(A281="", "", IF(COUNTIF(Raw!$H$1:$I$500, A281) &gt; 0, "Done", IF(COUNTIF(Raw!$J$1:$J$500, A281) &gt; 0, "Pause", IF(COUNTIF(Raw!$K$1:$K$500, A281) &gt; 0, "On-Going", "Pause"))))</f>
        <v/>
      </c>
      <c r="G281" s="51"/>
      <c r="H281" s="50"/>
    </row>
    <row r="282" spans="1:8" x14ac:dyDescent="0.4">
      <c r="A282" s="61"/>
      <c r="B282" s="16" t="str">
        <f t="array" ref="B282">IFERROR(MIN(IF(Raw!$A$2:$A$26=MHT!A282,Raw!$B$2:$B$20)),"")</f>
        <v/>
      </c>
      <c r="C282" s="13" t="str">
        <f t="array" ref="C282">IFERROR(MIN(IF(Raw!$A$2:$A$26=MHT!A282,Raw!$C$2:$C$20)),"")</f>
        <v/>
      </c>
      <c r="D282" s="14" t="str">
        <f t="array" ref="D282">IF(Raw!D275="","",IFERROR(MAX(IF(Raw!$A$2:$A$26=MHT!A282,Raw!$D$2:$D$20)),""))</f>
        <v/>
      </c>
      <c r="E282" s="6" t="str">
        <f>IF(SUMIF(Raw!$A$2:$A$500, MHT!A282, Raw!$F$2:$F$500) = TIME(0,0,0), "", SUMIF(Raw!$A$2:$A$500, MHT!A282, Raw!$F$2:$F$500))</f>
        <v/>
      </c>
      <c r="F282" s="12" t="str">
        <f t="array" ref="F282">IF(A282="", "", IF(COUNTIF(Raw!$H$1:$I$500, A282) &gt; 0, "Done", IF(COUNTIF(Raw!$J$1:$J$500, A282) &gt; 0, "Pause", IF(COUNTIF(Raw!$K$1:$K$500, A282) &gt; 0, "On-Going", "Pause"))))</f>
        <v/>
      </c>
      <c r="G282" s="51"/>
      <c r="H282" s="50"/>
    </row>
    <row r="283" spans="1:8" x14ac:dyDescent="0.4">
      <c r="A283" s="61"/>
      <c r="B283" s="16" t="str">
        <f t="array" ref="B283">IFERROR(MIN(IF(Raw!$A$2:$A$26=MHT!A283,Raw!$B$2:$B$20)),"")</f>
        <v/>
      </c>
      <c r="C283" s="13" t="str">
        <f t="array" ref="C283">IFERROR(MIN(IF(Raw!$A$2:$A$26=MHT!A283,Raw!$C$2:$C$20)),"")</f>
        <v/>
      </c>
      <c r="D283" s="14" t="str">
        <f t="array" ref="D283">IF(Raw!D276="","",IFERROR(MAX(IF(Raw!$A$2:$A$26=MHT!A283,Raw!$D$2:$D$20)),""))</f>
        <v/>
      </c>
      <c r="E283" s="6" t="str">
        <f>IF(SUMIF(Raw!$A$2:$A$500, MHT!A283, Raw!$F$2:$F$500) = TIME(0,0,0), "", SUMIF(Raw!$A$2:$A$500, MHT!A283, Raw!$F$2:$F$500))</f>
        <v/>
      </c>
      <c r="F283" s="12" t="str">
        <f t="array" ref="F283">IF(A283="", "", IF(COUNTIF(Raw!$H$1:$I$500, A283) &gt; 0, "Done", IF(COUNTIF(Raw!$J$1:$J$500, A283) &gt; 0, "Pause", IF(COUNTIF(Raw!$K$1:$K$500, A283) &gt; 0, "On-Going", "Pause"))))</f>
        <v/>
      </c>
      <c r="G283" s="51"/>
      <c r="H283" s="50"/>
    </row>
    <row r="284" spans="1:8" x14ac:dyDescent="0.4">
      <c r="A284" s="61"/>
      <c r="B284" s="16" t="str">
        <f t="array" ref="B284">IFERROR(MIN(IF(Raw!$A$2:$A$26=MHT!A284,Raw!$B$2:$B$20)),"")</f>
        <v/>
      </c>
      <c r="C284" s="13" t="str">
        <f t="array" ref="C284">IFERROR(MIN(IF(Raw!$A$2:$A$26=MHT!A284,Raw!$C$2:$C$20)),"")</f>
        <v/>
      </c>
      <c r="D284" s="14" t="str">
        <f t="array" ref="D284">IF(Raw!D277="","",IFERROR(MAX(IF(Raw!$A$2:$A$26=MHT!A284,Raw!$D$2:$D$20)),""))</f>
        <v/>
      </c>
      <c r="E284" s="6" t="str">
        <f>IF(SUMIF(Raw!$A$2:$A$500, MHT!A284, Raw!$F$2:$F$500) = TIME(0,0,0), "", SUMIF(Raw!$A$2:$A$500, MHT!A284, Raw!$F$2:$F$500))</f>
        <v/>
      </c>
      <c r="F284" s="12" t="str">
        <f t="array" ref="F284">IF(A284="", "", IF(COUNTIF(Raw!$H$1:$I$500, A284) &gt; 0, "Done", IF(COUNTIF(Raw!$J$1:$J$500, A284) &gt; 0, "Pause", IF(COUNTIF(Raw!$K$1:$K$500, A284) &gt; 0, "On-Going", "Pause"))))</f>
        <v/>
      </c>
      <c r="G284" s="51"/>
      <c r="H284" s="50"/>
    </row>
    <row r="285" spans="1:8" x14ac:dyDescent="0.4">
      <c r="A285" s="61"/>
      <c r="B285" s="16" t="str">
        <f t="array" ref="B285">IFERROR(MIN(IF(Raw!$A$2:$A$26=MHT!A285,Raw!$B$2:$B$20)),"")</f>
        <v/>
      </c>
      <c r="C285" s="13" t="str">
        <f t="array" ref="C285">IFERROR(MIN(IF(Raw!$A$2:$A$26=MHT!A285,Raw!$C$2:$C$20)),"")</f>
        <v/>
      </c>
      <c r="D285" s="14" t="str">
        <f t="array" ref="D285">IF(Raw!D278="","",IFERROR(MAX(IF(Raw!$A$2:$A$26=MHT!A285,Raw!$D$2:$D$20)),""))</f>
        <v/>
      </c>
      <c r="E285" s="6" t="str">
        <f>IF(SUMIF(Raw!$A$2:$A$500, MHT!A285, Raw!$F$2:$F$500) = TIME(0,0,0), "", SUMIF(Raw!$A$2:$A$500, MHT!A285, Raw!$F$2:$F$500))</f>
        <v/>
      </c>
      <c r="F285" s="12" t="str">
        <f t="array" ref="F285">IF(A285="", "", IF(COUNTIF(Raw!$H$1:$I$500, A285) &gt; 0, "Done", IF(COUNTIF(Raw!$J$1:$J$500, A285) &gt; 0, "Pause", IF(COUNTIF(Raw!$K$1:$K$500, A285) &gt; 0, "On-Going", "Pause"))))</f>
        <v/>
      </c>
      <c r="G285" s="51"/>
      <c r="H285" s="50"/>
    </row>
    <row r="286" spans="1:8" x14ac:dyDescent="0.4">
      <c r="A286" s="61"/>
      <c r="B286" s="16" t="str">
        <f t="array" ref="B286">IFERROR(MIN(IF(Raw!$A$2:$A$26=MHT!A286,Raw!$B$2:$B$20)),"")</f>
        <v/>
      </c>
      <c r="C286" s="13" t="str">
        <f t="array" ref="C286">IFERROR(MIN(IF(Raw!$A$2:$A$26=MHT!A286,Raw!$C$2:$C$20)),"")</f>
        <v/>
      </c>
      <c r="D286" s="14" t="str">
        <f t="array" ref="D286">IF(Raw!D279="","",IFERROR(MAX(IF(Raw!$A$2:$A$26=MHT!A286,Raw!$D$2:$D$20)),""))</f>
        <v/>
      </c>
      <c r="E286" s="6" t="str">
        <f>IF(SUMIF(Raw!$A$2:$A$500, MHT!A286, Raw!$F$2:$F$500) = TIME(0,0,0), "", SUMIF(Raw!$A$2:$A$500, MHT!A286, Raw!$F$2:$F$500))</f>
        <v/>
      </c>
      <c r="F286" s="12" t="str">
        <f t="array" ref="F286">IF(A286="", "", IF(COUNTIF(Raw!$H$1:$I$500, A286) &gt; 0, "Done", IF(COUNTIF(Raw!$J$1:$J$500, A286) &gt; 0, "Pause", IF(COUNTIF(Raw!$K$1:$K$500, A286) &gt; 0, "On-Going", "Pause"))))</f>
        <v/>
      </c>
      <c r="G286" s="51"/>
      <c r="H286" s="50"/>
    </row>
    <row r="287" spans="1:8" x14ac:dyDescent="0.4">
      <c r="A287" s="61"/>
      <c r="B287" s="16" t="str">
        <f t="array" ref="B287">IFERROR(MIN(IF(Raw!$A$2:$A$26=MHT!A287,Raw!$B$2:$B$20)),"")</f>
        <v/>
      </c>
      <c r="C287" s="13" t="str">
        <f t="array" ref="C287">IFERROR(MIN(IF(Raw!$A$2:$A$26=MHT!A287,Raw!$C$2:$C$20)),"")</f>
        <v/>
      </c>
      <c r="D287" s="14" t="str">
        <f t="array" ref="D287">IF(Raw!D280="","",IFERROR(MAX(IF(Raw!$A$2:$A$26=MHT!A287,Raw!$D$2:$D$20)),""))</f>
        <v/>
      </c>
      <c r="E287" s="6" t="str">
        <f>IF(SUMIF(Raw!$A$2:$A$500, MHT!A287, Raw!$F$2:$F$500) = TIME(0,0,0), "", SUMIF(Raw!$A$2:$A$500, MHT!A287, Raw!$F$2:$F$500))</f>
        <v/>
      </c>
      <c r="F287" s="12" t="str">
        <f t="array" ref="F287">IF(A287="", "", IF(COUNTIF(Raw!$H$1:$I$500, A287) &gt; 0, "Done", IF(COUNTIF(Raw!$J$1:$J$500, A287) &gt; 0, "Pause", IF(COUNTIF(Raw!$K$1:$K$500, A287) &gt; 0, "On-Going", "Pause"))))</f>
        <v/>
      </c>
      <c r="G287" s="51"/>
      <c r="H287" s="50"/>
    </row>
    <row r="288" spans="1:8" x14ac:dyDescent="0.4">
      <c r="A288" s="61"/>
      <c r="B288" s="16" t="str">
        <f t="array" ref="B288">IFERROR(MIN(IF(Raw!$A$2:$A$26=MHT!A288,Raw!$B$2:$B$20)),"")</f>
        <v/>
      </c>
      <c r="C288" s="13" t="str">
        <f t="array" ref="C288">IFERROR(MIN(IF(Raw!$A$2:$A$26=MHT!A288,Raw!$C$2:$C$20)),"")</f>
        <v/>
      </c>
      <c r="D288" s="14" t="str">
        <f t="array" ref="D288">IF(Raw!D281="","",IFERROR(MAX(IF(Raw!$A$2:$A$26=MHT!A288,Raw!$D$2:$D$20)),""))</f>
        <v/>
      </c>
      <c r="E288" s="6" t="str">
        <f>IF(SUMIF(Raw!$A$2:$A$500, MHT!A288, Raw!$F$2:$F$500) = TIME(0,0,0), "", SUMIF(Raw!$A$2:$A$500, MHT!A288, Raw!$F$2:$F$500))</f>
        <v/>
      </c>
      <c r="F288" s="12" t="str">
        <f t="array" ref="F288">IF(A288="", "", IF(COUNTIF(Raw!$H$1:$I$500, A288) &gt; 0, "Done", IF(COUNTIF(Raw!$J$1:$J$500, A288) &gt; 0, "Pause", IF(COUNTIF(Raw!$K$1:$K$500, A288) &gt; 0, "On-Going", "Pause"))))</f>
        <v/>
      </c>
      <c r="G288" s="51"/>
      <c r="H288" s="50"/>
    </row>
    <row r="289" spans="1:8" x14ac:dyDescent="0.4">
      <c r="A289" s="61"/>
      <c r="B289" s="16" t="str">
        <f t="array" ref="B289">IFERROR(MIN(IF(Raw!$A$2:$A$26=MHT!A289,Raw!$B$2:$B$20)),"")</f>
        <v/>
      </c>
      <c r="C289" s="13" t="str">
        <f t="array" ref="C289">IFERROR(MIN(IF(Raw!$A$2:$A$26=MHT!A289,Raw!$C$2:$C$20)),"")</f>
        <v/>
      </c>
      <c r="D289" s="14" t="str">
        <f t="array" ref="D289">IF(Raw!D282="","",IFERROR(MAX(IF(Raw!$A$2:$A$26=MHT!A289,Raw!$D$2:$D$20)),""))</f>
        <v/>
      </c>
      <c r="E289" s="6" t="str">
        <f>IF(SUMIF(Raw!$A$2:$A$500, MHT!A289, Raw!$F$2:$F$500) = TIME(0,0,0), "", SUMIF(Raw!$A$2:$A$500, MHT!A289, Raw!$F$2:$F$500))</f>
        <v/>
      </c>
      <c r="F289" s="12" t="str">
        <f t="array" ref="F289">IF(A289="", "", IF(COUNTIF(Raw!$H$1:$I$500, A289) &gt; 0, "Done", IF(COUNTIF(Raw!$J$1:$J$500, A289) &gt; 0, "Pause", IF(COUNTIF(Raw!$K$1:$K$500, A289) &gt; 0, "On-Going", "Pause"))))</f>
        <v/>
      </c>
      <c r="G289" s="51"/>
      <c r="H289" s="50"/>
    </row>
    <row r="290" spans="1:8" x14ac:dyDescent="0.4">
      <c r="A290" s="61"/>
      <c r="B290" s="16" t="str">
        <f t="array" ref="B290">IFERROR(MIN(IF(Raw!$A$2:$A$26=MHT!A290,Raw!$B$2:$B$20)),"")</f>
        <v/>
      </c>
      <c r="C290" s="13" t="str">
        <f t="array" ref="C290">IFERROR(MIN(IF(Raw!$A$2:$A$26=MHT!A290,Raw!$C$2:$C$20)),"")</f>
        <v/>
      </c>
      <c r="D290" s="14" t="str">
        <f t="array" ref="D290">IF(Raw!D283="","",IFERROR(MAX(IF(Raw!$A$2:$A$26=MHT!A290,Raw!$D$2:$D$20)),""))</f>
        <v/>
      </c>
      <c r="E290" s="6" t="str">
        <f>IF(SUMIF(Raw!$A$2:$A$500, MHT!A290, Raw!$F$2:$F$500) = TIME(0,0,0), "", SUMIF(Raw!$A$2:$A$500, MHT!A290, Raw!$F$2:$F$500))</f>
        <v/>
      </c>
      <c r="F290" s="12" t="str">
        <f t="array" ref="F290">IF(A290="", "", IF(COUNTIF(Raw!$H$1:$I$500, A290) &gt; 0, "Done", IF(COUNTIF(Raw!$J$1:$J$500, A290) &gt; 0, "Pause", IF(COUNTIF(Raw!$K$1:$K$500, A290) &gt; 0, "On-Going", "Pause"))))</f>
        <v/>
      </c>
      <c r="G290" s="51"/>
      <c r="H290" s="50"/>
    </row>
    <row r="291" spans="1:8" x14ac:dyDescent="0.4">
      <c r="A291" s="61"/>
      <c r="B291" s="16" t="str">
        <f t="array" ref="B291">IFERROR(MIN(IF(Raw!$A$2:$A$26=MHT!A291,Raw!$B$2:$B$20)),"")</f>
        <v/>
      </c>
      <c r="C291" s="13" t="str">
        <f t="array" ref="C291">IFERROR(MIN(IF(Raw!$A$2:$A$26=MHT!A291,Raw!$C$2:$C$20)),"")</f>
        <v/>
      </c>
      <c r="D291" s="14" t="str">
        <f t="array" ref="D291">IF(Raw!D284="","",IFERROR(MAX(IF(Raw!$A$2:$A$26=MHT!A291,Raw!$D$2:$D$20)),""))</f>
        <v/>
      </c>
      <c r="E291" s="6" t="str">
        <f>IF(SUMIF(Raw!$A$2:$A$500, MHT!A291, Raw!$F$2:$F$500) = TIME(0,0,0), "", SUMIF(Raw!$A$2:$A$500, MHT!A291, Raw!$F$2:$F$500))</f>
        <v/>
      </c>
      <c r="F291" s="12" t="str">
        <f t="array" ref="F291">IF(A291="", "", IF(COUNTIF(Raw!$H$1:$I$500, A291) &gt; 0, "Done", IF(COUNTIF(Raw!$J$1:$J$500, A291) &gt; 0, "Pause", IF(COUNTIF(Raw!$K$1:$K$500, A291) &gt; 0, "On-Going", "Pause"))))</f>
        <v/>
      </c>
      <c r="G291" s="51"/>
      <c r="H291" s="50"/>
    </row>
    <row r="292" spans="1:8" x14ac:dyDescent="0.4">
      <c r="A292" s="61"/>
      <c r="B292" s="16" t="str">
        <f t="array" ref="B292">IFERROR(MIN(IF(Raw!$A$2:$A$26=MHT!A292,Raw!$B$2:$B$20)),"")</f>
        <v/>
      </c>
      <c r="C292" s="13" t="str">
        <f t="array" ref="C292">IFERROR(MIN(IF(Raw!$A$2:$A$26=MHT!A292,Raw!$C$2:$C$20)),"")</f>
        <v/>
      </c>
      <c r="D292" s="14" t="str">
        <f t="array" ref="D292">IF(Raw!D285="","",IFERROR(MAX(IF(Raw!$A$2:$A$26=MHT!A292,Raw!$D$2:$D$20)),""))</f>
        <v/>
      </c>
      <c r="E292" s="6" t="str">
        <f>IF(SUMIF(Raw!$A$2:$A$500, MHT!A292, Raw!$F$2:$F$500) = TIME(0,0,0), "", SUMIF(Raw!$A$2:$A$500, MHT!A292, Raw!$F$2:$F$500))</f>
        <v/>
      </c>
      <c r="F292" s="12" t="str">
        <f t="array" ref="F292">IF(A292="", "", IF(COUNTIF(Raw!$H$1:$I$500, A292) &gt; 0, "Done", IF(COUNTIF(Raw!$J$1:$J$500, A292) &gt; 0, "Pause", IF(COUNTIF(Raw!$K$1:$K$500, A292) &gt; 0, "On-Going", "Pause"))))</f>
        <v/>
      </c>
      <c r="G292" s="51"/>
      <c r="H292" s="50"/>
    </row>
    <row r="293" spans="1:8" x14ac:dyDescent="0.4">
      <c r="A293" s="61"/>
      <c r="B293" s="16" t="str">
        <f t="array" ref="B293">IFERROR(MIN(IF(Raw!$A$2:$A$26=MHT!A293,Raw!$B$2:$B$20)),"")</f>
        <v/>
      </c>
      <c r="C293" s="13" t="str">
        <f t="array" ref="C293">IFERROR(MIN(IF(Raw!$A$2:$A$26=MHT!A293,Raw!$C$2:$C$20)),"")</f>
        <v/>
      </c>
      <c r="D293" s="14" t="str">
        <f t="array" ref="D293">IF(Raw!D286="","",IFERROR(MAX(IF(Raw!$A$2:$A$26=MHT!A293,Raw!$D$2:$D$20)),""))</f>
        <v/>
      </c>
      <c r="E293" s="6" t="str">
        <f>IF(SUMIF(Raw!$A$2:$A$500, MHT!A293, Raw!$F$2:$F$500) = TIME(0,0,0), "", SUMIF(Raw!$A$2:$A$500, MHT!A293, Raw!$F$2:$F$500))</f>
        <v/>
      </c>
      <c r="F293" s="12" t="str">
        <f t="array" ref="F293">IF(A293="", "", IF(COUNTIF(Raw!$H$1:$I$500, A293) &gt; 0, "Done", IF(COUNTIF(Raw!$J$1:$J$500, A293) &gt; 0, "Pause", IF(COUNTIF(Raw!$K$1:$K$500, A293) &gt; 0, "On-Going", "Pause"))))</f>
        <v/>
      </c>
      <c r="G293" s="51"/>
      <c r="H293" s="50"/>
    </row>
    <row r="294" spans="1:8" x14ac:dyDescent="0.4">
      <c r="A294" s="61"/>
      <c r="B294" s="16" t="str">
        <f t="array" ref="B294">IFERROR(MIN(IF(Raw!$A$2:$A$26=MHT!A294,Raw!$B$2:$B$20)),"")</f>
        <v/>
      </c>
      <c r="C294" s="13" t="str">
        <f t="array" ref="C294">IFERROR(MIN(IF(Raw!$A$2:$A$26=MHT!A294,Raw!$C$2:$C$20)),"")</f>
        <v/>
      </c>
      <c r="D294" s="14" t="str">
        <f t="array" ref="D294">IF(Raw!D287="","",IFERROR(MAX(IF(Raw!$A$2:$A$26=MHT!A294,Raw!$D$2:$D$20)),""))</f>
        <v/>
      </c>
      <c r="E294" s="6" t="str">
        <f>IF(SUMIF(Raw!$A$2:$A$500, MHT!A294, Raw!$F$2:$F$500) = TIME(0,0,0), "", SUMIF(Raw!$A$2:$A$500, MHT!A294, Raw!$F$2:$F$500))</f>
        <v/>
      </c>
      <c r="F294" s="12" t="str">
        <f t="array" ref="F294">IF(A294="", "", IF(COUNTIF(Raw!$H$1:$I$500, A294) &gt; 0, "Done", IF(COUNTIF(Raw!$J$1:$J$500, A294) &gt; 0, "Pause", IF(COUNTIF(Raw!$K$1:$K$500, A294) &gt; 0, "On-Going", "Pause"))))</f>
        <v/>
      </c>
      <c r="G294" s="51"/>
      <c r="H294" s="50"/>
    </row>
    <row r="295" spans="1:8" x14ac:dyDescent="0.4">
      <c r="A295" s="61"/>
      <c r="B295" s="16" t="str">
        <f t="array" ref="B295">IFERROR(MIN(IF(Raw!$A$2:$A$26=MHT!A295,Raw!$B$2:$B$20)),"")</f>
        <v/>
      </c>
      <c r="C295" s="13" t="str">
        <f t="array" ref="C295">IFERROR(MIN(IF(Raw!$A$2:$A$26=MHT!A295,Raw!$C$2:$C$20)),"")</f>
        <v/>
      </c>
      <c r="D295" s="14" t="str">
        <f t="array" ref="D295">IF(Raw!D288="","",IFERROR(MAX(IF(Raw!$A$2:$A$26=MHT!A295,Raw!$D$2:$D$20)),""))</f>
        <v/>
      </c>
      <c r="E295" s="6" t="str">
        <f>IF(SUMIF(Raw!$A$2:$A$500, MHT!A295, Raw!$F$2:$F$500) = TIME(0,0,0), "", SUMIF(Raw!$A$2:$A$500, MHT!A295, Raw!$F$2:$F$500))</f>
        <v/>
      </c>
      <c r="F295" s="12" t="str">
        <f t="array" ref="F295">IF(A295="", "", IF(COUNTIF(Raw!$H$1:$I$500, A295) &gt; 0, "Done", IF(COUNTIF(Raw!$J$1:$J$500, A295) &gt; 0, "Pause", IF(COUNTIF(Raw!$K$1:$K$500, A295) &gt; 0, "On-Going", "Pause"))))</f>
        <v/>
      </c>
      <c r="G295" s="51"/>
      <c r="H295" s="50"/>
    </row>
    <row r="296" spans="1:8" x14ac:dyDescent="0.4">
      <c r="A296" s="61"/>
      <c r="B296" s="16" t="str">
        <f t="array" ref="B296">IFERROR(MIN(IF(Raw!$A$2:$A$26=MHT!A296,Raw!$B$2:$B$20)),"")</f>
        <v/>
      </c>
      <c r="C296" s="13" t="str">
        <f t="array" ref="C296">IFERROR(MIN(IF(Raw!$A$2:$A$26=MHT!A296,Raw!$C$2:$C$20)),"")</f>
        <v/>
      </c>
      <c r="D296" s="14" t="str">
        <f t="array" ref="D296">IF(Raw!D289="","",IFERROR(MAX(IF(Raw!$A$2:$A$26=MHT!A296,Raw!$D$2:$D$20)),""))</f>
        <v/>
      </c>
      <c r="E296" s="6" t="str">
        <f>IF(SUMIF(Raw!$A$2:$A$500, MHT!A296, Raw!$F$2:$F$500) = TIME(0,0,0), "", SUMIF(Raw!$A$2:$A$500, MHT!A296, Raw!$F$2:$F$500))</f>
        <v/>
      </c>
      <c r="F296" s="12" t="str">
        <f t="array" ref="F296">IF(A296="", "", IF(COUNTIF(Raw!$H$1:$I$500, A296) &gt; 0, "Done", IF(COUNTIF(Raw!$J$1:$J$500, A296) &gt; 0, "Pause", IF(COUNTIF(Raw!$K$1:$K$500, A296) &gt; 0, "On-Going", "Pause"))))</f>
        <v/>
      </c>
      <c r="G296" s="51"/>
      <c r="H296" s="50"/>
    </row>
    <row r="297" spans="1:8" x14ac:dyDescent="0.4">
      <c r="A297" s="61"/>
      <c r="B297" s="16" t="str">
        <f t="array" ref="B297">IFERROR(MIN(IF(Raw!$A$2:$A$26=MHT!A297,Raw!$B$2:$B$20)),"")</f>
        <v/>
      </c>
      <c r="C297" s="13" t="str">
        <f t="array" ref="C297">IFERROR(MIN(IF(Raw!$A$2:$A$26=MHT!A297,Raw!$C$2:$C$20)),"")</f>
        <v/>
      </c>
      <c r="D297" s="14" t="str">
        <f t="array" ref="D297">IF(Raw!D290="","",IFERROR(MAX(IF(Raw!$A$2:$A$26=MHT!A297,Raw!$D$2:$D$20)),""))</f>
        <v/>
      </c>
      <c r="E297" s="6" t="str">
        <f>IF(SUMIF(Raw!$A$2:$A$500, MHT!A297, Raw!$F$2:$F$500) = TIME(0,0,0), "", SUMIF(Raw!$A$2:$A$500, MHT!A297, Raw!$F$2:$F$500))</f>
        <v/>
      </c>
      <c r="F297" s="12" t="str">
        <f t="array" ref="F297">IF(A297="", "", IF(COUNTIF(Raw!$H$1:$I$500, A297) &gt; 0, "Done", IF(COUNTIF(Raw!$J$1:$J$500, A297) &gt; 0, "Pause", IF(COUNTIF(Raw!$K$1:$K$500, A297) &gt; 0, "On-Going", "Pause"))))</f>
        <v/>
      </c>
      <c r="G297" s="51"/>
      <c r="H297" s="50"/>
    </row>
    <row r="298" spans="1:8" x14ac:dyDescent="0.4">
      <c r="A298" s="61"/>
      <c r="B298" s="16" t="str">
        <f t="array" ref="B298">IFERROR(MIN(IF(Raw!$A$2:$A$26=MHT!A298,Raw!$B$2:$B$20)),"")</f>
        <v/>
      </c>
      <c r="C298" s="13" t="str">
        <f t="array" ref="C298">IFERROR(MIN(IF(Raw!$A$2:$A$26=MHT!A298,Raw!$C$2:$C$20)),"")</f>
        <v/>
      </c>
      <c r="D298" s="14" t="str">
        <f t="array" ref="D298">IF(Raw!D291="","",IFERROR(MAX(IF(Raw!$A$2:$A$26=MHT!A298,Raw!$D$2:$D$20)),""))</f>
        <v/>
      </c>
      <c r="E298" s="6" t="str">
        <f>IF(SUMIF(Raw!$A$2:$A$500, MHT!A298, Raw!$F$2:$F$500) = TIME(0,0,0), "", SUMIF(Raw!$A$2:$A$500, MHT!A298, Raw!$F$2:$F$500))</f>
        <v/>
      </c>
      <c r="F298" s="12" t="str">
        <f t="array" ref="F298">IF(A298="", "", IF(COUNTIF(Raw!$H$1:$I$500, A298) &gt; 0, "Done", IF(COUNTIF(Raw!$J$1:$J$500, A298) &gt; 0, "Pause", IF(COUNTIF(Raw!$K$1:$K$500, A298) &gt; 0, "On-Going", "Pause"))))</f>
        <v/>
      </c>
      <c r="G298" s="51"/>
      <c r="H298" s="50"/>
    </row>
    <row r="299" spans="1:8" x14ac:dyDescent="0.4">
      <c r="A299" s="61"/>
      <c r="B299" s="16" t="str">
        <f t="array" ref="B299">IFERROR(MIN(IF(Raw!$A$2:$A$26=MHT!A299,Raw!$B$2:$B$20)),"")</f>
        <v/>
      </c>
      <c r="C299" s="13" t="str">
        <f t="array" ref="C299">IFERROR(MIN(IF(Raw!$A$2:$A$26=MHT!A299,Raw!$C$2:$C$20)),"")</f>
        <v/>
      </c>
      <c r="D299" s="14" t="str">
        <f t="array" ref="D299">IF(Raw!D292="","",IFERROR(MAX(IF(Raw!$A$2:$A$26=MHT!A299,Raw!$D$2:$D$20)),""))</f>
        <v/>
      </c>
      <c r="E299" s="6" t="str">
        <f>IF(SUMIF(Raw!$A$2:$A$500, MHT!A299, Raw!$F$2:$F$500) = TIME(0,0,0), "", SUMIF(Raw!$A$2:$A$500, MHT!A299, Raw!$F$2:$F$500))</f>
        <v/>
      </c>
      <c r="F299" s="12" t="str">
        <f t="array" ref="F299">IF(A299="", "", IF(COUNTIF(Raw!$H$1:$I$500, A299) &gt; 0, "Done", IF(COUNTIF(Raw!$J$1:$J$500, A299) &gt; 0, "Pause", IF(COUNTIF(Raw!$K$1:$K$500, A299) &gt; 0, "On-Going", "Pause"))))</f>
        <v/>
      </c>
      <c r="G299" s="51"/>
      <c r="H299" s="50"/>
    </row>
    <row r="300" spans="1:8" x14ac:dyDescent="0.4">
      <c r="A300" s="61"/>
      <c r="B300" s="16" t="str">
        <f t="array" ref="B300">IFERROR(MIN(IF(Raw!$A$2:$A$26=MHT!A300,Raw!$B$2:$B$20)),"")</f>
        <v/>
      </c>
      <c r="C300" s="13" t="str">
        <f t="array" ref="C300">IFERROR(MIN(IF(Raw!$A$2:$A$26=MHT!A300,Raw!$C$2:$C$20)),"")</f>
        <v/>
      </c>
      <c r="D300" s="14" t="str">
        <f t="array" ref="D300">IF(Raw!D293="","",IFERROR(MAX(IF(Raw!$A$2:$A$26=MHT!A300,Raw!$D$2:$D$20)),""))</f>
        <v/>
      </c>
      <c r="E300" s="6" t="str">
        <f>IF(SUMIF(Raw!$A$2:$A$500, MHT!A300, Raw!$F$2:$F$500) = TIME(0,0,0), "", SUMIF(Raw!$A$2:$A$500, MHT!A300, Raw!$F$2:$F$500))</f>
        <v/>
      </c>
      <c r="F300" s="12" t="str">
        <f t="array" ref="F300">IF(A300="", "", IF(COUNTIF(Raw!$H$1:$I$500, A300) &gt; 0, "Done", IF(COUNTIF(Raw!$J$1:$J$500, A300) &gt; 0, "Pause", IF(COUNTIF(Raw!$K$1:$K$500, A300) &gt; 0, "On-Going", "Pause"))))</f>
        <v/>
      </c>
      <c r="G300" s="51"/>
      <c r="H300" s="50"/>
    </row>
    <row r="301" spans="1:8" x14ac:dyDescent="0.4">
      <c r="A301" s="61"/>
      <c r="B301" s="16" t="str">
        <f t="array" ref="B301">IFERROR(MIN(IF(Raw!$A$2:$A$26=MHT!A301,Raw!$B$2:$B$20)),"")</f>
        <v/>
      </c>
      <c r="C301" s="13" t="str">
        <f t="array" ref="C301">IFERROR(MIN(IF(Raw!$A$2:$A$26=MHT!A301,Raw!$C$2:$C$20)),"")</f>
        <v/>
      </c>
      <c r="D301" s="14" t="str">
        <f t="array" ref="D301">IF(Raw!D294="","",IFERROR(MAX(IF(Raw!$A$2:$A$26=MHT!A301,Raw!$D$2:$D$20)),""))</f>
        <v/>
      </c>
      <c r="E301" s="6" t="str">
        <f>IF(SUMIF(Raw!$A$2:$A$500, MHT!A301, Raw!$F$2:$F$500) = TIME(0,0,0), "", SUMIF(Raw!$A$2:$A$500, MHT!A301, Raw!$F$2:$F$500))</f>
        <v/>
      </c>
      <c r="F301" s="12" t="str">
        <f t="array" ref="F301">IF(A301="", "", IF(COUNTIF(Raw!$H$1:$I$500, A301) &gt; 0, "Done", IF(COUNTIF(Raw!$J$1:$J$500, A301) &gt; 0, "Pause", IF(COUNTIF(Raw!$K$1:$K$500, A301) &gt; 0, "On-Going", "Pause"))))</f>
        <v/>
      </c>
      <c r="G301" s="51"/>
      <c r="H301" s="50"/>
    </row>
    <row r="302" spans="1:8" x14ac:dyDescent="0.4">
      <c r="A302" s="61"/>
      <c r="B302" s="16" t="str">
        <f t="array" ref="B302">IFERROR(MIN(IF(Raw!$A$2:$A$26=MHT!A302,Raw!$B$2:$B$20)),"")</f>
        <v/>
      </c>
      <c r="C302" s="13" t="str">
        <f t="array" ref="C302">IFERROR(MIN(IF(Raw!$A$2:$A$26=MHT!A302,Raw!$C$2:$C$20)),"")</f>
        <v/>
      </c>
      <c r="D302" s="14" t="str">
        <f t="array" ref="D302">IF(Raw!D295="","",IFERROR(MAX(IF(Raw!$A$2:$A$26=MHT!A302,Raw!$D$2:$D$20)),""))</f>
        <v/>
      </c>
      <c r="E302" s="6" t="str">
        <f>IF(SUMIF(Raw!$A$2:$A$500, MHT!A302, Raw!$F$2:$F$500) = TIME(0,0,0), "", SUMIF(Raw!$A$2:$A$500, MHT!A302, Raw!$F$2:$F$500))</f>
        <v/>
      </c>
      <c r="F302" s="12" t="str">
        <f t="array" ref="F302">IF(A302="", "", IF(COUNTIF(Raw!$H$1:$I$500, A302) &gt; 0, "Done", IF(COUNTIF(Raw!$J$1:$J$500, A302) &gt; 0, "Pause", IF(COUNTIF(Raw!$K$1:$K$500, A302) &gt; 0, "On-Going", "Pause"))))</f>
        <v/>
      </c>
      <c r="G302" s="51"/>
      <c r="H302" s="50"/>
    </row>
    <row r="303" spans="1:8" x14ac:dyDescent="0.4">
      <c r="A303" s="61"/>
      <c r="B303" s="16" t="str">
        <f t="array" ref="B303">IFERROR(MIN(IF(Raw!$A$2:$A$26=MHT!A303,Raw!$B$2:$B$20)),"")</f>
        <v/>
      </c>
      <c r="C303" s="13" t="str">
        <f t="array" ref="C303">IFERROR(MIN(IF(Raw!$A$2:$A$26=MHT!A303,Raw!$C$2:$C$20)),"")</f>
        <v/>
      </c>
      <c r="D303" s="14" t="str">
        <f t="array" ref="D303">IF(Raw!D296="","",IFERROR(MAX(IF(Raw!$A$2:$A$26=MHT!A303,Raw!$D$2:$D$20)),""))</f>
        <v/>
      </c>
      <c r="E303" s="6" t="str">
        <f>IF(SUMIF(Raw!$A$2:$A$500, MHT!A303, Raw!$F$2:$F$500) = TIME(0,0,0), "", SUMIF(Raw!$A$2:$A$500, MHT!A303, Raw!$F$2:$F$500))</f>
        <v/>
      </c>
      <c r="F303" s="12" t="str">
        <f t="array" ref="F303">IF(A303="", "", IF(COUNTIF(Raw!$H$1:$I$500, A303) &gt; 0, "Done", IF(COUNTIF(Raw!$J$1:$J$500, A303) &gt; 0, "Pause", IF(COUNTIF(Raw!$K$1:$K$500, A303) &gt; 0, "On-Going", "Pause"))))</f>
        <v/>
      </c>
      <c r="G303" s="51"/>
      <c r="H303" s="50"/>
    </row>
    <row r="304" spans="1:8" x14ac:dyDescent="0.4">
      <c r="A304" s="61"/>
      <c r="B304" s="16" t="str">
        <f t="array" ref="B304">IFERROR(MIN(IF(Raw!$A$2:$A$26=MHT!A304,Raw!$B$2:$B$20)),"")</f>
        <v/>
      </c>
      <c r="C304" s="13" t="str">
        <f t="array" ref="C304">IFERROR(MIN(IF(Raw!$A$2:$A$26=MHT!A304,Raw!$C$2:$C$20)),"")</f>
        <v/>
      </c>
      <c r="D304" s="14" t="str">
        <f t="array" ref="D304">IF(Raw!D297="","",IFERROR(MAX(IF(Raw!$A$2:$A$26=MHT!A304,Raw!$D$2:$D$20)),""))</f>
        <v/>
      </c>
      <c r="E304" s="6" t="str">
        <f>IF(SUMIF(Raw!$A$2:$A$500, MHT!A304, Raw!$F$2:$F$500) = TIME(0,0,0), "", SUMIF(Raw!$A$2:$A$500, MHT!A304, Raw!$F$2:$F$500))</f>
        <v/>
      </c>
      <c r="F304" s="12" t="str">
        <f t="array" ref="F304">IF(A304="", "", IF(COUNTIF(Raw!$H$1:$I$500, A304) &gt; 0, "Done", IF(COUNTIF(Raw!$J$1:$J$500, A304) &gt; 0, "Pause", IF(COUNTIF(Raw!$K$1:$K$500, A304) &gt; 0, "On-Going", "Pause"))))</f>
        <v/>
      </c>
      <c r="G304" s="51"/>
      <c r="H304" s="50"/>
    </row>
    <row r="305" spans="1:8" x14ac:dyDescent="0.4">
      <c r="A305" s="61"/>
      <c r="B305" s="16" t="str">
        <f t="array" ref="B305">IFERROR(MIN(IF(Raw!$A$2:$A$26=MHT!A305,Raw!$B$2:$B$20)),"")</f>
        <v/>
      </c>
      <c r="C305" s="13" t="str">
        <f t="array" ref="C305">IFERROR(MIN(IF(Raw!$A$2:$A$26=MHT!A305,Raw!$C$2:$C$20)),"")</f>
        <v/>
      </c>
      <c r="D305" s="14" t="str">
        <f t="array" ref="D305">IF(Raw!D298="","",IFERROR(MAX(IF(Raw!$A$2:$A$26=MHT!A305,Raw!$D$2:$D$20)),""))</f>
        <v/>
      </c>
      <c r="E305" s="6" t="str">
        <f>IF(SUMIF(Raw!$A$2:$A$500, MHT!A305, Raw!$F$2:$F$500) = TIME(0,0,0), "", SUMIF(Raw!$A$2:$A$500, MHT!A305, Raw!$F$2:$F$500))</f>
        <v/>
      </c>
      <c r="F305" s="12" t="str">
        <f t="array" ref="F305">IF(A305="", "", IF(COUNTIF(Raw!$H$1:$I$500, A305) &gt; 0, "Done", IF(COUNTIF(Raw!$J$1:$J$500, A305) &gt; 0, "Pause", IF(COUNTIF(Raw!$K$1:$K$500, A305) &gt; 0, "On-Going", "Pause"))))</f>
        <v/>
      </c>
      <c r="G305" s="51"/>
      <c r="H305" s="50"/>
    </row>
    <row r="306" spans="1:8" x14ac:dyDescent="0.4">
      <c r="A306" s="61"/>
      <c r="B306" s="16" t="str">
        <f t="array" ref="B306">IFERROR(MIN(IF(Raw!$A$2:$A$26=MHT!A306,Raw!$B$2:$B$20)),"")</f>
        <v/>
      </c>
      <c r="C306" s="13" t="str">
        <f t="array" ref="C306">IFERROR(MIN(IF(Raw!$A$2:$A$26=MHT!A306,Raw!$C$2:$C$20)),"")</f>
        <v/>
      </c>
      <c r="D306" s="14" t="str">
        <f t="array" ref="D306">IF(Raw!D299="","",IFERROR(MAX(IF(Raw!$A$2:$A$26=MHT!A306,Raw!$D$2:$D$20)),""))</f>
        <v/>
      </c>
      <c r="E306" s="6" t="str">
        <f>IF(SUMIF(Raw!$A$2:$A$500, MHT!A306, Raw!$F$2:$F$500) = TIME(0,0,0), "", SUMIF(Raw!$A$2:$A$500, MHT!A306, Raw!$F$2:$F$500))</f>
        <v/>
      </c>
      <c r="F306" s="12" t="str">
        <f t="array" ref="F306">IF(A306="", "", IF(COUNTIF(Raw!$H$1:$I$500, A306) &gt; 0, "Done", IF(COUNTIF(Raw!$J$1:$J$500, A306) &gt; 0, "Pause", IF(COUNTIF(Raw!$K$1:$K$500, A306) &gt; 0, "On-Going", "Pause"))))</f>
        <v/>
      </c>
      <c r="G306" s="51"/>
      <c r="H306" s="50"/>
    </row>
    <row r="307" spans="1:8" x14ac:dyDescent="0.4">
      <c r="A307" s="61"/>
      <c r="B307" s="16" t="str">
        <f t="array" ref="B307">IFERROR(MIN(IF(Raw!$A$2:$A$26=MHT!A307,Raw!$B$2:$B$20)),"")</f>
        <v/>
      </c>
      <c r="C307" s="13" t="str">
        <f t="array" ref="C307">IFERROR(MIN(IF(Raw!$A$2:$A$26=MHT!A307,Raw!$C$2:$C$20)),"")</f>
        <v/>
      </c>
      <c r="D307" s="14" t="str">
        <f t="array" ref="D307">IF(Raw!D300="","",IFERROR(MAX(IF(Raw!$A$2:$A$26=MHT!A307,Raw!$D$2:$D$20)),""))</f>
        <v/>
      </c>
      <c r="E307" s="6" t="str">
        <f>IF(SUMIF(Raw!$A$2:$A$500, MHT!A307, Raw!$F$2:$F$500) = TIME(0,0,0), "", SUMIF(Raw!$A$2:$A$500, MHT!A307, Raw!$F$2:$F$500))</f>
        <v/>
      </c>
      <c r="F307" s="12" t="str">
        <f t="array" ref="F307">IF(A307="", "", IF(COUNTIF(Raw!$H$1:$I$500, A307) &gt; 0, "Done", IF(COUNTIF(Raw!$J$1:$J$500, A307) &gt; 0, "Pause", IF(COUNTIF(Raw!$K$1:$K$500, A307) &gt; 0, "On-Going", "Pause"))))</f>
        <v/>
      </c>
      <c r="G307" s="51"/>
      <c r="H307" s="50"/>
    </row>
    <row r="308" spans="1:8" x14ac:dyDescent="0.4">
      <c r="A308" s="61"/>
      <c r="B308" s="16" t="str">
        <f t="array" ref="B308">IFERROR(MIN(IF(Raw!$A$2:$A$26=MHT!A308,Raw!$B$2:$B$20)),"")</f>
        <v/>
      </c>
      <c r="C308" s="13" t="str">
        <f t="array" ref="C308">IFERROR(MIN(IF(Raw!$A$2:$A$26=MHT!A308,Raw!$C$2:$C$20)),"")</f>
        <v/>
      </c>
      <c r="D308" s="14" t="str">
        <f t="array" ref="D308">IF(Raw!D301="","",IFERROR(MAX(IF(Raw!$A$2:$A$26=MHT!A308,Raw!$D$2:$D$20)),""))</f>
        <v/>
      </c>
      <c r="E308" s="6" t="str">
        <f>IF(SUMIF(Raw!$A$2:$A$500, MHT!A308, Raw!$F$2:$F$500) = TIME(0,0,0), "", SUMIF(Raw!$A$2:$A$500, MHT!A308, Raw!$F$2:$F$500))</f>
        <v/>
      </c>
      <c r="F308" s="12" t="str">
        <f t="array" ref="F308">IF(A308="", "", IF(COUNTIF(Raw!$H$1:$I$500, A308) &gt; 0, "Done", IF(COUNTIF(Raw!$J$1:$J$500, A308) &gt; 0, "Pause", IF(COUNTIF(Raw!$K$1:$K$500, A308) &gt; 0, "On-Going", "Pause"))))</f>
        <v/>
      </c>
      <c r="G308" s="51"/>
      <c r="H308" s="50"/>
    </row>
    <row r="309" spans="1:8" x14ac:dyDescent="0.4">
      <c r="A309" s="61"/>
      <c r="B309" s="16" t="str">
        <f t="array" ref="B309">IFERROR(MIN(IF(Raw!$A$2:$A$26=MHT!A309,Raw!$B$2:$B$20)),"")</f>
        <v/>
      </c>
      <c r="C309" s="13" t="str">
        <f t="array" ref="C309">IFERROR(MIN(IF(Raw!$A$2:$A$26=MHT!A309,Raw!$C$2:$C$20)),"")</f>
        <v/>
      </c>
      <c r="D309" s="14" t="str">
        <f t="array" ref="D309">IF(Raw!D302="","",IFERROR(MAX(IF(Raw!$A$2:$A$26=MHT!A309,Raw!$D$2:$D$20)),""))</f>
        <v/>
      </c>
      <c r="E309" s="6" t="str">
        <f>IF(SUMIF(Raw!$A$2:$A$500, MHT!A309, Raw!$F$2:$F$500) = TIME(0,0,0), "", SUMIF(Raw!$A$2:$A$500, MHT!A309, Raw!$F$2:$F$500))</f>
        <v/>
      </c>
      <c r="F309" s="12" t="str">
        <f t="array" ref="F309">IF(A309="", "", IF(COUNTIF(Raw!$H$1:$I$500, A309) &gt; 0, "Done", IF(COUNTIF(Raw!$J$1:$J$500, A309) &gt; 0, "Pause", IF(COUNTIF(Raw!$K$1:$K$500, A309) &gt; 0, "On-Going", "Pause"))))</f>
        <v/>
      </c>
      <c r="G309" s="51"/>
      <c r="H309" s="50"/>
    </row>
    <row r="310" spans="1:8" x14ac:dyDescent="0.4">
      <c r="A310" s="61"/>
      <c r="B310" s="16" t="str">
        <f t="array" ref="B310">IFERROR(MIN(IF(Raw!$A$2:$A$26=MHT!A310,Raw!$B$2:$B$20)),"")</f>
        <v/>
      </c>
      <c r="C310" s="13" t="str">
        <f t="array" ref="C310">IFERROR(MIN(IF(Raw!$A$2:$A$26=MHT!A310,Raw!$C$2:$C$20)),"")</f>
        <v/>
      </c>
      <c r="D310" s="14" t="str">
        <f t="array" ref="D310">IF(Raw!D303="","",IFERROR(MAX(IF(Raw!$A$2:$A$26=MHT!A310,Raw!$D$2:$D$20)),""))</f>
        <v/>
      </c>
      <c r="E310" s="6" t="str">
        <f>IF(SUMIF(Raw!$A$2:$A$500, MHT!A310, Raw!$F$2:$F$500) = TIME(0,0,0), "", SUMIF(Raw!$A$2:$A$500, MHT!A310, Raw!$F$2:$F$500))</f>
        <v/>
      </c>
      <c r="F310" s="12" t="str">
        <f t="array" ref="F310">IF(A310="", "", IF(COUNTIF(Raw!$H$1:$I$500, A310) &gt; 0, "Done", IF(COUNTIF(Raw!$J$1:$J$500, A310) &gt; 0, "Pause", IF(COUNTIF(Raw!$K$1:$K$500, A310) &gt; 0, "On-Going", "Pause"))))</f>
        <v/>
      </c>
      <c r="G310" s="51"/>
      <c r="H310" s="50"/>
    </row>
    <row r="311" spans="1:8" x14ac:dyDescent="0.4">
      <c r="A311" s="61"/>
      <c r="B311" s="16" t="str">
        <f t="array" ref="B311">IFERROR(MIN(IF(Raw!$A$2:$A$26=MHT!A311,Raw!$B$2:$B$20)),"")</f>
        <v/>
      </c>
      <c r="C311" s="13" t="str">
        <f t="array" ref="C311">IFERROR(MIN(IF(Raw!$A$2:$A$26=MHT!A311,Raw!$C$2:$C$20)),"")</f>
        <v/>
      </c>
      <c r="D311" s="14" t="str">
        <f t="array" ref="D311">IF(Raw!D304="","",IFERROR(MAX(IF(Raw!$A$2:$A$26=MHT!A311,Raw!$D$2:$D$20)),""))</f>
        <v/>
      </c>
      <c r="E311" s="6" t="str">
        <f>IF(SUMIF(Raw!$A$2:$A$500, MHT!A311, Raw!$F$2:$F$500) = TIME(0,0,0), "", SUMIF(Raw!$A$2:$A$500, MHT!A311, Raw!$F$2:$F$500))</f>
        <v/>
      </c>
      <c r="F311" s="12" t="str">
        <f t="array" ref="F311">IF(A311="", "", IF(COUNTIF(Raw!$H$1:$I$500, A311) &gt; 0, "Done", IF(COUNTIF(Raw!$J$1:$J$500, A311) &gt; 0, "Pause", IF(COUNTIF(Raw!$K$1:$K$500, A311) &gt; 0, "On-Going", "Pause"))))</f>
        <v/>
      </c>
      <c r="G311" s="51"/>
      <c r="H311" s="50"/>
    </row>
    <row r="312" spans="1:8" x14ac:dyDescent="0.4">
      <c r="A312" s="61"/>
      <c r="B312" s="16" t="str">
        <f t="array" ref="B312">IFERROR(MIN(IF(Raw!$A$2:$A$26=MHT!A312,Raw!$B$2:$B$20)),"")</f>
        <v/>
      </c>
      <c r="C312" s="13" t="str">
        <f t="array" ref="C312">IFERROR(MIN(IF(Raw!$A$2:$A$26=MHT!A312,Raw!$C$2:$C$20)),"")</f>
        <v/>
      </c>
      <c r="D312" s="14" t="str">
        <f t="array" ref="D312">IF(Raw!D305="","",IFERROR(MAX(IF(Raw!$A$2:$A$26=MHT!A312,Raw!$D$2:$D$20)),""))</f>
        <v/>
      </c>
      <c r="E312" s="6" t="str">
        <f>IF(SUMIF(Raw!$A$2:$A$500, MHT!A312, Raw!$F$2:$F$500) = TIME(0,0,0), "", SUMIF(Raw!$A$2:$A$500, MHT!A312, Raw!$F$2:$F$500))</f>
        <v/>
      </c>
      <c r="F312" s="12" t="str">
        <f t="array" ref="F312">IF(A312="", "", IF(COUNTIF(Raw!$H$1:$I$500, A312) &gt; 0, "Done", IF(COUNTIF(Raw!$J$1:$J$500, A312) &gt; 0, "Pause", IF(COUNTIF(Raw!$K$1:$K$500, A312) &gt; 0, "On-Going", "Pause"))))</f>
        <v/>
      </c>
      <c r="G312" s="51"/>
      <c r="H312" s="50"/>
    </row>
    <row r="313" spans="1:8" x14ac:dyDescent="0.4">
      <c r="A313" s="61"/>
      <c r="B313" s="16" t="str">
        <f t="array" ref="B313">IFERROR(MIN(IF(Raw!$A$2:$A$26=MHT!A313,Raw!$B$2:$B$20)),"")</f>
        <v/>
      </c>
      <c r="C313" s="13" t="str">
        <f t="array" ref="C313">IFERROR(MIN(IF(Raw!$A$2:$A$26=MHT!A313,Raw!$C$2:$C$20)),"")</f>
        <v/>
      </c>
      <c r="D313" s="14" t="str">
        <f t="array" ref="D313">IF(Raw!D306="","",IFERROR(MAX(IF(Raw!$A$2:$A$26=MHT!A313,Raw!$D$2:$D$20)),""))</f>
        <v/>
      </c>
      <c r="E313" s="6" t="str">
        <f>IF(SUMIF(Raw!$A$2:$A$500, MHT!A313, Raw!$F$2:$F$500) = TIME(0,0,0), "", SUMIF(Raw!$A$2:$A$500, MHT!A313, Raw!$F$2:$F$500))</f>
        <v/>
      </c>
      <c r="F313" s="12" t="str">
        <f t="array" ref="F313">IF(A313="", "", IF(COUNTIF(Raw!$H$1:$I$500, A313) &gt; 0, "Done", IF(COUNTIF(Raw!$J$1:$J$500, A313) &gt; 0, "Pause", IF(COUNTIF(Raw!$K$1:$K$500, A313) &gt; 0, "On-Going", "Pause"))))</f>
        <v/>
      </c>
      <c r="G313" s="51"/>
      <c r="H313" s="50"/>
    </row>
    <row r="314" spans="1:8" x14ac:dyDescent="0.4">
      <c r="A314" s="61"/>
      <c r="B314" s="16" t="str">
        <f t="array" ref="B314">IFERROR(MIN(IF(Raw!$A$2:$A$26=MHT!A314,Raw!$B$2:$B$20)),"")</f>
        <v/>
      </c>
      <c r="C314" s="13" t="str">
        <f t="array" ref="C314">IFERROR(MIN(IF(Raw!$A$2:$A$26=MHT!A314,Raw!$C$2:$C$20)),"")</f>
        <v/>
      </c>
      <c r="D314" s="14" t="str">
        <f t="array" ref="D314">IF(Raw!D307="","",IFERROR(MAX(IF(Raw!$A$2:$A$26=MHT!A314,Raw!$D$2:$D$20)),""))</f>
        <v/>
      </c>
      <c r="E314" s="6" t="str">
        <f>IF(SUMIF(Raw!$A$2:$A$500, MHT!A314, Raw!$F$2:$F$500) = TIME(0,0,0), "", SUMIF(Raw!$A$2:$A$500, MHT!A314, Raw!$F$2:$F$500))</f>
        <v/>
      </c>
      <c r="F314" s="12" t="str">
        <f t="array" ref="F314">IF(A314="", "", IF(COUNTIF(Raw!$H$1:$I$500, A314) &gt; 0, "Done", IF(COUNTIF(Raw!$J$1:$J$500, A314) &gt; 0, "Pause", IF(COUNTIF(Raw!$K$1:$K$500, A314) &gt; 0, "On-Going", "Pause"))))</f>
        <v/>
      </c>
      <c r="G314" s="51"/>
      <c r="H314" s="50"/>
    </row>
    <row r="315" spans="1:8" x14ac:dyDescent="0.4">
      <c r="A315" s="61"/>
      <c r="B315" s="16" t="str">
        <f t="array" ref="B315">IFERROR(MIN(IF(Raw!$A$2:$A$26=MHT!A315,Raw!$B$2:$B$20)),"")</f>
        <v/>
      </c>
      <c r="C315" s="13" t="str">
        <f t="array" ref="C315">IFERROR(MIN(IF(Raw!$A$2:$A$26=MHT!A315,Raw!$C$2:$C$20)),"")</f>
        <v/>
      </c>
      <c r="D315" s="14" t="str">
        <f t="array" ref="D315">IF(Raw!D308="","",IFERROR(MAX(IF(Raw!$A$2:$A$26=MHT!A315,Raw!$D$2:$D$20)),""))</f>
        <v/>
      </c>
      <c r="E315" s="6" t="str">
        <f>IF(SUMIF(Raw!$A$2:$A$500, MHT!A315, Raw!$F$2:$F$500) = TIME(0,0,0), "", SUMIF(Raw!$A$2:$A$500, MHT!A315, Raw!$F$2:$F$500))</f>
        <v/>
      </c>
      <c r="F315" s="12" t="str">
        <f t="array" ref="F315">IF(A315="", "", IF(COUNTIF(Raw!$H$1:$I$500, A315) &gt; 0, "Done", IF(COUNTIF(Raw!$J$1:$J$500, A315) &gt; 0, "Pause", IF(COUNTIF(Raw!$K$1:$K$500, A315) &gt; 0, "On-Going", "Pause"))))</f>
        <v/>
      </c>
      <c r="G315" s="51"/>
      <c r="H315" s="50"/>
    </row>
    <row r="316" spans="1:8" x14ac:dyDescent="0.4">
      <c r="A316" s="61"/>
      <c r="B316" s="16" t="str">
        <f t="array" ref="B316">IFERROR(MIN(IF(Raw!$A$2:$A$26=MHT!A316,Raw!$B$2:$B$20)),"")</f>
        <v/>
      </c>
      <c r="C316" s="13" t="str">
        <f t="array" ref="C316">IFERROR(MIN(IF(Raw!$A$2:$A$26=MHT!A316,Raw!$C$2:$C$20)),"")</f>
        <v/>
      </c>
      <c r="D316" s="14" t="str">
        <f t="array" ref="D316">IF(Raw!D309="","",IFERROR(MAX(IF(Raw!$A$2:$A$26=MHT!A316,Raw!$D$2:$D$20)),""))</f>
        <v/>
      </c>
      <c r="E316" s="6" t="str">
        <f>IF(SUMIF(Raw!$A$2:$A$500, MHT!A316, Raw!$F$2:$F$500) = TIME(0,0,0), "", SUMIF(Raw!$A$2:$A$500, MHT!A316, Raw!$F$2:$F$500))</f>
        <v/>
      </c>
      <c r="F316" s="12" t="str">
        <f t="array" ref="F316">IF(A316="", "", IF(COUNTIF(Raw!$H$1:$I$500, A316) &gt; 0, "Done", IF(COUNTIF(Raw!$J$1:$J$500, A316) &gt; 0, "Pause", IF(COUNTIF(Raw!$K$1:$K$500, A316) &gt; 0, "On-Going", "Pause"))))</f>
        <v/>
      </c>
      <c r="G316" s="51"/>
      <c r="H316" s="50"/>
    </row>
    <row r="317" spans="1:8" x14ac:dyDescent="0.4">
      <c r="A317" s="61"/>
      <c r="B317" s="16" t="str">
        <f t="array" ref="B317">IFERROR(MIN(IF(Raw!$A$2:$A$26=MHT!A317,Raw!$B$2:$B$20)),"")</f>
        <v/>
      </c>
      <c r="C317" s="13" t="str">
        <f t="array" ref="C317">IFERROR(MIN(IF(Raw!$A$2:$A$26=MHT!A317,Raw!$C$2:$C$20)),"")</f>
        <v/>
      </c>
      <c r="D317" s="14" t="str">
        <f t="array" ref="D317">IF(Raw!D310="","",IFERROR(MAX(IF(Raw!$A$2:$A$26=MHT!A317,Raw!$D$2:$D$20)),""))</f>
        <v/>
      </c>
      <c r="E317" s="6" t="str">
        <f>IF(SUMIF(Raw!$A$2:$A$500, MHT!A317, Raw!$F$2:$F$500) = TIME(0,0,0), "", SUMIF(Raw!$A$2:$A$500, MHT!A317, Raw!$F$2:$F$500))</f>
        <v/>
      </c>
      <c r="F317" s="12" t="str">
        <f t="array" ref="F317">IF(A317="", "", IF(COUNTIF(Raw!$H$1:$I$500, A317) &gt; 0, "Done", IF(COUNTIF(Raw!$J$1:$J$500, A317) &gt; 0, "Pause", IF(COUNTIF(Raw!$K$1:$K$500, A317) &gt; 0, "On-Going", "Pause"))))</f>
        <v/>
      </c>
      <c r="G317" s="51"/>
      <c r="H317" s="50"/>
    </row>
    <row r="318" spans="1:8" x14ac:dyDescent="0.4">
      <c r="A318" s="61"/>
      <c r="B318" s="16" t="str">
        <f t="array" ref="B318">IFERROR(MIN(IF(Raw!$A$2:$A$26=MHT!A318,Raw!$B$2:$B$20)),"")</f>
        <v/>
      </c>
      <c r="C318" s="13" t="str">
        <f t="array" ref="C318">IFERROR(MIN(IF(Raw!$A$2:$A$26=MHT!A318,Raw!$C$2:$C$20)),"")</f>
        <v/>
      </c>
      <c r="D318" s="14" t="str">
        <f t="array" ref="D318">IF(Raw!D311="","",IFERROR(MAX(IF(Raw!$A$2:$A$26=MHT!A318,Raw!$D$2:$D$20)),""))</f>
        <v/>
      </c>
      <c r="E318" s="6" t="str">
        <f>IF(SUMIF(Raw!$A$2:$A$500, MHT!A318, Raw!$F$2:$F$500) = TIME(0,0,0), "", SUMIF(Raw!$A$2:$A$500, MHT!A318, Raw!$F$2:$F$500))</f>
        <v/>
      </c>
      <c r="F318" s="12" t="str">
        <f t="array" ref="F318">IF(A318="", "", IF(COUNTIF(Raw!$H$1:$I$500, A318) &gt; 0, "Done", IF(COUNTIF(Raw!$J$1:$J$500, A318) &gt; 0, "Pause", IF(COUNTIF(Raw!$K$1:$K$500, A318) &gt; 0, "On-Going", "Pause"))))</f>
        <v/>
      </c>
      <c r="G318" s="51"/>
      <c r="H318" s="50"/>
    </row>
    <row r="319" spans="1:8" x14ac:dyDescent="0.4">
      <c r="A319" s="61"/>
      <c r="B319" s="16" t="str">
        <f t="array" ref="B319">IFERROR(MIN(IF(Raw!$A$2:$A$26=MHT!A319,Raw!$B$2:$B$20)),"")</f>
        <v/>
      </c>
      <c r="C319" s="13" t="str">
        <f t="array" ref="C319">IFERROR(MIN(IF(Raw!$A$2:$A$26=MHT!A319,Raw!$C$2:$C$20)),"")</f>
        <v/>
      </c>
      <c r="D319" s="14" t="str">
        <f t="array" ref="D319">IF(Raw!D312="","",IFERROR(MAX(IF(Raw!$A$2:$A$26=MHT!A319,Raw!$D$2:$D$20)),""))</f>
        <v/>
      </c>
      <c r="E319" s="6" t="str">
        <f>IF(SUMIF(Raw!$A$2:$A$500, MHT!A319, Raw!$F$2:$F$500) = TIME(0,0,0), "", SUMIF(Raw!$A$2:$A$500, MHT!A319, Raw!$F$2:$F$500))</f>
        <v/>
      </c>
      <c r="F319" s="12" t="str">
        <f t="array" ref="F319">IF(A319="", "", IF(COUNTIF(Raw!$H$1:$I$500, A319) &gt; 0, "Done", IF(COUNTIF(Raw!$J$1:$J$500, A319) &gt; 0, "Pause", IF(COUNTIF(Raw!$K$1:$K$500, A319) &gt; 0, "On-Going", "Pause"))))</f>
        <v/>
      </c>
      <c r="G319" s="51"/>
      <c r="H319" s="50"/>
    </row>
    <row r="320" spans="1:8" x14ac:dyDescent="0.4">
      <c r="A320" s="61"/>
      <c r="B320" s="16" t="str">
        <f t="array" ref="B320">IFERROR(MIN(IF(Raw!$A$2:$A$26=MHT!A320,Raw!$B$2:$B$20)),"")</f>
        <v/>
      </c>
      <c r="C320" s="13" t="str">
        <f t="array" ref="C320">IFERROR(MIN(IF(Raw!$A$2:$A$26=MHT!A320,Raw!$C$2:$C$20)),"")</f>
        <v/>
      </c>
      <c r="D320" s="14" t="str">
        <f t="array" ref="D320">IF(Raw!D313="","",IFERROR(MAX(IF(Raw!$A$2:$A$26=MHT!A320,Raw!$D$2:$D$20)),""))</f>
        <v/>
      </c>
      <c r="E320" s="6" t="str">
        <f>IF(SUMIF(Raw!$A$2:$A$500, MHT!A320, Raw!$F$2:$F$500) = TIME(0,0,0), "", SUMIF(Raw!$A$2:$A$500, MHT!A320, Raw!$F$2:$F$500))</f>
        <v/>
      </c>
      <c r="F320" s="12" t="str">
        <f t="array" ref="F320">IF(A320="", "", IF(COUNTIF(Raw!$H$1:$I$500, A320) &gt; 0, "Done", IF(COUNTIF(Raw!$J$1:$J$500, A320) &gt; 0, "Pause", IF(COUNTIF(Raw!$K$1:$K$500, A320) &gt; 0, "On-Going", "Pause"))))</f>
        <v/>
      </c>
      <c r="G320" s="51"/>
      <c r="H320" s="50"/>
    </row>
    <row r="321" spans="1:8" x14ac:dyDescent="0.4">
      <c r="A321" s="61"/>
      <c r="B321" s="16" t="str">
        <f t="array" ref="B321">IFERROR(MIN(IF(Raw!$A$2:$A$26=MHT!A321,Raw!$B$2:$B$20)),"")</f>
        <v/>
      </c>
      <c r="C321" s="13" t="str">
        <f t="array" ref="C321">IFERROR(MIN(IF(Raw!$A$2:$A$26=MHT!A321,Raw!$C$2:$C$20)),"")</f>
        <v/>
      </c>
      <c r="D321" s="14" t="str">
        <f t="array" ref="D321">IF(Raw!D314="","",IFERROR(MAX(IF(Raw!$A$2:$A$26=MHT!A321,Raw!$D$2:$D$20)),""))</f>
        <v/>
      </c>
      <c r="E321" s="6" t="str">
        <f>IF(SUMIF(Raw!$A$2:$A$500, MHT!A321, Raw!$F$2:$F$500) = TIME(0,0,0), "", SUMIF(Raw!$A$2:$A$500, MHT!A321, Raw!$F$2:$F$500))</f>
        <v/>
      </c>
      <c r="F321" s="12" t="str">
        <f t="array" ref="F321">IF(A321="", "", IF(COUNTIF(Raw!$H$1:$I$500, A321) &gt; 0, "Done", IF(COUNTIF(Raw!$J$1:$J$500, A321) &gt; 0, "Pause", IF(COUNTIF(Raw!$K$1:$K$500, A321) &gt; 0, "On-Going", "Pause"))))</f>
        <v/>
      </c>
      <c r="G321" s="51"/>
      <c r="H321" s="50"/>
    </row>
    <row r="322" spans="1:8" x14ac:dyDescent="0.4">
      <c r="A322" s="61"/>
      <c r="B322" s="16" t="str">
        <f t="array" ref="B322">IFERROR(MIN(IF(Raw!$A$2:$A$26=MHT!A322,Raw!$B$2:$B$20)),"")</f>
        <v/>
      </c>
      <c r="C322" s="13" t="str">
        <f t="array" ref="C322">IFERROR(MIN(IF(Raw!$A$2:$A$26=MHT!A322,Raw!$C$2:$C$20)),"")</f>
        <v/>
      </c>
      <c r="D322" s="14" t="str">
        <f t="array" ref="D322">IF(Raw!D315="","",IFERROR(MAX(IF(Raw!$A$2:$A$26=MHT!A322,Raw!$D$2:$D$20)),""))</f>
        <v/>
      </c>
      <c r="E322" s="6" t="str">
        <f>IF(SUMIF(Raw!$A$2:$A$500, MHT!A322, Raw!$F$2:$F$500) = TIME(0,0,0), "", SUMIF(Raw!$A$2:$A$500, MHT!A322, Raw!$F$2:$F$500))</f>
        <v/>
      </c>
      <c r="F322" s="12" t="str">
        <f t="array" ref="F322">IF(A322="", "", IF(COUNTIF(Raw!$H$1:$I$500, A322) &gt; 0, "Done", IF(COUNTIF(Raw!$J$1:$J$500, A322) &gt; 0, "Pause", IF(COUNTIF(Raw!$K$1:$K$500, A322) &gt; 0, "On-Going", "Pause"))))</f>
        <v/>
      </c>
      <c r="G322" s="51"/>
      <c r="H322" s="50"/>
    </row>
    <row r="323" spans="1:8" x14ac:dyDescent="0.4">
      <c r="A323" s="61"/>
      <c r="B323" s="16" t="str">
        <f t="array" ref="B323">IFERROR(MIN(IF(Raw!$A$2:$A$26=MHT!A323,Raw!$B$2:$B$20)),"")</f>
        <v/>
      </c>
      <c r="C323" s="13" t="str">
        <f t="array" ref="C323">IFERROR(MIN(IF(Raw!$A$2:$A$26=MHT!A323,Raw!$C$2:$C$20)),"")</f>
        <v/>
      </c>
      <c r="D323" s="14" t="str">
        <f t="array" ref="D323">IF(Raw!D316="","",IFERROR(MAX(IF(Raw!$A$2:$A$26=MHT!A323,Raw!$D$2:$D$20)),""))</f>
        <v/>
      </c>
      <c r="E323" s="6" t="str">
        <f>IF(SUMIF(Raw!$A$2:$A$500, MHT!A323, Raw!$F$2:$F$500) = TIME(0,0,0), "", SUMIF(Raw!$A$2:$A$500, MHT!A323, Raw!$F$2:$F$500))</f>
        <v/>
      </c>
      <c r="F323" s="12" t="str">
        <f t="array" ref="F323">IF(A323="", "", IF(COUNTIF(Raw!$H$1:$I$500, A323) &gt; 0, "Done", IF(COUNTIF(Raw!$J$1:$J$500, A323) &gt; 0, "Pause", IF(COUNTIF(Raw!$K$1:$K$500, A323) &gt; 0, "On-Going", "Pause"))))</f>
        <v/>
      </c>
      <c r="G323" s="51"/>
      <c r="H323" s="50"/>
    </row>
    <row r="324" spans="1:8" x14ac:dyDescent="0.4">
      <c r="A324" s="61"/>
      <c r="B324" s="16" t="str">
        <f t="array" ref="B324">IFERROR(MIN(IF(Raw!$A$2:$A$26=MHT!A324,Raw!$B$2:$B$20)),"")</f>
        <v/>
      </c>
      <c r="C324" s="13" t="str">
        <f t="array" ref="C324">IFERROR(MIN(IF(Raw!$A$2:$A$26=MHT!A324,Raw!$C$2:$C$20)),"")</f>
        <v/>
      </c>
      <c r="D324" s="14" t="str">
        <f t="array" ref="D324">IF(Raw!D317="","",IFERROR(MAX(IF(Raw!$A$2:$A$26=MHT!A324,Raw!$D$2:$D$20)),""))</f>
        <v/>
      </c>
      <c r="E324" s="6" t="str">
        <f>IF(SUMIF(Raw!$A$2:$A$500, MHT!A324, Raw!$F$2:$F$500) = TIME(0,0,0), "", SUMIF(Raw!$A$2:$A$500, MHT!A324, Raw!$F$2:$F$500))</f>
        <v/>
      </c>
      <c r="F324" s="12" t="str">
        <f t="array" ref="F324">IF(A324="", "", IF(COUNTIF(Raw!$H$1:$I$500, A324) &gt; 0, "Done", IF(COUNTIF(Raw!$J$1:$J$500, A324) &gt; 0, "Pause", IF(COUNTIF(Raw!$K$1:$K$500, A324) &gt; 0, "On-Going", "Pause"))))</f>
        <v/>
      </c>
      <c r="G324" s="51"/>
      <c r="H324" s="50"/>
    </row>
    <row r="325" spans="1:8" x14ac:dyDescent="0.4">
      <c r="A325" s="61"/>
      <c r="B325" s="16" t="str">
        <f t="array" ref="B325">IFERROR(MIN(IF(Raw!$A$2:$A$26=MHT!A325,Raw!$B$2:$B$20)),"")</f>
        <v/>
      </c>
      <c r="C325" s="13" t="str">
        <f t="array" ref="C325">IFERROR(MIN(IF(Raw!$A$2:$A$26=MHT!A325,Raw!$C$2:$C$20)),"")</f>
        <v/>
      </c>
      <c r="D325" s="14" t="str">
        <f t="array" ref="D325">IF(Raw!D318="","",IFERROR(MAX(IF(Raw!$A$2:$A$26=MHT!A325,Raw!$D$2:$D$20)),""))</f>
        <v/>
      </c>
      <c r="E325" s="6" t="str">
        <f>IF(SUMIF(Raw!$A$2:$A$500, MHT!A325, Raw!$F$2:$F$500) = TIME(0,0,0), "", SUMIF(Raw!$A$2:$A$500, MHT!A325, Raw!$F$2:$F$500))</f>
        <v/>
      </c>
      <c r="F325" s="12" t="str">
        <f t="array" ref="F325">IF(A325="", "", IF(COUNTIF(Raw!$H$1:$I$500, A325) &gt; 0, "Done", IF(COUNTIF(Raw!$J$1:$J$500, A325) &gt; 0, "Pause", IF(COUNTIF(Raw!$K$1:$K$500, A325) &gt; 0, "On-Going", "Pause"))))</f>
        <v/>
      </c>
      <c r="G325" s="51"/>
      <c r="H325" s="50"/>
    </row>
    <row r="326" spans="1:8" x14ac:dyDescent="0.4">
      <c r="A326" s="61"/>
      <c r="B326" s="16" t="str">
        <f t="array" ref="B326">IFERROR(MIN(IF(Raw!$A$2:$A$26=MHT!A326,Raw!$B$2:$B$20)),"")</f>
        <v/>
      </c>
      <c r="C326" s="13" t="str">
        <f t="array" ref="C326">IFERROR(MIN(IF(Raw!$A$2:$A$26=MHT!A326,Raw!$C$2:$C$20)),"")</f>
        <v/>
      </c>
      <c r="D326" s="14" t="str">
        <f t="array" ref="D326">IF(Raw!D319="","",IFERROR(MAX(IF(Raw!$A$2:$A$26=MHT!A326,Raw!$D$2:$D$20)),""))</f>
        <v/>
      </c>
      <c r="E326" s="6" t="str">
        <f>IF(SUMIF(Raw!$A$2:$A$500, MHT!A326, Raw!$F$2:$F$500) = TIME(0,0,0), "", SUMIF(Raw!$A$2:$A$500, MHT!A326, Raw!$F$2:$F$500))</f>
        <v/>
      </c>
      <c r="F326" s="12" t="str">
        <f t="array" ref="F326">IF(A326="", "", IF(COUNTIF(Raw!$H$1:$I$500, A326) &gt; 0, "Done", IF(COUNTIF(Raw!$J$1:$J$500, A326) &gt; 0, "Pause", IF(COUNTIF(Raw!$K$1:$K$500, A326) &gt; 0, "On-Going", "Pause"))))</f>
        <v/>
      </c>
      <c r="G326" s="51"/>
      <c r="H326" s="50"/>
    </row>
    <row r="327" spans="1:8" x14ac:dyDescent="0.4">
      <c r="A327" s="61"/>
      <c r="B327" s="16" t="str">
        <f t="array" ref="B327">IFERROR(MIN(IF(Raw!$A$2:$A$26=MHT!A327,Raw!$B$2:$B$20)),"")</f>
        <v/>
      </c>
      <c r="C327" s="13" t="str">
        <f t="array" ref="C327">IFERROR(MIN(IF(Raw!$A$2:$A$26=MHT!A327,Raw!$C$2:$C$20)),"")</f>
        <v/>
      </c>
      <c r="D327" s="14" t="str">
        <f t="array" ref="D327">IF(Raw!D320="","",IFERROR(MAX(IF(Raw!$A$2:$A$26=MHT!A327,Raw!$D$2:$D$20)),""))</f>
        <v/>
      </c>
      <c r="E327" s="6" t="str">
        <f>IF(SUMIF(Raw!$A$2:$A$500, MHT!A327, Raw!$F$2:$F$500) = TIME(0,0,0), "", SUMIF(Raw!$A$2:$A$500, MHT!A327, Raw!$F$2:$F$500))</f>
        <v/>
      </c>
      <c r="F327" s="12" t="str">
        <f t="array" ref="F327">IF(A327="", "", IF(COUNTIF(Raw!$H$1:$I$500, A327) &gt; 0, "Done", IF(COUNTIF(Raw!$J$1:$J$500, A327) &gt; 0, "Pause", IF(COUNTIF(Raw!$K$1:$K$500, A327) &gt; 0, "On-Going", "Pause"))))</f>
        <v/>
      </c>
      <c r="G327" s="51"/>
      <c r="H327" s="50"/>
    </row>
    <row r="328" spans="1:8" x14ac:dyDescent="0.4">
      <c r="A328" s="61"/>
      <c r="B328" s="16" t="str">
        <f t="array" ref="B328">IFERROR(MIN(IF(Raw!$A$2:$A$26=MHT!A328,Raw!$B$2:$B$20)),"")</f>
        <v/>
      </c>
      <c r="C328" s="13" t="str">
        <f t="array" ref="C328">IFERROR(MIN(IF(Raw!$A$2:$A$26=MHT!A328,Raw!$C$2:$C$20)),"")</f>
        <v/>
      </c>
      <c r="D328" s="14" t="str">
        <f t="array" ref="D328">IF(Raw!D321="","",IFERROR(MAX(IF(Raw!$A$2:$A$26=MHT!A328,Raw!$D$2:$D$20)),""))</f>
        <v/>
      </c>
      <c r="E328" s="6" t="str">
        <f>IF(SUMIF(Raw!$A$2:$A$500, MHT!A328, Raw!$F$2:$F$500) = TIME(0,0,0), "", SUMIF(Raw!$A$2:$A$500, MHT!A328, Raw!$F$2:$F$500))</f>
        <v/>
      </c>
      <c r="F328" s="12" t="str">
        <f t="array" ref="F328">IF(A328="", "", IF(COUNTIF(Raw!$H$1:$I$500, A328) &gt; 0, "Done", IF(COUNTIF(Raw!$J$1:$J$500, A328) &gt; 0, "Pause", IF(COUNTIF(Raw!$K$1:$K$500, A328) &gt; 0, "On-Going", "Pause"))))</f>
        <v/>
      </c>
      <c r="G328" s="51"/>
      <c r="H328" s="50"/>
    </row>
    <row r="329" spans="1:8" x14ac:dyDescent="0.4">
      <c r="A329" s="61"/>
      <c r="B329" s="16" t="str">
        <f t="array" ref="B329">IFERROR(MIN(IF(Raw!$A$2:$A$26=MHT!A329,Raw!$B$2:$B$20)),"")</f>
        <v/>
      </c>
      <c r="C329" s="13" t="str">
        <f t="array" ref="C329">IFERROR(MIN(IF(Raw!$A$2:$A$26=MHT!A329,Raw!$C$2:$C$20)),"")</f>
        <v/>
      </c>
      <c r="D329" s="14" t="str">
        <f t="array" ref="D329">IF(Raw!D322="","",IFERROR(MAX(IF(Raw!$A$2:$A$26=MHT!A329,Raw!$D$2:$D$20)),""))</f>
        <v/>
      </c>
      <c r="E329" s="6" t="str">
        <f>IF(SUMIF(Raw!$A$2:$A$500, MHT!A329, Raw!$F$2:$F$500) = TIME(0,0,0), "", SUMIF(Raw!$A$2:$A$500, MHT!A329, Raw!$F$2:$F$500))</f>
        <v/>
      </c>
      <c r="F329" s="12" t="str">
        <f t="array" ref="F329">IF(A329="", "", IF(COUNTIF(Raw!$H$1:$I$500, A329) &gt; 0, "Done", IF(COUNTIF(Raw!$J$1:$J$500, A329) &gt; 0, "Pause", IF(COUNTIF(Raw!$K$1:$K$500, A329) &gt; 0, "On-Going", "Pause"))))</f>
        <v/>
      </c>
      <c r="G329" s="51"/>
      <c r="H329" s="50"/>
    </row>
    <row r="330" spans="1:8" x14ac:dyDescent="0.4">
      <c r="A330" s="61"/>
      <c r="B330" s="16" t="str">
        <f t="array" ref="B330">IFERROR(MIN(IF(Raw!$A$2:$A$26=MHT!A330,Raw!$B$2:$B$20)),"")</f>
        <v/>
      </c>
      <c r="C330" s="13" t="str">
        <f t="array" ref="C330">IFERROR(MIN(IF(Raw!$A$2:$A$26=MHT!A330,Raw!$C$2:$C$20)),"")</f>
        <v/>
      </c>
      <c r="D330" s="14" t="str">
        <f t="array" ref="D330">IF(Raw!D323="","",IFERROR(MAX(IF(Raw!$A$2:$A$26=MHT!A330,Raw!$D$2:$D$20)),""))</f>
        <v/>
      </c>
      <c r="E330" s="6" t="str">
        <f>IF(SUMIF(Raw!$A$2:$A$500, MHT!A330, Raw!$F$2:$F$500) = TIME(0,0,0), "", SUMIF(Raw!$A$2:$A$500, MHT!A330, Raw!$F$2:$F$500))</f>
        <v/>
      </c>
      <c r="F330" s="12" t="str">
        <f t="array" ref="F330">IF(A330="", "", IF(COUNTIF(Raw!$H$1:$I$500, A330) &gt; 0, "Done", IF(COUNTIF(Raw!$J$1:$J$500, A330) &gt; 0, "Pause", IF(COUNTIF(Raw!$K$1:$K$500, A330) &gt; 0, "On-Going", "Pause"))))</f>
        <v/>
      </c>
      <c r="G330" s="51"/>
      <c r="H330" s="50"/>
    </row>
    <row r="331" spans="1:8" x14ac:dyDescent="0.4">
      <c r="A331" s="61"/>
      <c r="B331" s="16" t="str">
        <f t="array" ref="B331">IFERROR(MIN(IF(Raw!$A$2:$A$26=MHT!A331,Raw!$B$2:$B$20)),"")</f>
        <v/>
      </c>
      <c r="C331" s="13" t="str">
        <f t="array" ref="C331">IFERROR(MIN(IF(Raw!$A$2:$A$26=MHT!A331,Raw!$C$2:$C$20)),"")</f>
        <v/>
      </c>
      <c r="D331" s="14" t="str">
        <f t="array" ref="D331">IF(Raw!D324="","",IFERROR(MAX(IF(Raw!$A$2:$A$26=MHT!A331,Raw!$D$2:$D$20)),""))</f>
        <v/>
      </c>
      <c r="E331" s="6" t="str">
        <f>IF(SUMIF(Raw!$A$2:$A$500, MHT!A331, Raw!$F$2:$F$500) = TIME(0,0,0), "", SUMIF(Raw!$A$2:$A$500, MHT!A331, Raw!$F$2:$F$500))</f>
        <v/>
      </c>
      <c r="F331" s="12" t="str">
        <f t="array" ref="F331">IF(A331="", "", IF(COUNTIF(Raw!$H$1:$I$500, A331) &gt; 0, "Done", IF(COUNTIF(Raw!$J$1:$J$500, A331) &gt; 0, "Pause", IF(COUNTIF(Raw!$K$1:$K$500, A331) &gt; 0, "On-Going", "Pause"))))</f>
        <v/>
      </c>
      <c r="G331" s="51"/>
      <c r="H331" s="50"/>
    </row>
    <row r="332" spans="1:8" x14ac:dyDescent="0.4">
      <c r="A332" s="61"/>
      <c r="B332" s="16" t="str">
        <f t="array" ref="B332">IFERROR(MIN(IF(Raw!$A$2:$A$26=MHT!A332,Raw!$B$2:$B$20)),"")</f>
        <v/>
      </c>
      <c r="C332" s="13" t="str">
        <f t="array" ref="C332">IFERROR(MIN(IF(Raw!$A$2:$A$26=MHT!A332,Raw!$C$2:$C$20)),"")</f>
        <v/>
      </c>
      <c r="D332" s="14" t="str">
        <f t="array" ref="D332">IF(Raw!D325="","",IFERROR(MAX(IF(Raw!$A$2:$A$26=MHT!A332,Raw!$D$2:$D$20)),""))</f>
        <v/>
      </c>
      <c r="E332" s="6" t="str">
        <f>IF(SUMIF(Raw!$A$2:$A$500, MHT!A332, Raw!$F$2:$F$500) = TIME(0,0,0), "", SUMIF(Raw!$A$2:$A$500, MHT!A332, Raw!$F$2:$F$500))</f>
        <v/>
      </c>
      <c r="F332" s="12" t="str">
        <f t="array" ref="F332">IF(A332="", "", IF(COUNTIF(Raw!$H$1:$I$500, A332) &gt; 0, "Done", IF(COUNTIF(Raw!$J$1:$J$500, A332) &gt; 0, "Pause", IF(COUNTIF(Raw!$K$1:$K$500, A332) &gt; 0, "On-Going", "Pause"))))</f>
        <v/>
      </c>
      <c r="G332" s="51"/>
      <c r="H332" s="50"/>
    </row>
    <row r="333" spans="1:8" x14ac:dyDescent="0.4">
      <c r="A333" s="61"/>
      <c r="B333" s="16" t="str">
        <f t="array" ref="B333">IFERROR(MIN(IF(Raw!$A$2:$A$26=MHT!A333,Raw!$B$2:$B$20)),"")</f>
        <v/>
      </c>
      <c r="C333" s="13" t="str">
        <f t="array" ref="C333">IFERROR(MIN(IF(Raw!$A$2:$A$26=MHT!A333,Raw!$C$2:$C$20)),"")</f>
        <v/>
      </c>
      <c r="D333" s="14" t="str">
        <f t="array" ref="D333">IF(Raw!D326="","",IFERROR(MAX(IF(Raw!$A$2:$A$26=MHT!A333,Raw!$D$2:$D$20)),""))</f>
        <v/>
      </c>
      <c r="E333" s="6" t="str">
        <f>IF(SUMIF(Raw!$A$2:$A$500, MHT!A333, Raw!$F$2:$F$500) = TIME(0,0,0), "", SUMIF(Raw!$A$2:$A$500, MHT!A333, Raw!$F$2:$F$500))</f>
        <v/>
      </c>
      <c r="F333" s="12" t="str">
        <f t="array" ref="F333">IF(A333="", "", IF(COUNTIF(Raw!$H$1:$I$500, A333) &gt; 0, "Done", IF(COUNTIF(Raw!$J$1:$J$500, A333) &gt; 0, "Pause", IF(COUNTIF(Raw!$K$1:$K$500, A333) &gt; 0, "On-Going", "Pause"))))</f>
        <v/>
      </c>
      <c r="G333" s="51"/>
      <c r="H333" s="50"/>
    </row>
    <row r="334" spans="1:8" x14ac:dyDescent="0.4">
      <c r="A334" s="61"/>
      <c r="B334" s="16" t="str">
        <f t="array" ref="B334">IFERROR(MIN(IF(Raw!$A$2:$A$26=MHT!A334,Raw!$B$2:$B$20)),"")</f>
        <v/>
      </c>
      <c r="C334" s="13" t="str">
        <f t="array" ref="C334">IFERROR(MIN(IF(Raw!$A$2:$A$26=MHT!A334,Raw!$C$2:$C$20)),"")</f>
        <v/>
      </c>
      <c r="D334" s="14" t="str">
        <f t="array" ref="D334">IF(Raw!D327="","",IFERROR(MAX(IF(Raw!$A$2:$A$26=MHT!A334,Raw!$D$2:$D$20)),""))</f>
        <v/>
      </c>
      <c r="E334" s="6" t="str">
        <f>IF(SUMIF(Raw!$A$2:$A$500, MHT!A334, Raw!$F$2:$F$500) = TIME(0,0,0), "", SUMIF(Raw!$A$2:$A$500, MHT!A334, Raw!$F$2:$F$500))</f>
        <v/>
      </c>
      <c r="F334" s="12" t="str">
        <f t="array" ref="F334">IF(A334="", "", IF(COUNTIF(Raw!$H$1:$I$500, A334) &gt; 0, "Done", IF(COUNTIF(Raw!$J$1:$J$500, A334) &gt; 0, "Pause", IF(COUNTIF(Raw!$K$1:$K$500, A334) &gt; 0, "On-Going", "Pause"))))</f>
        <v/>
      </c>
      <c r="G334" s="51"/>
      <c r="H334" s="50"/>
    </row>
    <row r="335" spans="1:8" x14ac:dyDescent="0.4">
      <c r="A335" s="61"/>
      <c r="B335" s="16" t="str">
        <f t="array" ref="B335">IFERROR(MIN(IF(Raw!$A$2:$A$26=MHT!A335,Raw!$B$2:$B$20)),"")</f>
        <v/>
      </c>
      <c r="C335" s="13" t="str">
        <f t="array" ref="C335">IFERROR(MIN(IF(Raw!$A$2:$A$26=MHT!A335,Raw!$C$2:$C$20)),"")</f>
        <v/>
      </c>
      <c r="D335" s="14" t="str">
        <f t="array" ref="D335">IF(Raw!D328="","",IFERROR(MAX(IF(Raw!$A$2:$A$26=MHT!A335,Raw!$D$2:$D$20)),""))</f>
        <v/>
      </c>
      <c r="E335" s="6" t="str">
        <f>IF(SUMIF(Raw!$A$2:$A$500, MHT!A335, Raw!$F$2:$F$500) = TIME(0,0,0), "", SUMIF(Raw!$A$2:$A$500, MHT!A335, Raw!$F$2:$F$500))</f>
        <v/>
      </c>
      <c r="F335" s="12" t="str">
        <f t="array" ref="F335">IF(A335="", "", IF(COUNTIF(Raw!$H$1:$I$500, A335) &gt; 0, "Done", IF(COUNTIF(Raw!$J$1:$J$500, A335) &gt; 0, "Pause", IF(COUNTIF(Raw!$K$1:$K$500, A335) &gt; 0, "On-Going", "Pause"))))</f>
        <v/>
      </c>
      <c r="G335" s="51"/>
      <c r="H335" s="50"/>
    </row>
    <row r="336" spans="1:8" x14ac:dyDescent="0.4">
      <c r="A336" s="61"/>
      <c r="B336" s="16" t="str">
        <f t="array" ref="B336">IFERROR(MIN(IF(Raw!$A$2:$A$26=MHT!A336,Raw!$B$2:$B$20)),"")</f>
        <v/>
      </c>
      <c r="C336" s="13" t="str">
        <f t="array" ref="C336">IFERROR(MIN(IF(Raw!$A$2:$A$26=MHT!A336,Raw!$C$2:$C$20)),"")</f>
        <v/>
      </c>
      <c r="D336" s="14" t="str">
        <f t="array" ref="D336">IF(Raw!D329="","",IFERROR(MAX(IF(Raw!$A$2:$A$26=MHT!A336,Raw!$D$2:$D$20)),""))</f>
        <v/>
      </c>
      <c r="E336" s="6" t="str">
        <f>IF(SUMIF(Raw!$A$2:$A$500, MHT!A336, Raw!$F$2:$F$500) = TIME(0,0,0), "", SUMIF(Raw!$A$2:$A$500, MHT!A336, Raw!$F$2:$F$500))</f>
        <v/>
      </c>
      <c r="F336" s="12" t="str">
        <f t="array" ref="F336">IF(A336="", "", IF(COUNTIF(Raw!$H$1:$I$500, A336) &gt; 0, "Done", IF(COUNTIF(Raw!$J$1:$J$500, A336) &gt; 0, "Pause", IF(COUNTIF(Raw!$K$1:$K$500, A336) &gt; 0, "On-Going", "Pause"))))</f>
        <v/>
      </c>
      <c r="G336" s="51"/>
      <c r="H336" s="50"/>
    </row>
    <row r="337" spans="1:8" x14ac:dyDescent="0.4">
      <c r="A337" s="61"/>
      <c r="B337" s="16" t="str">
        <f t="array" ref="B337">IFERROR(MIN(IF(Raw!$A$2:$A$26=MHT!A337,Raw!$B$2:$B$20)),"")</f>
        <v/>
      </c>
      <c r="C337" s="13" t="str">
        <f t="array" ref="C337">IFERROR(MIN(IF(Raw!$A$2:$A$26=MHT!A337,Raw!$C$2:$C$20)),"")</f>
        <v/>
      </c>
      <c r="D337" s="14" t="str">
        <f t="array" ref="D337">IF(Raw!D330="","",IFERROR(MAX(IF(Raw!$A$2:$A$26=MHT!A337,Raw!$D$2:$D$20)),""))</f>
        <v/>
      </c>
      <c r="E337" s="6" t="str">
        <f>IF(SUMIF(Raw!$A$2:$A$500, MHT!A337, Raw!$F$2:$F$500) = TIME(0,0,0), "", SUMIF(Raw!$A$2:$A$500, MHT!A337, Raw!$F$2:$F$500))</f>
        <v/>
      </c>
      <c r="F337" s="12" t="str">
        <f t="array" ref="F337">IF(A337="", "", IF(COUNTIF(Raw!$H$1:$I$500, A337) &gt; 0, "Done", IF(COUNTIF(Raw!$J$1:$J$500, A337) &gt; 0, "Pause", IF(COUNTIF(Raw!$K$1:$K$500, A337) &gt; 0, "On-Going", "Pause"))))</f>
        <v/>
      </c>
      <c r="G337" s="51"/>
      <c r="H337" s="50"/>
    </row>
    <row r="338" spans="1:8" x14ac:dyDescent="0.4">
      <c r="A338" s="61"/>
      <c r="B338" s="16" t="str">
        <f t="array" ref="B338">IFERROR(MIN(IF(Raw!$A$2:$A$26=MHT!A338,Raw!$B$2:$B$20)),"")</f>
        <v/>
      </c>
      <c r="C338" s="13" t="str">
        <f t="array" ref="C338">IFERROR(MIN(IF(Raw!$A$2:$A$26=MHT!A338,Raw!$C$2:$C$20)),"")</f>
        <v/>
      </c>
      <c r="D338" s="14" t="str">
        <f t="array" ref="D338">IF(Raw!D331="","",IFERROR(MAX(IF(Raw!$A$2:$A$26=MHT!A338,Raw!$D$2:$D$20)),""))</f>
        <v/>
      </c>
      <c r="E338" s="6" t="str">
        <f>IF(SUMIF(Raw!$A$2:$A$500, MHT!A338, Raw!$F$2:$F$500) = TIME(0,0,0), "", SUMIF(Raw!$A$2:$A$500, MHT!A338, Raw!$F$2:$F$500))</f>
        <v/>
      </c>
      <c r="F338" s="12" t="str">
        <f t="array" ref="F338">IF(A338="", "", IF(COUNTIF(Raw!$H$1:$I$500, A338) &gt; 0, "Done", IF(COUNTIF(Raw!$J$1:$J$500, A338) &gt; 0, "Pause", IF(COUNTIF(Raw!$K$1:$K$500, A338) &gt; 0, "On-Going", "Pause"))))</f>
        <v/>
      </c>
      <c r="G338" s="51"/>
      <c r="H338" s="50"/>
    </row>
    <row r="339" spans="1:8" x14ac:dyDescent="0.4">
      <c r="A339" s="61"/>
      <c r="B339" s="16" t="str">
        <f t="array" ref="B339">IFERROR(MIN(IF(Raw!$A$2:$A$26=MHT!A339,Raw!$B$2:$B$20)),"")</f>
        <v/>
      </c>
      <c r="C339" s="13" t="str">
        <f t="array" ref="C339">IFERROR(MIN(IF(Raw!$A$2:$A$26=MHT!A339,Raw!$C$2:$C$20)),"")</f>
        <v/>
      </c>
      <c r="D339" s="14" t="str">
        <f t="array" ref="D339">IF(Raw!D332="","",IFERROR(MAX(IF(Raw!$A$2:$A$26=MHT!A339,Raw!$D$2:$D$20)),""))</f>
        <v/>
      </c>
      <c r="E339" s="6" t="str">
        <f>IF(SUMIF(Raw!$A$2:$A$500, MHT!A339, Raw!$F$2:$F$500) = TIME(0,0,0), "", SUMIF(Raw!$A$2:$A$500, MHT!A339, Raw!$F$2:$F$500))</f>
        <v/>
      </c>
      <c r="F339" s="12" t="str">
        <f t="array" ref="F339">IF(A339="", "", IF(COUNTIF(Raw!$H$1:$I$500, A339) &gt; 0, "Done", IF(COUNTIF(Raw!$J$1:$J$500, A339) &gt; 0, "Pause", IF(COUNTIF(Raw!$K$1:$K$500, A339) &gt; 0, "On-Going", "Pause"))))</f>
        <v/>
      </c>
      <c r="G339" s="51"/>
      <c r="H339" s="50"/>
    </row>
    <row r="340" spans="1:8" x14ac:dyDescent="0.4">
      <c r="A340" s="61"/>
      <c r="B340" s="16" t="str">
        <f t="array" ref="B340">IFERROR(MIN(IF(Raw!$A$2:$A$26=MHT!A340,Raw!$B$2:$B$20)),"")</f>
        <v/>
      </c>
      <c r="C340" s="13" t="str">
        <f t="array" ref="C340">IFERROR(MIN(IF(Raw!$A$2:$A$26=MHT!A340,Raw!$C$2:$C$20)),"")</f>
        <v/>
      </c>
      <c r="D340" s="14" t="str">
        <f t="array" ref="D340">IF(Raw!D333="","",IFERROR(MAX(IF(Raw!$A$2:$A$26=MHT!A340,Raw!$D$2:$D$20)),""))</f>
        <v/>
      </c>
      <c r="E340" s="6" t="str">
        <f>IF(SUMIF(Raw!$A$2:$A$500, MHT!A340, Raw!$F$2:$F$500) = TIME(0,0,0), "", SUMIF(Raw!$A$2:$A$500, MHT!A340, Raw!$F$2:$F$500))</f>
        <v/>
      </c>
      <c r="F340" s="12" t="str">
        <f t="array" ref="F340">IF(A340="", "", IF(COUNTIF(Raw!$H$1:$I$500, A340) &gt; 0, "Done", IF(COUNTIF(Raw!$J$1:$J$500, A340) &gt; 0, "Pause", IF(COUNTIF(Raw!$K$1:$K$500, A340) &gt; 0, "On-Going", "Pause"))))</f>
        <v/>
      </c>
      <c r="G340" s="51"/>
      <c r="H340" s="50"/>
    </row>
    <row r="341" spans="1:8" x14ac:dyDescent="0.4">
      <c r="A341" s="61"/>
      <c r="B341" s="16" t="str">
        <f t="array" ref="B341">IFERROR(MIN(IF(Raw!$A$2:$A$26=MHT!A341,Raw!$B$2:$B$20)),"")</f>
        <v/>
      </c>
      <c r="C341" s="13" t="str">
        <f t="array" ref="C341">IFERROR(MIN(IF(Raw!$A$2:$A$26=MHT!A341,Raw!$C$2:$C$20)),"")</f>
        <v/>
      </c>
      <c r="D341" s="14" t="str">
        <f t="array" ref="D341">IF(Raw!D334="","",IFERROR(MAX(IF(Raw!$A$2:$A$26=MHT!A341,Raw!$D$2:$D$20)),""))</f>
        <v/>
      </c>
      <c r="E341" s="6" t="str">
        <f>IF(SUMIF(Raw!$A$2:$A$500, MHT!A341, Raw!$F$2:$F$500) = TIME(0,0,0), "", SUMIF(Raw!$A$2:$A$500, MHT!A341, Raw!$F$2:$F$500))</f>
        <v/>
      </c>
      <c r="F341" s="12" t="str">
        <f t="array" ref="F341">IF(A341="", "", IF(COUNTIF(Raw!$H$1:$I$500, A341) &gt; 0, "Done", IF(COUNTIF(Raw!$J$1:$J$500, A341) &gt; 0, "Pause", IF(COUNTIF(Raw!$K$1:$K$500, A341) &gt; 0, "On-Going", "Pause"))))</f>
        <v/>
      </c>
      <c r="G341" s="51"/>
      <c r="H341" s="50"/>
    </row>
    <row r="342" spans="1:8" x14ac:dyDescent="0.4">
      <c r="A342" s="61"/>
      <c r="B342" s="16" t="str">
        <f t="array" ref="B342">IFERROR(MIN(IF(Raw!$A$2:$A$26=MHT!A342,Raw!$B$2:$B$20)),"")</f>
        <v/>
      </c>
      <c r="C342" s="13" t="str">
        <f t="array" ref="C342">IFERROR(MIN(IF(Raw!$A$2:$A$26=MHT!A342,Raw!$C$2:$C$20)),"")</f>
        <v/>
      </c>
      <c r="D342" s="14" t="str">
        <f t="array" ref="D342">IF(Raw!D335="","",IFERROR(MAX(IF(Raw!$A$2:$A$26=MHT!A342,Raw!$D$2:$D$20)),""))</f>
        <v/>
      </c>
      <c r="E342" s="6" t="str">
        <f>IF(SUMIF(Raw!$A$2:$A$500, MHT!A342, Raw!$F$2:$F$500) = TIME(0,0,0), "", SUMIF(Raw!$A$2:$A$500, MHT!A342, Raw!$F$2:$F$500))</f>
        <v/>
      </c>
      <c r="F342" s="12" t="str">
        <f t="array" ref="F342">IF(A342="", "", IF(COUNTIF(Raw!$H$1:$I$500, A342) &gt; 0, "Done", IF(COUNTIF(Raw!$J$1:$J$500, A342) &gt; 0, "Pause", IF(COUNTIF(Raw!$K$1:$K$500, A342) &gt; 0, "On-Going", "Pause"))))</f>
        <v/>
      </c>
      <c r="G342" s="51"/>
      <c r="H342" s="50"/>
    </row>
    <row r="343" spans="1:8" x14ac:dyDescent="0.4">
      <c r="A343" s="61"/>
      <c r="B343" s="16" t="str">
        <f t="array" ref="B343">IFERROR(MIN(IF(Raw!$A$2:$A$26=MHT!A343,Raw!$B$2:$B$20)),"")</f>
        <v/>
      </c>
      <c r="C343" s="13" t="str">
        <f t="array" ref="C343">IFERROR(MIN(IF(Raw!$A$2:$A$26=MHT!A343,Raw!$C$2:$C$20)),"")</f>
        <v/>
      </c>
      <c r="D343" s="14" t="str">
        <f t="array" ref="D343">IF(Raw!D336="","",IFERROR(MAX(IF(Raw!$A$2:$A$26=MHT!A343,Raw!$D$2:$D$20)),""))</f>
        <v/>
      </c>
      <c r="E343" s="6" t="str">
        <f>IF(SUMIF(Raw!$A$2:$A$500, MHT!A343, Raw!$F$2:$F$500) = TIME(0,0,0), "", SUMIF(Raw!$A$2:$A$500, MHT!A343, Raw!$F$2:$F$500))</f>
        <v/>
      </c>
      <c r="F343" s="12" t="str">
        <f t="array" ref="F343">IF(A343="", "", IF(COUNTIF(Raw!$H$1:$I$500, A343) &gt; 0, "Done", IF(COUNTIF(Raw!$J$1:$J$500, A343) &gt; 0, "Pause", IF(COUNTIF(Raw!$K$1:$K$500, A343) &gt; 0, "On-Going", "Pause"))))</f>
        <v/>
      </c>
      <c r="G343" s="51"/>
      <c r="H343" s="50"/>
    </row>
    <row r="344" spans="1:8" x14ac:dyDescent="0.4">
      <c r="A344" s="61"/>
      <c r="B344" s="16" t="str">
        <f t="array" ref="B344">IFERROR(MIN(IF(Raw!$A$2:$A$26=MHT!A344,Raw!$B$2:$B$20)),"")</f>
        <v/>
      </c>
      <c r="C344" s="13" t="str">
        <f t="array" ref="C344">IFERROR(MIN(IF(Raw!$A$2:$A$26=MHT!A344,Raw!$C$2:$C$20)),"")</f>
        <v/>
      </c>
      <c r="D344" s="14" t="str">
        <f t="array" ref="D344">IF(Raw!D337="","",IFERROR(MAX(IF(Raw!$A$2:$A$26=MHT!A344,Raw!$D$2:$D$20)),""))</f>
        <v/>
      </c>
      <c r="E344" s="6" t="str">
        <f>IF(SUMIF(Raw!$A$2:$A$500, MHT!A344, Raw!$F$2:$F$500) = TIME(0,0,0), "", SUMIF(Raw!$A$2:$A$500, MHT!A344, Raw!$F$2:$F$500))</f>
        <v/>
      </c>
      <c r="F344" s="12" t="str">
        <f t="array" ref="F344">IF(A344="", "", IF(COUNTIF(Raw!$H$1:$I$500, A344) &gt; 0, "Done", IF(COUNTIF(Raw!$J$1:$J$500, A344) &gt; 0, "Pause", IF(COUNTIF(Raw!$K$1:$K$500, A344) &gt; 0, "On-Going", "Pause"))))</f>
        <v/>
      </c>
      <c r="G344" s="51"/>
      <c r="H344" s="50"/>
    </row>
    <row r="345" spans="1:8" x14ac:dyDescent="0.4">
      <c r="A345" s="61"/>
      <c r="B345" s="16" t="str">
        <f t="array" ref="B345">IFERROR(MIN(IF(Raw!$A$2:$A$26=MHT!A345,Raw!$B$2:$B$20)),"")</f>
        <v/>
      </c>
      <c r="C345" s="13" t="str">
        <f t="array" ref="C345">IFERROR(MIN(IF(Raw!$A$2:$A$26=MHT!A345,Raw!$C$2:$C$20)),"")</f>
        <v/>
      </c>
      <c r="D345" s="14" t="str">
        <f t="array" ref="D345">IF(Raw!D338="","",IFERROR(MAX(IF(Raw!$A$2:$A$26=MHT!A345,Raw!$D$2:$D$20)),""))</f>
        <v/>
      </c>
      <c r="E345" s="6" t="str">
        <f>IF(SUMIF(Raw!$A$2:$A$500, MHT!A345, Raw!$F$2:$F$500) = TIME(0,0,0), "", SUMIF(Raw!$A$2:$A$500, MHT!A345, Raw!$F$2:$F$500))</f>
        <v/>
      </c>
      <c r="F345" s="12" t="str">
        <f t="array" ref="F345">IF(A345="", "", IF(COUNTIF(Raw!$H$1:$I$500, A345) &gt; 0, "Done", IF(COUNTIF(Raw!$J$1:$J$500, A345) &gt; 0, "Pause", IF(COUNTIF(Raw!$K$1:$K$500, A345) &gt; 0, "On-Going", "Pause"))))</f>
        <v/>
      </c>
      <c r="G345" s="51"/>
      <c r="H345" s="50"/>
    </row>
    <row r="346" spans="1:8" x14ac:dyDescent="0.4">
      <c r="A346" s="61"/>
      <c r="B346" s="16" t="str">
        <f t="array" ref="B346">IFERROR(MIN(IF(Raw!$A$2:$A$26=MHT!A346,Raw!$B$2:$B$20)),"")</f>
        <v/>
      </c>
      <c r="C346" s="13" t="str">
        <f t="array" ref="C346">IFERROR(MIN(IF(Raw!$A$2:$A$26=MHT!A346,Raw!$C$2:$C$20)),"")</f>
        <v/>
      </c>
      <c r="D346" s="14" t="str">
        <f t="array" ref="D346">IF(Raw!D339="","",IFERROR(MAX(IF(Raw!$A$2:$A$26=MHT!A346,Raw!$D$2:$D$20)),""))</f>
        <v/>
      </c>
      <c r="E346" s="6" t="str">
        <f>IF(SUMIF(Raw!$A$2:$A$500, MHT!A346, Raw!$F$2:$F$500) = TIME(0,0,0), "", SUMIF(Raw!$A$2:$A$500, MHT!A346, Raw!$F$2:$F$500))</f>
        <v/>
      </c>
      <c r="F346" s="12" t="str">
        <f t="array" ref="F346">IF(A346="", "", IF(COUNTIF(Raw!$H$1:$I$500, A346) &gt; 0, "Done", IF(COUNTIF(Raw!$J$1:$J$500, A346) &gt; 0, "Pause", IF(COUNTIF(Raw!$K$1:$K$500, A346) &gt; 0, "On-Going", "Pause"))))</f>
        <v/>
      </c>
      <c r="G346" s="51"/>
      <c r="H346" s="50"/>
    </row>
    <row r="347" spans="1:8" x14ac:dyDescent="0.4">
      <c r="A347" s="61"/>
      <c r="B347" s="16" t="str">
        <f t="array" ref="B347">IFERROR(MIN(IF(Raw!$A$2:$A$26=MHT!A347,Raw!$B$2:$B$20)),"")</f>
        <v/>
      </c>
      <c r="C347" s="13" t="str">
        <f t="array" ref="C347">IFERROR(MIN(IF(Raw!$A$2:$A$26=MHT!A347,Raw!$C$2:$C$20)),"")</f>
        <v/>
      </c>
      <c r="D347" s="14" t="str">
        <f t="array" ref="D347">IF(Raw!D340="","",IFERROR(MAX(IF(Raw!$A$2:$A$26=MHT!A347,Raw!$D$2:$D$20)),""))</f>
        <v/>
      </c>
      <c r="E347" s="6" t="str">
        <f>IF(SUMIF(Raw!$A$2:$A$500, MHT!A347, Raw!$F$2:$F$500) = TIME(0,0,0), "", SUMIF(Raw!$A$2:$A$500, MHT!A347, Raw!$F$2:$F$500))</f>
        <v/>
      </c>
      <c r="F347" s="12" t="str">
        <f t="array" ref="F347">IF(A347="", "", IF(COUNTIF(Raw!$H$1:$I$500, A347) &gt; 0, "Done", IF(COUNTIF(Raw!$J$1:$J$500, A347) &gt; 0, "Pause", IF(COUNTIF(Raw!$K$1:$K$500, A347) &gt; 0, "On-Going", "Pause"))))</f>
        <v/>
      </c>
      <c r="G347" s="51"/>
      <c r="H347" s="50"/>
    </row>
    <row r="348" spans="1:8" x14ac:dyDescent="0.4">
      <c r="A348" s="61"/>
      <c r="B348" s="16" t="str">
        <f t="array" ref="B348">IFERROR(MIN(IF(Raw!$A$2:$A$26=MHT!A348,Raw!$B$2:$B$20)),"")</f>
        <v/>
      </c>
      <c r="C348" s="13" t="str">
        <f t="array" ref="C348">IFERROR(MIN(IF(Raw!$A$2:$A$26=MHT!A348,Raw!$C$2:$C$20)),"")</f>
        <v/>
      </c>
      <c r="D348" s="14" t="str">
        <f t="array" ref="D348">IF(Raw!D341="","",IFERROR(MAX(IF(Raw!$A$2:$A$26=MHT!A348,Raw!$D$2:$D$20)),""))</f>
        <v/>
      </c>
      <c r="E348" s="6" t="str">
        <f>IF(SUMIF(Raw!$A$2:$A$500, MHT!A348, Raw!$F$2:$F$500) = TIME(0,0,0), "", SUMIF(Raw!$A$2:$A$500, MHT!A348, Raw!$F$2:$F$500))</f>
        <v/>
      </c>
      <c r="F348" s="12" t="str">
        <f t="array" ref="F348">IF(A348="", "", IF(COUNTIF(Raw!$H$1:$I$500, A348) &gt; 0, "Done", IF(COUNTIF(Raw!$J$1:$J$500, A348) &gt; 0, "Pause", IF(COUNTIF(Raw!$K$1:$K$500, A348) &gt; 0, "On-Going", "Pause"))))</f>
        <v/>
      </c>
      <c r="G348" s="51"/>
      <c r="H348" s="50"/>
    </row>
    <row r="349" spans="1:8" x14ac:dyDescent="0.4">
      <c r="A349" s="61"/>
      <c r="B349" s="16" t="str">
        <f t="array" ref="B349">IFERROR(MIN(IF(Raw!$A$2:$A$26=MHT!A349,Raw!$B$2:$B$20)),"")</f>
        <v/>
      </c>
      <c r="C349" s="13" t="str">
        <f t="array" ref="C349">IFERROR(MIN(IF(Raw!$A$2:$A$26=MHT!A349,Raw!$C$2:$C$20)),"")</f>
        <v/>
      </c>
      <c r="D349" s="14" t="str">
        <f t="array" ref="D349">IF(Raw!D342="","",IFERROR(MAX(IF(Raw!$A$2:$A$26=MHT!A349,Raw!$D$2:$D$20)),""))</f>
        <v/>
      </c>
      <c r="E349" s="6" t="str">
        <f>IF(SUMIF(Raw!$A$2:$A$500, MHT!A349, Raw!$F$2:$F$500) = TIME(0,0,0), "", SUMIF(Raw!$A$2:$A$500, MHT!A349, Raw!$F$2:$F$500))</f>
        <v/>
      </c>
      <c r="F349" s="12" t="str">
        <f t="array" ref="F349">IF(A349="", "", IF(COUNTIF(Raw!$H$1:$I$500, A349) &gt; 0, "Done", IF(COUNTIF(Raw!$J$1:$J$500, A349) &gt; 0, "Pause", IF(COUNTIF(Raw!$K$1:$K$500, A349) &gt; 0, "On-Going", "Pause"))))</f>
        <v/>
      </c>
      <c r="G349" s="51"/>
      <c r="H349" s="50"/>
    </row>
    <row r="350" spans="1:8" x14ac:dyDescent="0.4">
      <c r="A350" s="61"/>
      <c r="B350" s="16" t="str">
        <f t="array" ref="B350">IFERROR(MIN(IF(Raw!$A$2:$A$26=MHT!A350,Raw!$B$2:$B$20)),"")</f>
        <v/>
      </c>
      <c r="C350" s="13" t="str">
        <f t="array" ref="C350">IFERROR(MIN(IF(Raw!$A$2:$A$26=MHT!A350,Raw!$C$2:$C$20)),"")</f>
        <v/>
      </c>
      <c r="D350" s="14" t="str">
        <f t="array" ref="D350">IF(Raw!D343="","",IFERROR(MAX(IF(Raw!$A$2:$A$26=MHT!A350,Raw!$D$2:$D$20)),""))</f>
        <v/>
      </c>
      <c r="E350" s="6" t="str">
        <f>IF(SUMIF(Raw!$A$2:$A$500, MHT!A350, Raw!$F$2:$F$500) = TIME(0,0,0), "", SUMIF(Raw!$A$2:$A$500, MHT!A350, Raw!$F$2:$F$500))</f>
        <v/>
      </c>
      <c r="F350" s="12" t="str">
        <f t="array" ref="F350">IF(A350="", "", IF(COUNTIF(Raw!$H$1:$I$500, A350) &gt; 0, "Done", IF(COUNTIF(Raw!$J$1:$J$500, A350) &gt; 0, "Pause", IF(COUNTIF(Raw!$K$1:$K$500, A350) &gt; 0, "On-Going", "Pause"))))</f>
        <v/>
      </c>
      <c r="G350" s="51"/>
      <c r="H350" s="50"/>
    </row>
    <row r="351" spans="1:8" x14ac:dyDescent="0.4">
      <c r="A351" s="61"/>
      <c r="B351" s="16" t="str">
        <f t="array" ref="B351">IFERROR(MIN(IF(Raw!$A$2:$A$26=MHT!A351,Raw!$B$2:$B$20)),"")</f>
        <v/>
      </c>
      <c r="C351" s="13" t="str">
        <f t="array" ref="C351">IFERROR(MIN(IF(Raw!$A$2:$A$26=MHT!A351,Raw!$C$2:$C$20)),"")</f>
        <v/>
      </c>
      <c r="D351" s="14" t="str">
        <f t="array" ref="D351">IF(Raw!D344="","",IFERROR(MAX(IF(Raw!$A$2:$A$26=MHT!A351,Raw!$D$2:$D$20)),""))</f>
        <v/>
      </c>
      <c r="E351" s="6" t="str">
        <f>IF(SUMIF(Raw!$A$2:$A$500, MHT!A351, Raw!$F$2:$F$500) = TIME(0,0,0), "", SUMIF(Raw!$A$2:$A$500, MHT!A351, Raw!$F$2:$F$500))</f>
        <v/>
      </c>
      <c r="F351" s="12" t="str">
        <f t="array" ref="F351">IF(A351="", "", IF(COUNTIF(Raw!$H$1:$I$500, A351) &gt; 0, "Done", IF(COUNTIF(Raw!$J$1:$J$500, A351) &gt; 0, "Pause", IF(COUNTIF(Raw!$K$1:$K$500, A351) &gt; 0, "On-Going", "Pause"))))</f>
        <v/>
      </c>
      <c r="G351" s="51"/>
      <c r="H351" s="50"/>
    </row>
    <row r="352" spans="1:8" x14ac:dyDescent="0.4">
      <c r="A352" s="61"/>
      <c r="B352" s="16" t="str">
        <f t="array" ref="B352">IFERROR(MIN(IF(Raw!$A$2:$A$26=MHT!A352,Raw!$B$2:$B$20)),"")</f>
        <v/>
      </c>
      <c r="C352" s="13" t="str">
        <f t="array" ref="C352">IFERROR(MIN(IF(Raw!$A$2:$A$26=MHT!A352,Raw!$C$2:$C$20)),"")</f>
        <v/>
      </c>
      <c r="D352" s="14" t="str">
        <f t="array" ref="D352">IF(Raw!D345="","",IFERROR(MAX(IF(Raw!$A$2:$A$26=MHT!A352,Raw!$D$2:$D$20)),""))</f>
        <v/>
      </c>
      <c r="E352" s="6" t="str">
        <f>IF(SUMIF(Raw!$A$2:$A$500, MHT!A352, Raw!$F$2:$F$500) = TIME(0,0,0), "", SUMIF(Raw!$A$2:$A$500, MHT!A352, Raw!$F$2:$F$500))</f>
        <v/>
      </c>
      <c r="F352" s="12" t="str">
        <f t="array" ref="F352">IF(A352="", "", IF(COUNTIF(Raw!$H$1:$I$500, A352) &gt; 0, "Done", IF(COUNTIF(Raw!$J$1:$J$500, A352) &gt; 0, "Pause", IF(COUNTIF(Raw!$K$1:$K$500, A352) &gt; 0, "On-Going", "Pause"))))</f>
        <v/>
      </c>
      <c r="G352" s="51"/>
      <c r="H352" s="50"/>
    </row>
    <row r="353" spans="1:8" x14ac:dyDescent="0.4">
      <c r="A353" s="61"/>
      <c r="B353" s="16" t="str">
        <f t="array" ref="B353">IFERROR(MIN(IF(Raw!$A$2:$A$26=MHT!A353,Raw!$B$2:$B$20)),"")</f>
        <v/>
      </c>
      <c r="C353" s="13" t="str">
        <f t="array" ref="C353">IFERROR(MIN(IF(Raw!$A$2:$A$26=MHT!A353,Raw!$C$2:$C$20)),"")</f>
        <v/>
      </c>
      <c r="D353" s="14" t="str">
        <f t="array" ref="D353">IF(Raw!D346="","",IFERROR(MAX(IF(Raw!$A$2:$A$26=MHT!A353,Raw!$D$2:$D$20)),""))</f>
        <v/>
      </c>
      <c r="E353" s="6" t="str">
        <f>IF(SUMIF(Raw!$A$2:$A$500, MHT!A353, Raw!$F$2:$F$500) = TIME(0,0,0), "", SUMIF(Raw!$A$2:$A$500, MHT!A353, Raw!$F$2:$F$500))</f>
        <v/>
      </c>
      <c r="F353" s="12" t="str">
        <f t="array" ref="F353">IF(A353="", "", IF(COUNTIF(Raw!$H$1:$I$500, A353) &gt; 0, "Done", IF(COUNTIF(Raw!$J$1:$J$500, A353) &gt; 0, "Pause", IF(COUNTIF(Raw!$K$1:$K$500, A353) &gt; 0, "On-Going", "Pause"))))</f>
        <v/>
      </c>
      <c r="G353" s="51"/>
      <c r="H353" s="50"/>
    </row>
    <row r="354" spans="1:8" x14ac:dyDescent="0.4">
      <c r="A354" s="61"/>
      <c r="B354" s="16" t="str">
        <f t="array" ref="B354">IFERROR(MIN(IF(Raw!$A$2:$A$26=MHT!A354,Raw!$B$2:$B$20)),"")</f>
        <v/>
      </c>
      <c r="C354" s="13" t="str">
        <f t="array" ref="C354">IFERROR(MIN(IF(Raw!$A$2:$A$26=MHT!A354,Raw!$C$2:$C$20)),"")</f>
        <v/>
      </c>
      <c r="D354" s="14" t="str">
        <f t="array" ref="D354">IF(Raw!D347="","",IFERROR(MAX(IF(Raw!$A$2:$A$26=MHT!A354,Raw!$D$2:$D$20)),""))</f>
        <v/>
      </c>
      <c r="E354" s="6" t="str">
        <f>IF(SUMIF(Raw!$A$2:$A$500, MHT!A354, Raw!$F$2:$F$500) = TIME(0,0,0), "", SUMIF(Raw!$A$2:$A$500, MHT!A354, Raw!$F$2:$F$500))</f>
        <v/>
      </c>
      <c r="F354" s="12" t="str">
        <f t="array" ref="F354">IF(A354="", "", IF(COUNTIF(Raw!$H$1:$I$500, A354) &gt; 0, "Done", IF(COUNTIF(Raw!$J$1:$J$500, A354) &gt; 0, "Pause", IF(COUNTIF(Raw!$K$1:$K$500, A354) &gt; 0, "On-Going", "Pause"))))</f>
        <v/>
      </c>
      <c r="G354" s="51"/>
      <c r="H354" s="50"/>
    </row>
    <row r="355" spans="1:8" x14ac:dyDescent="0.4">
      <c r="A355" s="61"/>
      <c r="B355" s="16" t="str">
        <f t="array" ref="B355">IFERROR(MIN(IF(Raw!$A$2:$A$26=MHT!A355,Raw!$B$2:$B$20)),"")</f>
        <v/>
      </c>
      <c r="C355" s="13" t="str">
        <f t="array" ref="C355">IFERROR(MIN(IF(Raw!$A$2:$A$26=MHT!A355,Raw!$C$2:$C$20)),"")</f>
        <v/>
      </c>
      <c r="D355" s="14" t="str">
        <f t="array" ref="D355">IF(Raw!D348="","",IFERROR(MAX(IF(Raw!$A$2:$A$26=MHT!A355,Raw!$D$2:$D$20)),""))</f>
        <v/>
      </c>
      <c r="E355" s="6" t="str">
        <f>IF(SUMIF(Raw!$A$2:$A$500, MHT!A355, Raw!$F$2:$F$500) = TIME(0,0,0), "", SUMIF(Raw!$A$2:$A$500, MHT!A355, Raw!$F$2:$F$500))</f>
        <v/>
      </c>
      <c r="F355" s="12" t="str">
        <f t="array" ref="F355">IF(A355="", "", IF(COUNTIF(Raw!$H$1:$I$500, A355) &gt; 0, "Done", IF(COUNTIF(Raw!$J$1:$J$500, A355) &gt; 0, "Pause", IF(COUNTIF(Raw!$K$1:$K$500, A355) &gt; 0, "On-Going", "Pause"))))</f>
        <v/>
      </c>
      <c r="G355" s="51"/>
      <c r="H355" s="50"/>
    </row>
    <row r="356" spans="1:8" x14ac:dyDescent="0.4">
      <c r="A356" s="61"/>
      <c r="B356" s="16" t="str">
        <f t="array" ref="B356">IFERROR(MIN(IF(Raw!$A$2:$A$26=MHT!A356,Raw!$B$2:$B$20)),"")</f>
        <v/>
      </c>
      <c r="C356" s="13" t="str">
        <f t="array" ref="C356">IFERROR(MIN(IF(Raw!$A$2:$A$26=MHT!A356,Raw!$C$2:$C$20)),"")</f>
        <v/>
      </c>
      <c r="D356" s="14" t="str">
        <f t="array" ref="D356">IF(Raw!D349="","",IFERROR(MAX(IF(Raw!$A$2:$A$26=MHT!A356,Raw!$D$2:$D$20)),""))</f>
        <v/>
      </c>
      <c r="E356" s="6" t="str">
        <f>IF(SUMIF(Raw!$A$2:$A$500, MHT!A356, Raw!$F$2:$F$500) = TIME(0,0,0), "", SUMIF(Raw!$A$2:$A$500, MHT!A356, Raw!$F$2:$F$500))</f>
        <v/>
      </c>
      <c r="F356" s="12" t="str">
        <f t="array" ref="F356">IF(A356="", "", IF(COUNTIF(Raw!$H$1:$I$500, A356) &gt; 0, "Done", IF(COUNTIF(Raw!$J$1:$J$500, A356) &gt; 0, "Pause", IF(COUNTIF(Raw!$K$1:$K$500, A356) &gt; 0, "On-Going", "Pause"))))</f>
        <v/>
      </c>
      <c r="G356" s="51"/>
      <c r="H356" s="50"/>
    </row>
    <row r="357" spans="1:8" x14ac:dyDescent="0.4">
      <c r="A357" s="61"/>
      <c r="B357" s="16" t="str">
        <f t="array" ref="B357">IFERROR(MIN(IF(Raw!$A$2:$A$26=MHT!A357,Raw!$B$2:$B$20)),"")</f>
        <v/>
      </c>
      <c r="C357" s="13" t="str">
        <f t="array" ref="C357">IFERROR(MIN(IF(Raw!$A$2:$A$26=MHT!A357,Raw!$C$2:$C$20)),"")</f>
        <v/>
      </c>
      <c r="D357" s="14" t="str">
        <f t="array" ref="D357">IF(Raw!D350="","",IFERROR(MAX(IF(Raw!$A$2:$A$26=MHT!A357,Raw!$D$2:$D$20)),""))</f>
        <v/>
      </c>
      <c r="E357" s="6" t="str">
        <f>IF(SUMIF(Raw!$A$2:$A$500, MHT!A357, Raw!$F$2:$F$500) = TIME(0,0,0), "", SUMIF(Raw!$A$2:$A$500, MHT!A357, Raw!$F$2:$F$500))</f>
        <v/>
      </c>
      <c r="F357" s="12" t="str">
        <f t="array" ref="F357">IF(A357="", "", IF(COUNTIF(Raw!$H$1:$I$500, A357) &gt; 0, "Done", IF(COUNTIF(Raw!$J$1:$J$500, A357) &gt; 0, "Pause", IF(COUNTIF(Raw!$K$1:$K$500, A357) &gt; 0, "On-Going", "Pause"))))</f>
        <v/>
      </c>
      <c r="G357" s="51"/>
      <c r="H357" s="50"/>
    </row>
    <row r="358" spans="1:8" x14ac:dyDescent="0.4">
      <c r="A358" s="61"/>
      <c r="B358" s="16" t="str">
        <f t="array" ref="B358">IFERROR(MIN(IF(Raw!$A$2:$A$26=MHT!A358,Raw!$B$2:$B$20)),"")</f>
        <v/>
      </c>
      <c r="C358" s="13" t="str">
        <f t="array" ref="C358">IFERROR(MIN(IF(Raw!$A$2:$A$26=MHT!A358,Raw!$C$2:$C$20)),"")</f>
        <v/>
      </c>
      <c r="D358" s="14" t="str">
        <f t="array" ref="D358">IF(Raw!D351="","",IFERROR(MAX(IF(Raw!$A$2:$A$26=MHT!A358,Raw!$D$2:$D$20)),""))</f>
        <v/>
      </c>
      <c r="E358" s="6" t="str">
        <f>IF(SUMIF(Raw!$A$2:$A$500, MHT!A358, Raw!$F$2:$F$500) = TIME(0,0,0), "", SUMIF(Raw!$A$2:$A$500, MHT!A358, Raw!$F$2:$F$500))</f>
        <v/>
      </c>
      <c r="F358" s="12" t="str">
        <f t="array" ref="F358">IF(A358="", "", IF(COUNTIF(Raw!$H$1:$I$500, A358) &gt; 0, "Done", IF(COUNTIF(Raw!$J$1:$J$500, A358) &gt; 0, "Pause", IF(COUNTIF(Raw!$K$1:$K$500, A358) &gt; 0, "On-Going", "Pause"))))</f>
        <v/>
      </c>
      <c r="G358" s="51"/>
      <c r="H358" s="50"/>
    </row>
    <row r="359" spans="1:8" x14ac:dyDescent="0.4">
      <c r="A359" s="61"/>
      <c r="B359" s="16" t="str">
        <f t="array" ref="B359">IFERROR(MIN(IF(Raw!$A$2:$A$26=MHT!A359,Raw!$B$2:$B$20)),"")</f>
        <v/>
      </c>
      <c r="C359" s="13" t="str">
        <f t="array" ref="C359">IFERROR(MIN(IF(Raw!$A$2:$A$26=MHT!A359,Raw!$C$2:$C$20)),"")</f>
        <v/>
      </c>
      <c r="D359" s="14" t="str">
        <f t="array" ref="D359">IF(Raw!D352="","",IFERROR(MAX(IF(Raw!$A$2:$A$26=MHT!A359,Raw!$D$2:$D$20)),""))</f>
        <v/>
      </c>
      <c r="E359" s="6" t="str">
        <f>IF(SUMIF(Raw!$A$2:$A$500, MHT!A359, Raw!$F$2:$F$500) = TIME(0,0,0), "", SUMIF(Raw!$A$2:$A$500, MHT!A359, Raw!$F$2:$F$500))</f>
        <v/>
      </c>
      <c r="F359" s="12" t="str">
        <f t="array" ref="F359">IF(A359="", "", IF(COUNTIF(Raw!$H$1:$I$500, A359) &gt; 0, "Done", IF(COUNTIF(Raw!$J$1:$J$500, A359) &gt; 0, "Pause", IF(COUNTIF(Raw!$K$1:$K$500, A359) &gt; 0, "On-Going", "Pause"))))</f>
        <v/>
      </c>
      <c r="G359" s="51"/>
      <c r="H359" s="50"/>
    </row>
    <row r="360" spans="1:8" x14ac:dyDescent="0.4">
      <c r="A360" s="61"/>
      <c r="B360" s="16" t="str">
        <f t="array" ref="B360">IFERROR(MIN(IF(Raw!$A$2:$A$26=MHT!A360,Raw!$B$2:$B$20)),"")</f>
        <v/>
      </c>
      <c r="C360" s="13" t="str">
        <f t="array" ref="C360">IFERROR(MIN(IF(Raw!$A$2:$A$26=MHT!A360,Raw!$C$2:$C$20)),"")</f>
        <v/>
      </c>
      <c r="D360" s="14" t="str">
        <f t="array" ref="D360">IF(Raw!D353="","",IFERROR(MAX(IF(Raw!$A$2:$A$26=MHT!A360,Raw!$D$2:$D$20)),""))</f>
        <v/>
      </c>
      <c r="E360" s="6" t="str">
        <f>IF(SUMIF(Raw!$A$2:$A$500, MHT!A360, Raw!$F$2:$F$500) = TIME(0,0,0), "", SUMIF(Raw!$A$2:$A$500, MHT!A360, Raw!$F$2:$F$500))</f>
        <v/>
      </c>
      <c r="F360" s="12" t="str">
        <f t="array" ref="F360">IF(A360="", "", IF(COUNTIF(Raw!$H$1:$I$500, A360) &gt; 0, "Done", IF(COUNTIF(Raw!$J$1:$J$500, A360) &gt; 0, "Pause", IF(COUNTIF(Raw!$K$1:$K$500, A360) &gt; 0, "On-Going", "Pause"))))</f>
        <v/>
      </c>
      <c r="G360" s="51"/>
      <c r="H360" s="50"/>
    </row>
    <row r="361" spans="1:8" x14ac:dyDescent="0.4">
      <c r="A361" s="61"/>
      <c r="B361" s="16" t="str">
        <f t="array" ref="B361">IFERROR(MIN(IF(Raw!$A$2:$A$26=MHT!A361,Raw!$B$2:$B$20)),"")</f>
        <v/>
      </c>
      <c r="C361" s="13" t="str">
        <f t="array" ref="C361">IFERROR(MIN(IF(Raw!$A$2:$A$26=MHT!A361,Raw!$C$2:$C$20)),"")</f>
        <v/>
      </c>
      <c r="D361" s="14" t="str">
        <f t="array" ref="D361">IF(Raw!D354="","",IFERROR(MAX(IF(Raw!$A$2:$A$26=MHT!A361,Raw!$D$2:$D$20)),""))</f>
        <v/>
      </c>
      <c r="E361" s="6" t="str">
        <f>IF(SUMIF(Raw!$A$2:$A$500, MHT!A361, Raw!$F$2:$F$500) = TIME(0,0,0), "", SUMIF(Raw!$A$2:$A$500, MHT!A361, Raw!$F$2:$F$500))</f>
        <v/>
      </c>
      <c r="F361" s="12" t="str">
        <f t="array" ref="F361">IF(A361="", "", IF(COUNTIF(Raw!$H$1:$I$500, A361) &gt; 0, "Done", IF(COUNTIF(Raw!$J$1:$J$500, A361) &gt; 0, "Pause", IF(COUNTIF(Raw!$K$1:$K$500, A361) &gt; 0, "On-Going", "Pause"))))</f>
        <v/>
      </c>
      <c r="G361" s="51"/>
      <c r="H361" s="50"/>
    </row>
    <row r="362" spans="1:8" x14ac:dyDescent="0.4">
      <c r="A362" s="61"/>
      <c r="B362" s="16" t="str">
        <f t="array" ref="B362">IFERROR(MIN(IF(Raw!$A$2:$A$26=MHT!A362,Raw!$B$2:$B$20)),"")</f>
        <v/>
      </c>
      <c r="C362" s="13" t="str">
        <f t="array" ref="C362">IFERROR(MIN(IF(Raw!$A$2:$A$26=MHT!A362,Raw!$C$2:$C$20)),"")</f>
        <v/>
      </c>
      <c r="D362" s="14" t="str">
        <f t="array" ref="D362">IF(Raw!D355="","",IFERROR(MAX(IF(Raw!$A$2:$A$26=MHT!A362,Raw!$D$2:$D$20)),""))</f>
        <v/>
      </c>
      <c r="E362" s="6" t="str">
        <f>IF(SUMIF(Raw!$A$2:$A$500, MHT!A362, Raw!$F$2:$F$500) = TIME(0,0,0), "", SUMIF(Raw!$A$2:$A$500, MHT!A362, Raw!$F$2:$F$500))</f>
        <v/>
      </c>
      <c r="F362" s="12" t="str">
        <f t="array" ref="F362">IF(A362="", "", IF(COUNTIF(Raw!$H$1:$I$500, A362) &gt; 0, "Done", IF(COUNTIF(Raw!$J$1:$J$500, A362) &gt; 0, "Pause", IF(COUNTIF(Raw!$K$1:$K$500, A362) &gt; 0, "On-Going", "Pause"))))</f>
        <v/>
      </c>
      <c r="G362" s="51"/>
      <c r="H362" s="50"/>
    </row>
    <row r="363" spans="1:8" x14ac:dyDescent="0.4">
      <c r="A363" s="61"/>
      <c r="B363" s="16" t="str">
        <f t="array" ref="B363">IFERROR(MIN(IF(Raw!$A$2:$A$26=MHT!A363,Raw!$B$2:$B$20)),"")</f>
        <v/>
      </c>
      <c r="C363" s="13" t="str">
        <f t="array" ref="C363">IFERROR(MIN(IF(Raw!$A$2:$A$26=MHT!A363,Raw!$C$2:$C$20)),"")</f>
        <v/>
      </c>
      <c r="D363" s="14" t="str">
        <f t="array" ref="D363">IF(Raw!D356="","",IFERROR(MAX(IF(Raw!$A$2:$A$26=MHT!A363,Raw!$D$2:$D$20)),""))</f>
        <v/>
      </c>
      <c r="E363" s="6" t="str">
        <f>IF(SUMIF(Raw!$A$2:$A$500, MHT!A363, Raw!$F$2:$F$500) = TIME(0,0,0), "", SUMIF(Raw!$A$2:$A$500, MHT!A363, Raw!$F$2:$F$500))</f>
        <v/>
      </c>
      <c r="F363" s="12" t="str">
        <f t="array" ref="F363">IF(A363="", "", IF(COUNTIF(Raw!$H$1:$I$500, A363) &gt; 0, "Done", IF(COUNTIF(Raw!$J$1:$J$500, A363) &gt; 0, "Pause", IF(COUNTIF(Raw!$K$1:$K$500, A363) &gt; 0, "On-Going", "Pause"))))</f>
        <v/>
      </c>
      <c r="G363" s="51"/>
      <c r="H363" s="50"/>
    </row>
    <row r="364" spans="1:8" x14ac:dyDescent="0.4">
      <c r="A364" s="61"/>
      <c r="B364" s="16" t="str">
        <f t="array" ref="B364">IFERROR(MIN(IF(Raw!$A$2:$A$26=MHT!A364,Raw!$B$2:$B$20)),"")</f>
        <v/>
      </c>
      <c r="C364" s="13" t="str">
        <f t="array" ref="C364">IFERROR(MIN(IF(Raw!$A$2:$A$26=MHT!A364,Raw!$C$2:$C$20)),"")</f>
        <v/>
      </c>
      <c r="D364" s="14" t="str">
        <f t="array" ref="D364">IF(Raw!D357="","",IFERROR(MAX(IF(Raw!$A$2:$A$26=MHT!A364,Raw!$D$2:$D$20)),""))</f>
        <v/>
      </c>
      <c r="E364" s="6" t="str">
        <f>IF(SUMIF(Raw!$A$2:$A$500, MHT!A364, Raw!$F$2:$F$500) = TIME(0,0,0), "", SUMIF(Raw!$A$2:$A$500, MHT!A364, Raw!$F$2:$F$500))</f>
        <v/>
      </c>
      <c r="F364" s="12" t="str">
        <f t="array" ref="F364">IF(A364="", "", IF(COUNTIF(Raw!$H$1:$I$500, A364) &gt; 0, "Done", IF(COUNTIF(Raw!$J$1:$J$500, A364) &gt; 0, "Pause", IF(COUNTIF(Raw!$K$1:$K$500, A364) &gt; 0, "On-Going", "Pause"))))</f>
        <v/>
      </c>
      <c r="G364" s="51"/>
      <c r="H364" s="50"/>
    </row>
    <row r="365" spans="1:8" x14ac:dyDescent="0.4">
      <c r="A365" s="61"/>
      <c r="B365" s="16" t="str">
        <f t="array" ref="B365">IFERROR(MIN(IF(Raw!$A$2:$A$26=MHT!A365,Raw!$B$2:$B$20)),"")</f>
        <v/>
      </c>
      <c r="C365" s="13" t="str">
        <f t="array" ref="C365">IFERROR(MIN(IF(Raw!$A$2:$A$26=MHT!A365,Raw!$C$2:$C$20)),"")</f>
        <v/>
      </c>
      <c r="D365" s="14" t="str">
        <f t="array" ref="D365">IF(Raw!D358="","",IFERROR(MAX(IF(Raw!$A$2:$A$26=MHT!A365,Raw!$D$2:$D$20)),""))</f>
        <v/>
      </c>
      <c r="E365" s="6" t="str">
        <f>IF(SUMIF(Raw!$A$2:$A$500, MHT!A365, Raw!$F$2:$F$500) = TIME(0,0,0), "", SUMIF(Raw!$A$2:$A$500, MHT!A365, Raw!$F$2:$F$500))</f>
        <v/>
      </c>
      <c r="F365" s="12" t="str">
        <f t="array" ref="F365">IF(A365="", "", IF(COUNTIF(Raw!$H$1:$I$500, A365) &gt; 0, "Done", IF(COUNTIF(Raw!$J$1:$J$500, A365) &gt; 0, "Pause", IF(COUNTIF(Raw!$K$1:$K$500, A365) &gt; 0, "On-Going", "Pause"))))</f>
        <v/>
      </c>
      <c r="G365" s="51"/>
      <c r="H365" s="50"/>
    </row>
    <row r="366" spans="1:8" x14ac:dyDescent="0.4">
      <c r="A366" s="61"/>
      <c r="B366" s="16" t="str">
        <f t="array" ref="B366">IFERROR(MIN(IF(Raw!$A$2:$A$26=MHT!A366,Raw!$B$2:$B$20)),"")</f>
        <v/>
      </c>
      <c r="C366" s="13" t="str">
        <f t="array" ref="C366">IFERROR(MIN(IF(Raw!$A$2:$A$26=MHT!A366,Raw!$C$2:$C$20)),"")</f>
        <v/>
      </c>
      <c r="D366" s="14" t="str">
        <f t="array" ref="D366">IF(Raw!D359="","",IFERROR(MAX(IF(Raw!$A$2:$A$26=MHT!A366,Raw!$D$2:$D$20)),""))</f>
        <v/>
      </c>
      <c r="E366" s="6" t="str">
        <f>IF(SUMIF(Raw!$A$2:$A$500, MHT!A366, Raw!$F$2:$F$500) = TIME(0,0,0), "", SUMIF(Raw!$A$2:$A$500, MHT!A366, Raw!$F$2:$F$500))</f>
        <v/>
      </c>
      <c r="F366" s="12" t="str">
        <f t="array" ref="F366">IF(A366="", "", IF(COUNTIF(Raw!$H$1:$I$500, A366) &gt; 0, "Done", IF(COUNTIF(Raw!$J$1:$J$500, A366) &gt; 0, "Pause", IF(COUNTIF(Raw!$K$1:$K$500, A366) &gt; 0, "On-Going", "Pause"))))</f>
        <v/>
      </c>
      <c r="G366" s="51"/>
      <c r="H366" s="50"/>
    </row>
    <row r="367" spans="1:8" x14ac:dyDescent="0.4">
      <c r="A367" s="61"/>
      <c r="B367" s="16" t="str">
        <f t="array" ref="B367">IFERROR(MIN(IF(Raw!$A$2:$A$26=MHT!A367,Raw!$B$2:$B$20)),"")</f>
        <v/>
      </c>
      <c r="C367" s="13" t="str">
        <f t="array" ref="C367">IFERROR(MIN(IF(Raw!$A$2:$A$26=MHT!A367,Raw!$C$2:$C$20)),"")</f>
        <v/>
      </c>
      <c r="D367" s="14" t="str">
        <f t="array" ref="D367">IF(Raw!D360="","",IFERROR(MAX(IF(Raw!$A$2:$A$26=MHT!A367,Raw!$D$2:$D$20)),""))</f>
        <v/>
      </c>
      <c r="E367" s="6" t="str">
        <f>IF(SUMIF(Raw!$A$2:$A$500, MHT!A367, Raw!$F$2:$F$500) = TIME(0,0,0), "", SUMIF(Raw!$A$2:$A$500, MHT!A367, Raw!$F$2:$F$500))</f>
        <v/>
      </c>
      <c r="F367" s="12" t="str">
        <f t="array" ref="F367">IF(A367="", "", IF(COUNTIF(Raw!$H$1:$I$500, A367) &gt; 0, "Done", IF(COUNTIF(Raw!$J$1:$J$500, A367) &gt; 0, "Pause", IF(COUNTIF(Raw!$K$1:$K$500, A367) &gt; 0, "On-Going", "Pause"))))</f>
        <v/>
      </c>
      <c r="G367" s="51"/>
      <c r="H367" s="50"/>
    </row>
    <row r="368" spans="1:8" x14ac:dyDescent="0.4">
      <c r="A368" s="61"/>
      <c r="B368" s="16" t="str">
        <f t="array" ref="B368">IFERROR(MIN(IF(Raw!$A$2:$A$26=MHT!A368,Raw!$B$2:$B$20)),"")</f>
        <v/>
      </c>
      <c r="C368" s="13" t="str">
        <f t="array" ref="C368">IFERROR(MIN(IF(Raw!$A$2:$A$26=MHT!A368,Raw!$C$2:$C$20)),"")</f>
        <v/>
      </c>
      <c r="D368" s="14" t="str">
        <f t="array" ref="D368">IF(Raw!D361="","",IFERROR(MAX(IF(Raw!$A$2:$A$26=MHT!A368,Raw!$D$2:$D$20)),""))</f>
        <v/>
      </c>
      <c r="E368" s="6" t="str">
        <f>IF(SUMIF(Raw!$A$2:$A$500, MHT!A368, Raw!$F$2:$F$500) = TIME(0,0,0), "", SUMIF(Raw!$A$2:$A$500, MHT!A368, Raw!$F$2:$F$500))</f>
        <v/>
      </c>
      <c r="F368" s="12" t="str">
        <f t="array" ref="F368">IF(A368="", "", IF(COUNTIF(Raw!$H$1:$I$500, A368) &gt; 0, "Done", IF(COUNTIF(Raw!$J$1:$J$500, A368) &gt; 0, "Pause", IF(COUNTIF(Raw!$K$1:$K$500, A368) &gt; 0, "On-Going", "Pause"))))</f>
        <v/>
      </c>
      <c r="G368" s="51"/>
      <c r="H368" s="50"/>
    </row>
    <row r="369" spans="1:8" x14ac:dyDescent="0.4">
      <c r="A369" s="61"/>
      <c r="B369" s="16" t="str">
        <f t="array" ref="B369">IFERROR(MIN(IF(Raw!$A$2:$A$26=MHT!A369,Raw!$B$2:$B$20)),"")</f>
        <v/>
      </c>
      <c r="C369" s="13" t="str">
        <f t="array" ref="C369">IFERROR(MIN(IF(Raw!$A$2:$A$26=MHT!A369,Raw!$C$2:$C$20)),"")</f>
        <v/>
      </c>
      <c r="D369" s="14" t="str">
        <f t="array" ref="D369">IF(Raw!D362="","",IFERROR(MAX(IF(Raw!$A$2:$A$26=MHT!A369,Raw!$D$2:$D$20)),""))</f>
        <v/>
      </c>
      <c r="E369" s="6" t="str">
        <f>IF(SUMIF(Raw!$A$2:$A$500, MHT!A369, Raw!$F$2:$F$500) = TIME(0,0,0), "", SUMIF(Raw!$A$2:$A$500, MHT!A369, Raw!$F$2:$F$500))</f>
        <v/>
      </c>
      <c r="F369" s="12" t="str">
        <f t="array" ref="F369">IF(A369="", "", IF(COUNTIF(Raw!$H$1:$I$500, A369) &gt; 0, "Done", IF(COUNTIF(Raw!$J$1:$J$500, A369) &gt; 0, "Pause", IF(COUNTIF(Raw!$K$1:$K$500, A369) &gt; 0, "On-Going", "Pause"))))</f>
        <v/>
      </c>
      <c r="G369" s="51"/>
      <c r="H369" s="50"/>
    </row>
    <row r="370" spans="1:8" x14ac:dyDescent="0.4">
      <c r="A370" s="61"/>
      <c r="B370" s="16" t="str">
        <f t="array" ref="B370">IFERROR(MIN(IF(Raw!$A$2:$A$26=MHT!A370,Raw!$B$2:$B$20)),"")</f>
        <v/>
      </c>
      <c r="C370" s="13" t="str">
        <f t="array" ref="C370">IFERROR(MIN(IF(Raw!$A$2:$A$26=MHT!A370,Raw!$C$2:$C$20)),"")</f>
        <v/>
      </c>
      <c r="D370" s="14" t="str">
        <f t="array" ref="D370">IF(Raw!D363="","",IFERROR(MAX(IF(Raw!$A$2:$A$26=MHT!A370,Raw!$D$2:$D$20)),""))</f>
        <v/>
      </c>
      <c r="E370" s="6" t="str">
        <f>IF(SUMIF(Raw!$A$2:$A$500, MHT!A370, Raw!$F$2:$F$500) = TIME(0,0,0), "", SUMIF(Raw!$A$2:$A$500, MHT!A370, Raw!$F$2:$F$500))</f>
        <v/>
      </c>
      <c r="F370" s="12" t="str">
        <f t="array" ref="F370">IF(A370="", "", IF(COUNTIF(Raw!$H$1:$I$500, A370) &gt; 0, "Done", IF(COUNTIF(Raw!$J$1:$J$500, A370) &gt; 0, "Pause", IF(COUNTIF(Raw!$K$1:$K$500, A370) &gt; 0, "On-Going", "Pause"))))</f>
        <v/>
      </c>
      <c r="G370" s="51"/>
      <c r="H370" s="50"/>
    </row>
    <row r="371" spans="1:8" x14ac:dyDescent="0.4">
      <c r="A371" s="61"/>
      <c r="B371" s="16" t="str">
        <f t="array" ref="B371">IFERROR(MIN(IF(Raw!$A$2:$A$26=MHT!A371,Raw!$B$2:$B$20)),"")</f>
        <v/>
      </c>
      <c r="C371" s="13" t="str">
        <f t="array" ref="C371">IFERROR(MIN(IF(Raw!$A$2:$A$26=MHT!A371,Raw!$C$2:$C$20)),"")</f>
        <v/>
      </c>
      <c r="D371" s="14" t="str">
        <f t="array" ref="D371">IF(Raw!D364="","",IFERROR(MAX(IF(Raw!$A$2:$A$26=MHT!A371,Raw!$D$2:$D$20)),""))</f>
        <v/>
      </c>
      <c r="E371" s="6" t="str">
        <f>IF(SUMIF(Raw!$A$2:$A$500, MHT!A371, Raw!$F$2:$F$500) = TIME(0,0,0), "", SUMIF(Raw!$A$2:$A$500, MHT!A371, Raw!$F$2:$F$500))</f>
        <v/>
      </c>
      <c r="F371" s="12" t="str">
        <f t="array" ref="F371">IF(A371="", "", IF(COUNTIF(Raw!$H$1:$I$500, A371) &gt; 0, "Done", IF(COUNTIF(Raw!$J$1:$J$500, A371) &gt; 0, "Pause", IF(COUNTIF(Raw!$K$1:$K$500, A371) &gt; 0, "On-Going", "Pause"))))</f>
        <v/>
      </c>
      <c r="G371" s="51"/>
      <c r="H371" s="50"/>
    </row>
    <row r="372" spans="1:8" x14ac:dyDescent="0.4">
      <c r="A372" s="61"/>
      <c r="B372" s="16" t="str">
        <f t="array" ref="B372">IFERROR(MIN(IF(Raw!$A$2:$A$26=MHT!A372,Raw!$B$2:$B$20)),"")</f>
        <v/>
      </c>
      <c r="C372" s="13" t="str">
        <f t="array" ref="C372">IFERROR(MIN(IF(Raw!$A$2:$A$26=MHT!A372,Raw!$C$2:$C$20)),"")</f>
        <v/>
      </c>
      <c r="D372" s="14" t="str">
        <f t="array" ref="D372">IF(Raw!D365="","",IFERROR(MAX(IF(Raw!$A$2:$A$26=MHT!A372,Raw!$D$2:$D$20)),""))</f>
        <v/>
      </c>
      <c r="E372" s="6" t="str">
        <f>IF(SUMIF(Raw!$A$2:$A$500, MHT!A372, Raw!$F$2:$F$500) = TIME(0,0,0), "", SUMIF(Raw!$A$2:$A$500, MHT!A372, Raw!$F$2:$F$500))</f>
        <v/>
      </c>
      <c r="F372" s="12" t="str">
        <f t="array" ref="F372">IF(A372="", "", IF(COUNTIF(Raw!$H$1:$I$500, A372) &gt; 0, "Done", IF(COUNTIF(Raw!$J$1:$J$500, A372) &gt; 0, "Pause", IF(COUNTIF(Raw!$K$1:$K$500, A372) &gt; 0, "On-Going", "Pause"))))</f>
        <v/>
      </c>
      <c r="G372" s="51"/>
      <c r="H372" s="50"/>
    </row>
    <row r="373" spans="1:8" x14ac:dyDescent="0.4">
      <c r="A373" s="61"/>
      <c r="B373" s="16" t="str">
        <f t="array" ref="B373">IFERROR(MIN(IF(Raw!$A$2:$A$26=MHT!A373,Raw!$B$2:$B$20)),"")</f>
        <v/>
      </c>
      <c r="C373" s="13" t="str">
        <f t="array" ref="C373">IFERROR(MIN(IF(Raw!$A$2:$A$26=MHT!A373,Raw!$C$2:$C$20)),"")</f>
        <v/>
      </c>
      <c r="D373" s="14" t="str">
        <f t="array" ref="D373">IF(Raw!D366="","",IFERROR(MAX(IF(Raw!$A$2:$A$26=MHT!A373,Raw!$D$2:$D$20)),""))</f>
        <v/>
      </c>
      <c r="E373" s="6" t="str">
        <f>IF(SUMIF(Raw!$A$2:$A$500, MHT!A373, Raw!$F$2:$F$500) = TIME(0,0,0), "", SUMIF(Raw!$A$2:$A$500, MHT!A373, Raw!$F$2:$F$500))</f>
        <v/>
      </c>
      <c r="F373" s="12" t="str">
        <f t="array" ref="F373">IF(A373="", "", IF(COUNTIF(Raw!$H$1:$I$500, A373) &gt; 0, "Done", IF(COUNTIF(Raw!$J$1:$J$500, A373) &gt; 0, "Pause", IF(COUNTIF(Raw!$K$1:$K$500, A373) &gt; 0, "On-Going", "Pause"))))</f>
        <v/>
      </c>
      <c r="G373" s="51"/>
      <c r="H373" s="50"/>
    </row>
    <row r="374" spans="1:8" x14ac:dyDescent="0.4">
      <c r="A374" s="61"/>
      <c r="B374" s="16" t="str">
        <f t="array" ref="B374">IFERROR(MIN(IF(Raw!$A$2:$A$26=MHT!A374,Raw!$B$2:$B$20)),"")</f>
        <v/>
      </c>
      <c r="C374" s="13" t="str">
        <f t="array" ref="C374">IFERROR(MIN(IF(Raw!$A$2:$A$26=MHT!A374,Raw!$C$2:$C$20)),"")</f>
        <v/>
      </c>
      <c r="D374" s="14" t="str">
        <f t="array" ref="D374">IF(Raw!D367="","",IFERROR(MAX(IF(Raw!$A$2:$A$26=MHT!A374,Raw!$D$2:$D$20)),""))</f>
        <v/>
      </c>
      <c r="E374" s="6" t="str">
        <f>IF(SUMIF(Raw!$A$2:$A$500, MHT!A374, Raw!$F$2:$F$500) = TIME(0,0,0), "", SUMIF(Raw!$A$2:$A$500, MHT!A374, Raw!$F$2:$F$500))</f>
        <v/>
      </c>
      <c r="F374" s="12" t="str">
        <f t="array" ref="F374">IF(A374="", "", IF(COUNTIF(Raw!$H$1:$I$500, A374) &gt; 0, "Done", IF(COUNTIF(Raw!$J$1:$J$500, A374) &gt; 0, "Pause", IF(COUNTIF(Raw!$K$1:$K$500, A374) &gt; 0, "On-Going", "Pause"))))</f>
        <v/>
      </c>
      <c r="G374" s="51"/>
      <c r="H374" s="50"/>
    </row>
    <row r="375" spans="1:8" x14ac:dyDescent="0.4">
      <c r="A375" s="61"/>
      <c r="B375" s="16" t="str">
        <f t="array" ref="B375">IFERROR(MIN(IF(Raw!$A$2:$A$26=MHT!A375,Raw!$B$2:$B$20)),"")</f>
        <v/>
      </c>
      <c r="C375" s="13" t="str">
        <f t="array" ref="C375">IFERROR(MIN(IF(Raw!$A$2:$A$26=MHT!A375,Raw!$C$2:$C$20)),"")</f>
        <v/>
      </c>
      <c r="D375" s="14" t="str">
        <f t="array" ref="D375">IF(Raw!D368="","",IFERROR(MAX(IF(Raw!$A$2:$A$26=MHT!A375,Raw!$D$2:$D$20)),""))</f>
        <v/>
      </c>
      <c r="E375" s="6" t="str">
        <f>IF(SUMIF(Raw!$A$2:$A$500, MHT!A375, Raw!$F$2:$F$500) = TIME(0,0,0), "", SUMIF(Raw!$A$2:$A$500, MHT!A375, Raw!$F$2:$F$500))</f>
        <v/>
      </c>
      <c r="F375" s="12" t="str">
        <f t="array" ref="F375">IF(A375="", "", IF(COUNTIF(Raw!$H$1:$I$500, A375) &gt; 0, "Done", IF(COUNTIF(Raw!$J$1:$J$500, A375) &gt; 0, "Pause", IF(COUNTIF(Raw!$K$1:$K$500, A375) &gt; 0, "On-Going", "Pause"))))</f>
        <v/>
      </c>
      <c r="G375" s="51"/>
      <c r="H375" s="50"/>
    </row>
    <row r="376" spans="1:8" x14ac:dyDescent="0.4">
      <c r="A376" s="61"/>
      <c r="B376" s="16" t="str">
        <f t="array" ref="B376">IFERROR(MIN(IF(Raw!$A$2:$A$26=MHT!A376,Raw!$B$2:$B$20)),"")</f>
        <v/>
      </c>
      <c r="C376" s="13" t="str">
        <f t="array" ref="C376">IFERROR(MIN(IF(Raw!$A$2:$A$26=MHT!A376,Raw!$C$2:$C$20)),"")</f>
        <v/>
      </c>
      <c r="D376" s="14" t="str">
        <f t="array" ref="D376">IF(Raw!D369="","",IFERROR(MAX(IF(Raw!$A$2:$A$26=MHT!A376,Raw!$D$2:$D$20)),""))</f>
        <v/>
      </c>
      <c r="E376" s="6" t="str">
        <f>IF(SUMIF(Raw!$A$2:$A$500, MHT!A376, Raw!$F$2:$F$500) = TIME(0,0,0), "", SUMIF(Raw!$A$2:$A$500, MHT!A376, Raw!$F$2:$F$500))</f>
        <v/>
      </c>
      <c r="F376" s="12" t="str">
        <f t="array" ref="F376">IF(A376="", "", IF(COUNTIF(Raw!$H$1:$I$500, A376) &gt; 0, "Done", IF(COUNTIF(Raw!$J$1:$J$500, A376) &gt; 0, "Pause", IF(COUNTIF(Raw!$K$1:$K$500, A376) &gt; 0, "On-Going", "Pause"))))</f>
        <v/>
      </c>
      <c r="G376" s="51"/>
      <c r="H376" s="50"/>
    </row>
    <row r="377" spans="1:8" x14ac:dyDescent="0.4">
      <c r="A377" s="61"/>
      <c r="B377" s="16" t="str">
        <f t="array" ref="B377">IFERROR(MIN(IF(Raw!$A$2:$A$26=MHT!A377,Raw!$B$2:$B$20)),"")</f>
        <v/>
      </c>
      <c r="C377" s="13" t="str">
        <f t="array" ref="C377">IFERROR(MIN(IF(Raw!$A$2:$A$26=MHT!A377,Raw!$C$2:$C$20)),"")</f>
        <v/>
      </c>
      <c r="D377" s="14" t="str">
        <f t="array" ref="D377">IF(Raw!D370="","",IFERROR(MAX(IF(Raw!$A$2:$A$26=MHT!A377,Raw!$D$2:$D$20)),""))</f>
        <v/>
      </c>
      <c r="E377" s="6" t="str">
        <f>IF(SUMIF(Raw!$A$2:$A$500, MHT!A377, Raw!$F$2:$F$500) = TIME(0,0,0), "", SUMIF(Raw!$A$2:$A$500, MHT!A377, Raw!$F$2:$F$500))</f>
        <v/>
      </c>
      <c r="F377" s="12" t="str">
        <f t="array" ref="F377">IF(A377="", "", IF(COUNTIF(Raw!$H$1:$I$500, A377) &gt; 0, "Done", IF(COUNTIF(Raw!$J$1:$J$500, A377) &gt; 0, "Pause", IF(COUNTIF(Raw!$K$1:$K$500, A377) &gt; 0, "On-Going", "Pause"))))</f>
        <v/>
      </c>
      <c r="G377" s="51"/>
      <c r="H377" s="50"/>
    </row>
    <row r="378" spans="1:8" x14ac:dyDescent="0.4">
      <c r="A378" s="61"/>
      <c r="B378" s="16" t="str">
        <f t="array" ref="B378">IFERROR(MIN(IF(Raw!$A$2:$A$26=MHT!A378,Raw!$B$2:$B$20)),"")</f>
        <v/>
      </c>
      <c r="C378" s="13" t="str">
        <f t="array" ref="C378">IFERROR(MIN(IF(Raw!$A$2:$A$26=MHT!A378,Raw!$C$2:$C$20)),"")</f>
        <v/>
      </c>
      <c r="D378" s="14" t="str">
        <f t="array" ref="D378">IF(Raw!D371="","",IFERROR(MAX(IF(Raw!$A$2:$A$26=MHT!A378,Raw!$D$2:$D$20)),""))</f>
        <v/>
      </c>
      <c r="E378" s="6" t="str">
        <f>IF(SUMIF(Raw!$A$2:$A$500, MHT!A378, Raw!$F$2:$F$500) = TIME(0,0,0), "", SUMIF(Raw!$A$2:$A$500, MHT!A378, Raw!$F$2:$F$500))</f>
        <v/>
      </c>
      <c r="F378" s="12" t="str">
        <f t="array" ref="F378">IF(A378="", "", IF(COUNTIF(Raw!$H$1:$I$500, A378) &gt; 0, "Done", IF(COUNTIF(Raw!$J$1:$J$500, A378) &gt; 0, "Pause", IF(COUNTIF(Raw!$K$1:$K$500, A378) &gt; 0, "On-Going", "Pause"))))</f>
        <v/>
      </c>
      <c r="G378" s="51"/>
      <c r="H378" s="50"/>
    </row>
    <row r="379" spans="1:8" x14ac:dyDescent="0.4">
      <c r="A379" s="61"/>
      <c r="B379" s="16" t="str">
        <f t="array" ref="B379">IFERROR(MIN(IF(Raw!$A$2:$A$26=MHT!A379,Raw!$B$2:$B$20)),"")</f>
        <v/>
      </c>
      <c r="C379" s="13" t="str">
        <f t="array" ref="C379">IFERROR(MIN(IF(Raw!$A$2:$A$26=MHT!A379,Raw!$C$2:$C$20)),"")</f>
        <v/>
      </c>
      <c r="D379" s="14" t="str">
        <f t="array" ref="D379">IF(Raw!D372="","",IFERROR(MAX(IF(Raw!$A$2:$A$26=MHT!A379,Raw!$D$2:$D$20)),""))</f>
        <v/>
      </c>
      <c r="E379" s="6" t="str">
        <f>IF(SUMIF(Raw!$A$2:$A$500, MHT!A379, Raw!$F$2:$F$500) = TIME(0,0,0), "", SUMIF(Raw!$A$2:$A$500, MHT!A379, Raw!$F$2:$F$500))</f>
        <v/>
      </c>
      <c r="F379" s="12" t="str">
        <f t="array" ref="F379">IF(A379="", "", IF(COUNTIF(Raw!$H$1:$I$500, A379) &gt; 0, "Done", IF(COUNTIF(Raw!$J$1:$J$500, A379) &gt; 0, "Pause", IF(COUNTIF(Raw!$K$1:$K$500, A379) &gt; 0, "On-Going", "Pause"))))</f>
        <v/>
      </c>
      <c r="G379" s="51"/>
      <c r="H379" s="50"/>
    </row>
    <row r="380" spans="1:8" x14ac:dyDescent="0.4">
      <c r="A380" s="61"/>
      <c r="B380" s="16" t="str">
        <f t="array" ref="B380">IFERROR(MIN(IF(Raw!$A$2:$A$26=MHT!A380,Raw!$B$2:$B$20)),"")</f>
        <v/>
      </c>
      <c r="C380" s="13" t="str">
        <f t="array" ref="C380">IFERROR(MIN(IF(Raw!$A$2:$A$26=MHT!A380,Raw!$C$2:$C$20)),"")</f>
        <v/>
      </c>
      <c r="D380" s="14" t="str">
        <f t="array" ref="D380">IF(Raw!D373="","",IFERROR(MAX(IF(Raw!$A$2:$A$26=MHT!A380,Raw!$D$2:$D$20)),""))</f>
        <v/>
      </c>
      <c r="E380" s="6" t="str">
        <f>IF(SUMIF(Raw!$A$2:$A$500, MHT!A380, Raw!$F$2:$F$500) = TIME(0,0,0), "", SUMIF(Raw!$A$2:$A$500, MHT!A380, Raw!$F$2:$F$500))</f>
        <v/>
      </c>
      <c r="F380" s="12" t="str">
        <f t="array" ref="F380">IF(A380="", "", IF(COUNTIF(Raw!$H$1:$I$500, A380) &gt; 0, "Done", IF(COUNTIF(Raw!$J$1:$J$500, A380) &gt; 0, "Pause", IF(COUNTIF(Raw!$K$1:$K$500, A380) &gt; 0, "On-Going", "Pause"))))</f>
        <v/>
      </c>
      <c r="G380" s="51"/>
      <c r="H380" s="50"/>
    </row>
    <row r="381" spans="1:8" x14ac:dyDescent="0.4">
      <c r="A381" s="61"/>
      <c r="B381" s="16" t="str">
        <f t="array" ref="B381">IFERROR(MIN(IF(Raw!$A$2:$A$26=MHT!A381,Raw!$B$2:$B$20)),"")</f>
        <v/>
      </c>
      <c r="C381" s="13" t="str">
        <f t="array" ref="C381">IFERROR(MIN(IF(Raw!$A$2:$A$26=MHT!A381,Raw!$C$2:$C$20)),"")</f>
        <v/>
      </c>
      <c r="D381" s="14" t="str">
        <f t="array" ref="D381">IF(Raw!D374="","",IFERROR(MAX(IF(Raw!$A$2:$A$26=MHT!A381,Raw!$D$2:$D$20)),""))</f>
        <v/>
      </c>
      <c r="E381" s="6" t="str">
        <f>IF(SUMIF(Raw!$A$2:$A$500, MHT!A381, Raw!$F$2:$F$500) = TIME(0,0,0), "", SUMIF(Raw!$A$2:$A$500, MHT!A381, Raw!$F$2:$F$500))</f>
        <v/>
      </c>
      <c r="F381" s="12" t="str">
        <f t="array" ref="F381">IF(A381="", "", IF(COUNTIF(Raw!$H$1:$I$500, A381) &gt; 0, "Done", IF(COUNTIF(Raw!$J$1:$J$500, A381) &gt; 0, "Pause", IF(COUNTIF(Raw!$K$1:$K$500, A381) &gt; 0, "On-Going", "Pause"))))</f>
        <v/>
      </c>
      <c r="G381" s="51"/>
      <c r="H381" s="50"/>
    </row>
    <row r="382" spans="1:8" x14ac:dyDescent="0.4">
      <c r="A382" s="61"/>
      <c r="B382" s="16" t="str">
        <f t="array" ref="B382">IFERROR(MIN(IF(Raw!$A$2:$A$26=MHT!A382,Raw!$B$2:$B$20)),"")</f>
        <v/>
      </c>
      <c r="C382" s="13" t="str">
        <f t="array" ref="C382">IFERROR(MIN(IF(Raw!$A$2:$A$26=MHT!A382,Raw!$C$2:$C$20)),"")</f>
        <v/>
      </c>
      <c r="D382" s="14" t="str">
        <f t="array" ref="D382">IF(Raw!D375="","",IFERROR(MAX(IF(Raw!$A$2:$A$26=MHT!A382,Raw!$D$2:$D$20)),""))</f>
        <v/>
      </c>
      <c r="E382" s="6" t="str">
        <f>IF(SUMIF(Raw!$A$2:$A$500, MHT!A382, Raw!$F$2:$F$500) = TIME(0,0,0), "", SUMIF(Raw!$A$2:$A$500, MHT!A382, Raw!$F$2:$F$500))</f>
        <v/>
      </c>
      <c r="F382" s="12" t="str">
        <f t="array" ref="F382">IF(A382="", "", IF(COUNTIF(Raw!$H$1:$I$500, A382) &gt; 0, "Done", IF(COUNTIF(Raw!$J$1:$J$500, A382) &gt; 0, "Pause", IF(COUNTIF(Raw!$K$1:$K$500, A382) &gt; 0, "On-Going", "Pause"))))</f>
        <v/>
      </c>
      <c r="G382" s="51"/>
      <c r="H382" s="50"/>
    </row>
    <row r="383" spans="1:8" x14ac:dyDescent="0.4">
      <c r="A383" s="61"/>
      <c r="B383" s="16" t="str">
        <f t="array" ref="B383">IFERROR(MIN(IF(Raw!$A$2:$A$26=MHT!A383,Raw!$B$2:$B$20)),"")</f>
        <v/>
      </c>
      <c r="C383" s="13" t="str">
        <f t="array" ref="C383">IFERROR(MIN(IF(Raw!$A$2:$A$26=MHT!A383,Raw!$C$2:$C$20)),"")</f>
        <v/>
      </c>
      <c r="D383" s="14" t="str">
        <f t="array" ref="D383">IF(Raw!D376="","",IFERROR(MAX(IF(Raw!$A$2:$A$26=MHT!A383,Raw!$D$2:$D$20)),""))</f>
        <v/>
      </c>
      <c r="E383" s="6" t="str">
        <f>IF(SUMIF(Raw!$A$2:$A$500, MHT!A383, Raw!$F$2:$F$500) = TIME(0,0,0), "", SUMIF(Raw!$A$2:$A$500, MHT!A383, Raw!$F$2:$F$500))</f>
        <v/>
      </c>
      <c r="F383" s="12" t="str">
        <f t="array" ref="F383">IF(A383="", "", IF(COUNTIF(Raw!$H$1:$I$500, A383) &gt; 0, "Done", IF(COUNTIF(Raw!$J$1:$J$500, A383) &gt; 0, "Pause", IF(COUNTIF(Raw!$K$1:$K$500, A383) &gt; 0, "On-Going", "Pause"))))</f>
        <v/>
      </c>
      <c r="G383" s="51"/>
      <c r="H383" s="50"/>
    </row>
    <row r="384" spans="1:8" x14ac:dyDescent="0.4">
      <c r="A384" s="61"/>
      <c r="B384" s="16" t="str">
        <f t="array" ref="B384">IFERROR(MIN(IF(Raw!$A$2:$A$26=MHT!A384,Raw!$B$2:$B$20)),"")</f>
        <v/>
      </c>
      <c r="C384" s="13" t="str">
        <f t="array" ref="C384">IFERROR(MIN(IF(Raw!$A$2:$A$26=MHT!A384,Raw!$C$2:$C$20)),"")</f>
        <v/>
      </c>
      <c r="D384" s="14" t="str">
        <f t="array" ref="D384">IF(Raw!D377="","",IFERROR(MAX(IF(Raw!$A$2:$A$26=MHT!A384,Raw!$D$2:$D$20)),""))</f>
        <v/>
      </c>
      <c r="E384" s="6" t="str">
        <f>IF(SUMIF(Raw!$A$2:$A$500, MHT!A384, Raw!$F$2:$F$500) = TIME(0,0,0), "", SUMIF(Raw!$A$2:$A$500, MHT!A384, Raw!$F$2:$F$500))</f>
        <v/>
      </c>
      <c r="F384" s="12" t="str">
        <f t="array" ref="F384">IF(A384="", "", IF(COUNTIF(Raw!$H$1:$I$500, A384) &gt; 0, "Done", IF(COUNTIF(Raw!$J$1:$J$500, A384) &gt; 0, "Pause", IF(COUNTIF(Raw!$K$1:$K$500, A384) &gt; 0, "On-Going", "Pause"))))</f>
        <v/>
      </c>
      <c r="G384" s="51"/>
      <c r="H384" s="50"/>
    </row>
    <row r="385" spans="1:8" x14ac:dyDescent="0.4">
      <c r="A385" s="61"/>
      <c r="B385" s="16" t="str">
        <f t="array" ref="B385">IFERROR(MIN(IF(Raw!$A$2:$A$26=MHT!A385,Raw!$B$2:$B$20)),"")</f>
        <v/>
      </c>
      <c r="C385" s="13" t="str">
        <f t="array" ref="C385">IFERROR(MIN(IF(Raw!$A$2:$A$26=MHT!A385,Raw!$C$2:$C$20)),"")</f>
        <v/>
      </c>
      <c r="D385" s="14" t="str">
        <f t="array" ref="D385">IF(Raw!D378="","",IFERROR(MAX(IF(Raw!$A$2:$A$26=MHT!A385,Raw!$D$2:$D$20)),""))</f>
        <v/>
      </c>
      <c r="E385" s="6" t="str">
        <f>IF(SUMIF(Raw!$A$2:$A$500, MHT!A385, Raw!$F$2:$F$500) = TIME(0,0,0), "", SUMIF(Raw!$A$2:$A$500, MHT!A385, Raw!$F$2:$F$500))</f>
        <v/>
      </c>
      <c r="F385" s="12" t="str">
        <f t="array" ref="F385">IF(A385="", "", IF(COUNTIF(Raw!$H$1:$I$500, A385) &gt; 0, "Done", IF(COUNTIF(Raw!$J$1:$J$500, A385) &gt; 0, "Pause", IF(COUNTIF(Raw!$K$1:$K$500, A385) &gt; 0, "On-Going", "Pause"))))</f>
        <v/>
      </c>
      <c r="G385" s="51"/>
      <c r="H385" s="50"/>
    </row>
    <row r="386" spans="1:8" x14ac:dyDescent="0.4">
      <c r="A386" s="61"/>
      <c r="B386" s="16" t="str">
        <f t="array" ref="B386">IFERROR(MIN(IF(Raw!$A$2:$A$26=MHT!A386,Raw!$B$2:$B$20)),"")</f>
        <v/>
      </c>
      <c r="C386" s="13" t="str">
        <f t="array" ref="C386">IFERROR(MIN(IF(Raw!$A$2:$A$26=MHT!A386,Raw!$C$2:$C$20)),"")</f>
        <v/>
      </c>
      <c r="D386" s="14" t="str">
        <f t="array" ref="D386">IF(Raw!D379="","",IFERROR(MAX(IF(Raw!$A$2:$A$26=MHT!A386,Raw!$D$2:$D$20)),""))</f>
        <v/>
      </c>
      <c r="E386" s="6" t="str">
        <f>IF(SUMIF(Raw!$A$2:$A$500, MHT!A386, Raw!$F$2:$F$500) = TIME(0,0,0), "", SUMIF(Raw!$A$2:$A$500, MHT!A386, Raw!$F$2:$F$500))</f>
        <v/>
      </c>
      <c r="F386" s="12" t="str">
        <f t="array" ref="F386">IF(A386="", "", IF(COUNTIF(Raw!$H$1:$I$500, A386) &gt; 0, "Done", IF(COUNTIF(Raw!$J$1:$J$500, A386) &gt; 0, "Pause", IF(COUNTIF(Raw!$K$1:$K$500, A386) &gt; 0, "On-Going", "Pause"))))</f>
        <v/>
      </c>
      <c r="G386" s="51"/>
      <c r="H386" s="50"/>
    </row>
    <row r="387" spans="1:8" x14ac:dyDescent="0.4">
      <c r="A387" s="61"/>
      <c r="B387" s="16" t="str">
        <f t="array" ref="B387">IFERROR(MIN(IF(Raw!$A$2:$A$26=MHT!A387,Raw!$B$2:$B$20)),"")</f>
        <v/>
      </c>
      <c r="C387" s="13" t="str">
        <f t="array" ref="C387">IFERROR(MIN(IF(Raw!$A$2:$A$26=MHT!A387,Raw!$C$2:$C$20)),"")</f>
        <v/>
      </c>
      <c r="D387" s="14" t="str">
        <f t="array" ref="D387">IF(Raw!D380="","",IFERROR(MAX(IF(Raw!$A$2:$A$26=MHT!A387,Raw!$D$2:$D$20)),""))</f>
        <v/>
      </c>
      <c r="E387" s="6" t="str">
        <f>IF(SUMIF(Raw!$A$2:$A$500, MHT!A387, Raw!$F$2:$F$500) = TIME(0,0,0), "", SUMIF(Raw!$A$2:$A$500, MHT!A387, Raw!$F$2:$F$500))</f>
        <v/>
      </c>
      <c r="F387" s="12" t="str">
        <f t="array" ref="F387">IF(A387="", "", IF(COUNTIF(Raw!$H$1:$I$500, A387) &gt; 0, "Done", IF(COUNTIF(Raw!$J$1:$J$500, A387) &gt; 0, "Pause", IF(COUNTIF(Raw!$K$1:$K$500, A387) &gt; 0, "On-Going", "Pause"))))</f>
        <v/>
      </c>
      <c r="G387" s="51"/>
      <c r="H387" s="50"/>
    </row>
    <row r="388" spans="1:8" x14ac:dyDescent="0.4">
      <c r="A388" s="61"/>
      <c r="B388" s="16" t="str">
        <f t="array" ref="B388">IFERROR(MIN(IF(Raw!$A$2:$A$26=MHT!A388,Raw!$B$2:$B$20)),"")</f>
        <v/>
      </c>
      <c r="C388" s="13" t="str">
        <f t="array" ref="C388">IFERROR(MIN(IF(Raw!$A$2:$A$26=MHT!A388,Raw!$C$2:$C$20)),"")</f>
        <v/>
      </c>
      <c r="D388" s="14" t="str">
        <f t="array" ref="D388">IF(Raw!D381="","",IFERROR(MAX(IF(Raw!$A$2:$A$26=MHT!A388,Raw!$D$2:$D$20)),""))</f>
        <v/>
      </c>
      <c r="E388" s="6" t="str">
        <f>IF(SUMIF(Raw!$A$2:$A$500, MHT!A388, Raw!$F$2:$F$500) = TIME(0,0,0), "", SUMIF(Raw!$A$2:$A$500, MHT!A388, Raw!$F$2:$F$500))</f>
        <v/>
      </c>
      <c r="F388" s="12" t="str">
        <f t="array" ref="F388">IF(A388="", "", IF(COUNTIF(Raw!$H$1:$I$500, A388) &gt; 0, "Done", IF(COUNTIF(Raw!$J$1:$J$500, A388) &gt; 0, "Pause", IF(COUNTIF(Raw!$K$1:$K$500, A388) &gt; 0, "On-Going", "Pause"))))</f>
        <v/>
      </c>
      <c r="G388" s="51"/>
      <c r="H388" s="50"/>
    </row>
    <row r="389" spans="1:8" x14ac:dyDescent="0.4">
      <c r="A389" s="61"/>
      <c r="B389" s="16" t="str">
        <f t="array" ref="B389">IFERROR(MIN(IF(Raw!$A$2:$A$26=MHT!A389,Raw!$B$2:$B$20)),"")</f>
        <v/>
      </c>
      <c r="C389" s="13" t="str">
        <f t="array" ref="C389">IFERROR(MIN(IF(Raw!$A$2:$A$26=MHT!A389,Raw!$C$2:$C$20)),"")</f>
        <v/>
      </c>
      <c r="D389" s="14" t="str">
        <f t="array" ref="D389">IF(Raw!D382="","",IFERROR(MAX(IF(Raw!$A$2:$A$26=MHT!A389,Raw!$D$2:$D$20)),""))</f>
        <v/>
      </c>
      <c r="E389" s="6" t="str">
        <f>IF(SUMIF(Raw!$A$2:$A$500, MHT!A389, Raw!$F$2:$F$500) = TIME(0,0,0), "", SUMIF(Raw!$A$2:$A$500, MHT!A389, Raw!$F$2:$F$500))</f>
        <v/>
      </c>
      <c r="F389" s="12" t="str">
        <f t="array" ref="F389">IF(A389="", "", IF(COUNTIF(Raw!$H$1:$I$500, A389) &gt; 0, "Done", IF(COUNTIF(Raw!$J$1:$J$500, A389) &gt; 0, "Pause", IF(COUNTIF(Raw!$K$1:$K$500, A389) &gt; 0, "On-Going", "Pause"))))</f>
        <v/>
      </c>
      <c r="G389" s="51"/>
      <c r="H389" s="50"/>
    </row>
    <row r="390" spans="1:8" x14ac:dyDescent="0.4">
      <c r="A390" s="61"/>
      <c r="B390" s="16" t="str">
        <f t="array" ref="B390">IFERROR(MIN(IF(Raw!$A$2:$A$26=MHT!A390,Raw!$B$2:$B$20)),"")</f>
        <v/>
      </c>
      <c r="C390" s="13" t="str">
        <f t="array" ref="C390">IFERROR(MIN(IF(Raw!$A$2:$A$26=MHT!A390,Raw!$C$2:$C$20)),"")</f>
        <v/>
      </c>
      <c r="D390" s="14" t="str">
        <f t="array" ref="D390">IF(Raw!D383="","",IFERROR(MAX(IF(Raw!$A$2:$A$26=MHT!A390,Raw!$D$2:$D$20)),""))</f>
        <v/>
      </c>
      <c r="E390" s="6" t="str">
        <f>IF(SUMIF(Raw!$A$2:$A$500, MHT!A390, Raw!$F$2:$F$500) = TIME(0,0,0), "", SUMIF(Raw!$A$2:$A$500, MHT!A390, Raw!$F$2:$F$500))</f>
        <v/>
      </c>
      <c r="F390" s="12" t="str">
        <f t="array" ref="F390">IF(A390="", "", IF(COUNTIF(Raw!$H$1:$I$500, A390) &gt; 0, "Done", IF(COUNTIF(Raw!$J$1:$J$500, A390) &gt; 0, "Pause", IF(COUNTIF(Raw!$K$1:$K$500, A390) &gt; 0, "On-Going", "Pause"))))</f>
        <v/>
      </c>
      <c r="G390" s="51"/>
      <c r="H390" s="50"/>
    </row>
    <row r="391" spans="1:8" x14ac:dyDescent="0.4">
      <c r="A391" s="61"/>
      <c r="B391" s="16" t="str">
        <f t="array" ref="B391">IFERROR(MIN(IF(Raw!$A$2:$A$26=MHT!A391,Raw!$B$2:$B$20)),"")</f>
        <v/>
      </c>
      <c r="C391" s="13" t="str">
        <f t="array" ref="C391">IFERROR(MIN(IF(Raw!$A$2:$A$26=MHT!A391,Raw!$C$2:$C$20)),"")</f>
        <v/>
      </c>
      <c r="D391" s="14" t="str">
        <f t="array" ref="D391">IF(Raw!D384="","",IFERROR(MAX(IF(Raw!$A$2:$A$26=MHT!A391,Raw!$D$2:$D$20)),""))</f>
        <v/>
      </c>
      <c r="E391" s="6" t="str">
        <f>IF(SUMIF(Raw!$A$2:$A$500, MHT!A391, Raw!$F$2:$F$500) = TIME(0,0,0), "", SUMIF(Raw!$A$2:$A$500, MHT!A391, Raw!$F$2:$F$500))</f>
        <v/>
      </c>
      <c r="F391" s="12" t="str">
        <f t="array" ref="F391">IF(A391="", "", IF(COUNTIF(Raw!$H$1:$I$500, A391) &gt; 0, "Done", IF(COUNTIF(Raw!$J$1:$J$500, A391) &gt; 0, "Pause", IF(COUNTIF(Raw!$K$1:$K$500, A391) &gt; 0, "On-Going", "Pause"))))</f>
        <v/>
      </c>
      <c r="G391" s="51"/>
      <c r="H391" s="50"/>
    </row>
    <row r="392" spans="1:8" x14ac:dyDescent="0.4">
      <c r="A392" s="61"/>
      <c r="B392" s="16" t="str">
        <f t="array" ref="B392">IFERROR(MIN(IF(Raw!$A$2:$A$26=MHT!A392,Raw!$B$2:$B$20)),"")</f>
        <v/>
      </c>
      <c r="C392" s="13" t="str">
        <f t="array" ref="C392">IFERROR(MIN(IF(Raw!$A$2:$A$26=MHT!A392,Raw!$C$2:$C$20)),"")</f>
        <v/>
      </c>
      <c r="D392" s="14" t="str">
        <f t="array" ref="D392">IF(Raw!D385="","",IFERROR(MAX(IF(Raw!$A$2:$A$26=MHT!A392,Raw!$D$2:$D$20)),""))</f>
        <v/>
      </c>
      <c r="E392" s="6" t="str">
        <f>IF(SUMIF(Raw!$A$2:$A$500, MHT!A392, Raw!$F$2:$F$500) = TIME(0,0,0), "", SUMIF(Raw!$A$2:$A$500, MHT!A392, Raw!$F$2:$F$500))</f>
        <v/>
      </c>
      <c r="F392" s="12" t="str">
        <f t="array" ref="F392">IF(A392="", "", IF(COUNTIF(Raw!$H$1:$I$500, A392) &gt; 0, "Done", IF(COUNTIF(Raw!$J$1:$J$500, A392) &gt; 0, "Pause", IF(COUNTIF(Raw!$K$1:$K$500, A392) &gt; 0, "On-Going", "Pause"))))</f>
        <v/>
      </c>
      <c r="G392" s="51"/>
      <c r="H392" s="50"/>
    </row>
    <row r="393" spans="1:8" x14ac:dyDescent="0.4">
      <c r="A393" s="61"/>
      <c r="B393" s="16" t="str">
        <f t="array" ref="B393">IFERROR(MIN(IF(Raw!$A$2:$A$26=MHT!A393,Raw!$B$2:$B$20)),"")</f>
        <v/>
      </c>
      <c r="C393" s="13" t="str">
        <f t="array" ref="C393">IFERROR(MIN(IF(Raw!$A$2:$A$26=MHT!A393,Raw!$C$2:$C$20)),"")</f>
        <v/>
      </c>
      <c r="D393" s="14" t="str">
        <f t="array" ref="D393">IF(Raw!D386="","",IFERROR(MAX(IF(Raw!$A$2:$A$26=MHT!A393,Raw!$D$2:$D$20)),""))</f>
        <v/>
      </c>
      <c r="E393" s="6" t="str">
        <f>IF(SUMIF(Raw!$A$2:$A$500, MHT!A393, Raw!$F$2:$F$500) = TIME(0,0,0), "", SUMIF(Raw!$A$2:$A$500, MHT!A393, Raw!$F$2:$F$500))</f>
        <v/>
      </c>
      <c r="F393" s="12" t="str">
        <f t="array" ref="F393">IF(A393="", "", IF(COUNTIF(Raw!$H$1:$I$500, A393) &gt; 0, "Done", IF(COUNTIF(Raw!$J$1:$J$500, A393) &gt; 0, "Pause", IF(COUNTIF(Raw!$K$1:$K$500, A393) &gt; 0, "On-Going", "Pause"))))</f>
        <v/>
      </c>
      <c r="G393" s="51"/>
      <c r="H393" s="50"/>
    </row>
    <row r="394" spans="1:8" x14ac:dyDescent="0.4">
      <c r="A394" s="61"/>
      <c r="B394" s="16" t="str">
        <f t="array" ref="B394">IFERROR(MIN(IF(Raw!$A$2:$A$26=MHT!A394,Raw!$B$2:$B$20)),"")</f>
        <v/>
      </c>
      <c r="C394" s="13" t="str">
        <f t="array" ref="C394">IFERROR(MIN(IF(Raw!$A$2:$A$26=MHT!A394,Raw!$C$2:$C$20)),"")</f>
        <v/>
      </c>
      <c r="D394" s="14" t="str">
        <f t="array" ref="D394">IF(Raw!D387="","",IFERROR(MAX(IF(Raw!$A$2:$A$26=MHT!A394,Raw!$D$2:$D$20)),""))</f>
        <v/>
      </c>
      <c r="E394" s="6" t="str">
        <f>IF(SUMIF(Raw!$A$2:$A$500, MHT!A394, Raw!$F$2:$F$500) = TIME(0,0,0), "", SUMIF(Raw!$A$2:$A$500, MHT!A394, Raw!$F$2:$F$500))</f>
        <v/>
      </c>
      <c r="F394" s="12" t="str">
        <f t="array" ref="F394">IF(A394="", "", IF(COUNTIF(Raw!$H$1:$I$500, A394) &gt; 0, "Done", IF(COUNTIF(Raw!$J$1:$J$500, A394) &gt; 0, "Pause", IF(COUNTIF(Raw!$K$1:$K$500, A394) &gt; 0, "On-Going", "Pause"))))</f>
        <v/>
      </c>
      <c r="G394" s="51"/>
      <c r="H394" s="50"/>
    </row>
    <row r="395" spans="1:8" x14ac:dyDescent="0.4">
      <c r="A395" s="61"/>
      <c r="B395" s="16" t="str">
        <f t="array" ref="B395">IFERROR(MIN(IF(Raw!$A$2:$A$26=MHT!A395,Raw!$B$2:$B$20)),"")</f>
        <v/>
      </c>
      <c r="C395" s="13" t="str">
        <f t="array" ref="C395">IFERROR(MIN(IF(Raw!$A$2:$A$26=MHT!A395,Raw!$C$2:$C$20)),"")</f>
        <v/>
      </c>
      <c r="D395" s="14" t="str">
        <f t="array" ref="D395">IF(Raw!D388="","",IFERROR(MAX(IF(Raw!$A$2:$A$26=MHT!A395,Raw!$D$2:$D$20)),""))</f>
        <v/>
      </c>
      <c r="E395" s="6" t="str">
        <f>IF(SUMIF(Raw!$A$2:$A$500, MHT!A395, Raw!$F$2:$F$500) = TIME(0,0,0), "", SUMIF(Raw!$A$2:$A$500, MHT!A395, Raw!$F$2:$F$500))</f>
        <v/>
      </c>
      <c r="F395" s="12" t="str">
        <f t="array" ref="F395">IF(A395="", "", IF(COUNTIF(Raw!$H$1:$I$500, A395) &gt; 0, "Done", IF(COUNTIF(Raw!$J$1:$J$500, A395) &gt; 0, "Pause", IF(COUNTIF(Raw!$K$1:$K$500, A395) &gt; 0, "On-Going", "Pause"))))</f>
        <v/>
      </c>
      <c r="G395" s="51"/>
      <c r="H395" s="50"/>
    </row>
    <row r="396" spans="1:8" x14ac:dyDescent="0.4">
      <c r="A396" s="61"/>
      <c r="B396" s="16" t="str">
        <f t="array" ref="B396">IFERROR(MIN(IF(Raw!$A$2:$A$26=MHT!A396,Raw!$B$2:$B$20)),"")</f>
        <v/>
      </c>
      <c r="C396" s="13" t="str">
        <f t="array" ref="C396">IFERROR(MIN(IF(Raw!$A$2:$A$26=MHT!A396,Raw!$C$2:$C$20)),"")</f>
        <v/>
      </c>
      <c r="D396" s="14" t="str">
        <f t="array" ref="D396">IF(Raw!D389="","",IFERROR(MAX(IF(Raw!$A$2:$A$26=MHT!A396,Raw!$D$2:$D$20)),""))</f>
        <v/>
      </c>
      <c r="E396" s="6" t="str">
        <f>IF(SUMIF(Raw!$A$2:$A$500, MHT!A396, Raw!$F$2:$F$500) = TIME(0,0,0), "", SUMIF(Raw!$A$2:$A$500, MHT!A396, Raw!$F$2:$F$500))</f>
        <v/>
      </c>
      <c r="F396" s="12" t="str">
        <f t="array" ref="F396">IF(A396="", "", IF(COUNTIF(Raw!$H$1:$I$500, A396) &gt; 0, "Done", IF(COUNTIF(Raw!$J$1:$J$500, A396) &gt; 0, "Pause", IF(COUNTIF(Raw!$K$1:$K$500, A396) &gt; 0, "On-Going", "Pause"))))</f>
        <v/>
      </c>
      <c r="G396" s="51"/>
      <c r="H396" s="50"/>
    </row>
    <row r="397" spans="1:8" x14ac:dyDescent="0.4">
      <c r="A397" s="61"/>
      <c r="B397" s="16" t="str">
        <f t="array" ref="B397">IFERROR(MIN(IF(Raw!$A$2:$A$26=MHT!A397,Raw!$B$2:$B$20)),"")</f>
        <v/>
      </c>
      <c r="C397" s="13" t="str">
        <f t="array" ref="C397">IFERROR(MIN(IF(Raw!$A$2:$A$26=MHT!A397,Raw!$C$2:$C$20)),"")</f>
        <v/>
      </c>
      <c r="D397" s="14" t="str">
        <f t="array" ref="D397">IF(Raw!D390="","",IFERROR(MAX(IF(Raw!$A$2:$A$26=MHT!A397,Raw!$D$2:$D$20)),""))</f>
        <v/>
      </c>
      <c r="E397" s="6" t="str">
        <f>IF(SUMIF(Raw!$A$2:$A$500, MHT!A397, Raw!$F$2:$F$500) = TIME(0,0,0), "", SUMIF(Raw!$A$2:$A$500, MHT!A397, Raw!$F$2:$F$500))</f>
        <v/>
      </c>
      <c r="F397" s="12" t="str">
        <f t="array" ref="F397">IF(A397="", "", IF(COUNTIF(Raw!$H$1:$I$500, A397) &gt; 0, "Done", IF(COUNTIF(Raw!$J$1:$J$500, A397) &gt; 0, "Pause", IF(COUNTIF(Raw!$K$1:$K$500, A397) &gt; 0, "On-Going", "Pause"))))</f>
        <v/>
      </c>
      <c r="G397" s="51"/>
      <c r="H397" s="50"/>
    </row>
    <row r="398" spans="1:8" x14ac:dyDescent="0.4">
      <c r="A398" s="61"/>
      <c r="B398" s="16" t="str">
        <f t="array" ref="B398">IFERROR(MIN(IF(Raw!$A$2:$A$26=MHT!A398,Raw!$B$2:$B$20)),"")</f>
        <v/>
      </c>
      <c r="C398" s="13" t="str">
        <f t="array" ref="C398">IFERROR(MIN(IF(Raw!$A$2:$A$26=MHT!A398,Raw!$C$2:$C$20)),"")</f>
        <v/>
      </c>
      <c r="D398" s="14" t="str">
        <f t="array" ref="D398">IF(Raw!D391="","",IFERROR(MAX(IF(Raw!$A$2:$A$26=MHT!A398,Raw!$D$2:$D$20)),""))</f>
        <v/>
      </c>
      <c r="E398" s="6" t="str">
        <f>IF(SUMIF(Raw!$A$2:$A$500, MHT!A398, Raw!$F$2:$F$500) = TIME(0,0,0), "", SUMIF(Raw!$A$2:$A$500, MHT!A398, Raw!$F$2:$F$500))</f>
        <v/>
      </c>
      <c r="F398" s="12" t="str">
        <f t="array" ref="F398">IF(A398="", "", IF(COUNTIF(Raw!$H$1:$I$500, A398) &gt; 0, "Done", IF(COUNTIF(Raw!$J$1:$J$500, A398) &gt; 0, "Pause", IF(COUNTIF(Raw!$K$1:$K$500, A398) &gt; 0, "On-Going", "Pause"))))</f>
        <v/>
      </c>
      <c r="G398" s="51"/>
      <c r="H398" s="50"/>
    </row>
    <row r="399" spans="1:8" x14ac:dyDescent="0.4">
      <c r="A399" s="61"/>
      <c r="B399" s="16" t="str">
        <f t="array" ref="B399">IFERROR(MIN(IF(Raw!$A$2:$A$26=MHT!A399,Raw!$B$2:$B$20)),"")</f>
        <v/>
      </c>
      <c r="C399" s="13" t="str">
        <f t="array" ref="C399">IFERROR(MIN(IF(Raw!$A$2:$A$26=MHT!A399,Raw!$C$2:$C$20)),"")</f>
        <v/>
      </c>
      <c r="D399" s="14" t="str">
        <f t="array" ref="D399">IF(Raw!D392="","",IFERROR(MAX(IF(Raw!$A$2:$A$26=MHT!A399,Raw!$D$2:$D$20)),""))</f>
        <v/>
      </c>
      <c r="E399" s="6" t="str">
        <f>IF(SUMIF(Raw!$A$2:$A$500, MHT!A399, Raw!$F$2:$F$500) = TIME(0,0,0), "", SUMIF(Raw!$A$2:$A$500, MHT!A399, Raw!$F$2:$F$500))</f>
        <v/>
      </c>
      <c r="F399" s="12" t="str">
        <f t="array" ref="F399">IF(A399="", "", IF(COUNTIF(Raw!$H$1:$I$500, A399) &gt; 0, "Done", IF(COUNTIF(Raw!$J$1:$J$500, A399) &gt; 0, "Pause", IF(COUNTIF(Raw!$K$1:$K$500, A399) &gt; 0, "On-Going", "Pause"))))</f>
        <v/>
      </c>
      <c r="G399" s="51"/>
      <c r="H399" s="50"/>
    </row>
    <row r="400" spans="1:8" x14ac:dyDescent="0.4">
      <c r="A400" s="61"/>
      <c r="B400" s="16" t="str">
        <f t="array" ref="B400">IFERROR(MIN(IF(Raw!$A$2:$A$26=MHT!A400,Raw!$B$2:$B$20)),"")</f>
        <v/>
      </c>
      <c r="C400" s="13" t="str">
        <f t="array" ref="C400">IFERROR(MIN(IF(Raw!$A$2:$A$26=MHT!A400,Raw!$C$2:$C$20)),"")</f>
        <v/>
      </c>
      <c r="D400" s="14" t="str">
        <f t="array" ref="D400">IF(Raw!D393="","",IFERROR(MAX(IF(Raw!$A$2:$A$26=MHT!A400,Raw!$D$2:$D$20)),""))</f>
        <v/>
      </c>
      <c r="E400" s="6" t="str">
        <f>IF(SUMIF(Raw!$A$2:$A$500, MHT!A400, Raw!$F$2:$F$500) = TIME(0,0,0), "", SUMIF(Raw!$A$2:$A$500, MHT!A400, Raw!$F$2:$F$500))</f>
        <v/>
      </c>
      <c r="F400" s="12" t="str">
        <f t="array" ref="F400">IF(A400="", "", IF(COUNTIF(Raw!$H$1:$I$500, A400) &gt; 0, "Done", IF(COUNTIF(Raw!$J$1:$J$500, A400) &gt; 0, "Pause", IF(COUNTIF(Raw!$K$1:$K$500, A400) &gt; 0, "On-Going", "Pause"))))</f>
        <v/>
      </c>
      <c r="G400" s="51"/>
      <c r="H400" s="50"/>
    </row>
    <row r="401" spans="1:8" x14ac:dyDescent="0.4">
      <c r="A401" s="61"/>
      <c r="B401" s="16" t="str">
        <f t="array" ref="B401">IFERROR(MIN(IF(Raw!$A$2:$A$26=MHT!A401,Raw!$B$2:$B$20)),"")</f>
        <v/>
      </c>
      <c r="C401" s="13" t="str">
        <f t="array" ref="C401">IFERROR(MIN(IF(Raw!$A$2:$A$26=MHT!A401,Raw!$C$2:$C$20)),"")</f>
        <v/>
      </c>
      <c r="D401" s="14" t="str">
        <f t="array" ref="D401">IF(Raw!D394="","",IFERROR(MAX(IF(Raw!$A$2:$A$26=MHT!A401,Raw!$D$2:$D$20)),""))</f>
        <v/>
      </c>
      <c r="E401" s="6" t="str">
        <f>IF(SUMIF(Raw!$A$2:$A$500, MHT!A401, Raw!$F$2:$F$500) = TIME(0,0,0), "", SUMIF(Raw!$A$2:$A$500, MHT!A401, Raw!$F$2:$F$500))</f>
        <v/>
      </c>
      <c r="F401" s="12" t="str">
        <f t="array" ref="F401">IF(A401="", "", IF(COUNTIF(Raw!$H$1:$I$500, A401) &gt; 0, "Done", IF(COUNTIF(Raw!$J$1:$J$500, A401) &gt; 0, "Pause", IF(COUNTIF(Raw!$K$1:$K$500, A401) &gt; 0, "On-Going", "Pause"))))</f>
        <v/>
      </c>
      <c r="G401" s="51"/>
      <c r="H401" s="50"/>
    </row>
    <row r="402" spans="1:8" x14ac:dyDescent="0.4">
      <c r="A402" s="61"/>
      <c r="B402" s="16" t="str">
        <f t="array" ref="B402">IFERROR(MIN(IF(Raw!$A$2:$A$26=MHT!A402,Raw!$B$2:$B$20)),"")</f>
        <v/>
      </c>
      <c r="C402" s="13" t="str">
        <f t="array" ref="C402">IFERROR(MIN(IF(Raw!$A$2:$A$26=MHT!A402,Raw!$C$2:$C$20)),"")</f>
        <v/>
      </c>
      <c r="D402" s="14" t="str">
        <f t="array" ref="D402">IF(Raw!D395="","",IFERROR(MAX(IF(Raw!$A$2:$A$26=MHT!A402,Raw!$D$2:$D$20)),""))</f>
        <v/>
      </c>
      <c r="E402" s="6" t="str">
        <f>IF(SUMIF(Raw!$A$2:$A$500, MHT!A402, Raw!$F$2:$F$500) = TIME(0,0,0), "", SUMIF(Raw!$A$2:$A$500, MHT!A402, Raw!$F$2:$F$500))</f>
        <v/>
      </c>
      <c r="F402" s="12" t="str">
        <f t="array" ref="F402">IF(A402="", "", IF(COUNTIF(Raw!$H$1:$I$500, A402) &gt; 0, "Done", IF(COUNTIF(Raw!$J$1:$J$500, A402) &gt; 0, "Pause", IF(COUNTIF(Raw!$K$1:$K$500, A402) &gt; 0, "On-Going", "Pause"))))</f>
        <v/>
      </c>
      <c r="G402" s="51"/>
      <c r="H402" s="50"/>
    </row>
    <row r="403" spans="1:8" x14ac:dyDescent="0.4">
      <c r="A403" s="61"/>
      <c r="B403" s="16" t="str">
        <f t="array" ref="B403">IFERROR(MIN(IF(Raw!$A$2:$A$26=MHT!A403,Raw!$B$2:$B$20)),"")</f>
        <v/>
      </c>
      <c r="C403" s="13" t="str">
        <f t="array" ref="C403">IFERROR(MIN(IF(Raw!$A$2:$A$26=MHT!A403,Raw!$C$2:$C$20)),"")</f>
        <v/>
      </c>
      <c r="D403" s="14" t="str">
        <f t="array" ref="D403">IF(Raw!D396="","",IFERROR(MAX(IF(Raw!$A$2:$A$26=MHT!A403,Raw!$D$2:$D$20)),""))</f>
        <v/>
      </c>
      <c r="E403" s="6" t="str">
        <f>IF(SUMIF(Raw!$A$2:$A$500, MHT!A403, Raw!$F$2:$F$500) = TIME(0,0,0), "", SUMIF(Raw!$A$2:$A$500, MHT!A403, Raw!$F$2:$F$500))</f>
        <v/>
      </c>
      <c r="F403" s="12" t="str">
        <f t="array" ref="F403">IF(A403="", "", IF(COUNTIF(Raw!$H$1:$I$500, A403) &gt; 0, "Done", IF(COUNTIF(Raw!$J$1:$J$500, A403) &gt; 0, "Pause", IF(COUNTIF(Raw!$K$1:$K$500, A403) &gt; 0, "On-Going", "Pause"))))</f>
        <v/>
      </c>
      <c r="G403" s="51"/>
      <c r="H403" s="50"/>
    </row>
    <row r="404" spans="1:8" x14ac:dyDescent="0.4">
      <c r="A404" s="61"/>
      <c r="B404" s="16" t="str">
        <f t="array" ref="B404">IFERROR(MIN(IF(Raw!$A$2:$A$26=MHT!A404,Raw!$B$2:$B$20)),"")</f>
        <v/>
      </c>
      <c r="C404" s="13" t="str">
        <f t="array" ref="C404">IFERROR(MIN(IF(Raw!$A$2:$A$26=MHT!A404,Raw!$C$2:$C$20)),"")</f>
        <v/>
      </c>
      <c r="D404" s="14" t="str">
        <f t="array" ref="D404">IF(Raw!D397="","",IFERROR(MAX(IF(Raw!$A$2:$A$26=MHT!A404,Raw!$D$2:$D$20)),""))</f>
        <v/>
      </c>
      <c r="E404" s="6" t="str">
        <f>IF(SUMIF(Raw!$A$2:$A$500, MHT!A404, Raw!$F$2:$F$500) = TIME(0,0,0), "", SUMIF(Raw!$A$2:$A$500, MHT!A404, Raw!$F$2:$F$500))</f>
        <v/>
      </c>
      <c r="F404" s="12" t="str">
        <f t="array" ref="F404">IF(A404="", "", IF(COUNTIF(Raw!$H$1:$I$500, A404) &gt; 0, "Done", IF(COUNTIF(Raw!$J$1:$J$500, A404) &gt; 0, "Pause", IF(COUNTIF(Raw!$K$1:$K$500, A404) &gt; 0, "On-Going", "Pause"))))</f>
        <v/>
      </c>
      <c r="G404" s="51"/>
      <c r="H404" s="50"/>
    </row>
    <row r="405" spans="1:8" x14ac:dyDescent="0.4">
      <c r="A405" s="61"/>
      <c r="B405" s="16" t="str">
        <f t="array" ref="B405">IFERROR(MIN(IF(Raw!$A$2:$A$26=MHT!A405,Raw!$B$2:$B$20)),"")</f>
        <v/>
      </c>
      <c r="C405" s="13" t="str">
        <f t="array" ref="C405">IFERROR(MIN(IF(Raw!$A$2:$A$26=MHT!A405,Raw!$C$2:$C$20)),"")</f>
        <v/>
      </c>
      <c r="D405" s="14" t="str">
        <f t="array" ref="D405">IF(Raw!D398="","",IFERROR(MAX(IF(Raw!$A$2:$A$26=MHT!A405,Raw!$D$2:$D$20)),""))</f>
        <v/>
      </c>
      <c r="E405" s="6" t="str">
        <f>IF(SUMIF(Raw!$A$2:$A$500, MHT!A405, Raw!$F$2:$F$500) = TIME(0,0,0), "", SUMIF(Raw!$A$2:$A$500, MHT!A405, Raw!$F$2:$F$500))</f>
        <v/>
      </c>
      <c r="F405" s="12" t="str">
        <f t="array" ref="F405">IF(A405="", "", IF(COUNTIF(Raw!$H$1:$I$500, A405) &gt; 0, "Done", IF(COUNTIF(Raw!$J$1:$J$500, A405) &gt; 0, "Pause", IF(COUNTIF(Raw!$K$1:$K$500, A405) &gt; 0, "On-Going", "Pause"))))</f>
        <v/>
      </c>
      <c r="G405" s="51"/>
      <c r="H405" s="50"/>
    </row>
    <row r="406" spans="1:8" x14ac:dyDescent="0.4">
      <c r="A406" s="61"/>
      <c r="B406" s="16" t="str">
        <f t="array" ref="B406">IFERROR(MIN(IF(Raw!$A$2:$A$26=MHT!A406,Raw!$B$2:$B$20)),"")</f>
        <v/>
      </c>
      <c r="C406" s="13" t="str">
        <f t="array" ref="C406">IFERROR(MIN(IF(Raw!$A$2:$A$26=MHT!A406,Raw!$C$2:$C$20)),"")</f>
        <v/>
      </c>
      <c r="D406" s="14" t="str">
        <f t="array" ref="D406">IF(Raw!D399="","",IFERROR(MAX(IF(Raw!$A$2:$A$26=MHT!A406,Raw!$D$2:$D$20)),""))</f>
        <v/>
      </c>
      <c r="E406" s="6" t="str">
        <f>IF(SUMIF(Raw!$A$2:$A$500, MHT!A406, Raw!$F$2:$F$500) = TIME(0,0,0), "", SUMIF(Raw!$A$2:$A$500, MHT!A406, Raw!$F$2:$F$500))</f>
        <v/>
      </c>
      <c r="F406" s="12" t="str">
        <f t="array" ref="F406">IF(A406="", "", IF(COUNTIF(Raw!$H$1:$I$500, A406) &gt; 0, "Done", IF(COUNTIF(Raw!$J$1:$J$500, A406) &gt; 0, "Pause", IF(COUNTIF(Raw!$K$1:$K$500, A406) &gt; 0, "On-Going", "Pause"))))</f>
        <v/>
      </c>
      <c r="G406" s="51"/>
      <c r="H406" s="50"/>
    </row>
    <row r="407" spans="1:8" x14ac:dyDescent="0.4">
      <c r="A407" s="61"/>
      <c r="B407" s="16" t="str">
        <f t="array" ref="B407">IFERROR(MIN(IF(Raw!$A$2:$A$26=MHT!A407,Raw!$B$2:$B$20)),"")</f>
        <v/>
      </c>
      <c r="C407" s="13" t="str">
        <f t="array" ref="C407">IFERROR(MIN(IF(Raw!$A$2:$A$26=MHT!A407,Raw!$C$2:$C$20)),"")</f>
        <v/>
      </c>
      <c r="D407" s="14" t="str">
        <f t="array" ref="D407">IF(Raw!D400="","",IFERROR(MAX(IF(Raw!$A$2:$A$26=MHT!A407,Raw!$D$2:$D$20)),""))</f>
        <v/>
      </c>
      <c r="E407" s="6" t="str">
        <f>IF(SUMIF(Raw!$A$2:$A$500, MHT!A407, Raw!$F$2:$F$500) = TIME(0,0,0), "", SUMIF(Raw!$A$2:$A$500, MHT!A407, Raw!$F$2:$F$500))</f>
        <v/>
      </c>
      <c r="F407" s="12" t="str">
        <f t="array" ref="F407">IF(A407="", "", IF(COUNTIF(Raw!$H$1:$I$500, A407) &gt; 0, "Done", IF(COUNTIF(Raw!$J$1:$J$500, A407) &gt; 0, "Pause", IF(COUNTIF(Raw!$K$1:$K$500, A407) &gt; 0, "On-Going", "Pause"))))</f>
        <v/>
      </c>
      <c r="G407" s="51"/>
      <c r="H407" s="50"/>
    </row>
    <row r="408" spans="1:8" x14ac:dyDescent="0.4">
      <c r="A408" s="61"/>
      <c r="B408" s="16" t="str">
        <f t="array" ref="B408">IFERROR(MIN(IF(Raw!$A$2:$A$26=MHT!A408,Raw!$B$2:$B$20)),"")</f>
        <v/>
      </c>
      <c r="C408" s="13" t="str">
        <f t="array" ref="C408">IFERROR(MIN(IF(Raw!$A$2:$A$26=MHT!A408,Raw!$C$2:$C$20)),"")</f>
        <v/>
      </c>
      <c r="D408" s="14" t="str">
        <f t="array" ref="D408">IF(Raw!D401="","",IFERROR(MAX(IF(Raw!$A$2:$A$26=MHT!A408,Raw!$D$2:$D$20)),""))</f>
        <v/>
      </c>
      <c r="E408" s="6" t="str">
        <f>IF(SUMIF(Raw!$A$2:$A$500, MHT!A408, Raw!$F$2:$F$500) = TIME(0,0,0), "", SUMIF(Raw!$A$2:$A$500, MHT!A408, Raw!$F$2:$F$500))</f>
        <v/>
      </c>
      <c r="F408" s="12" t="str">
        <f t="array" ref="F408">IF(A408="", "", IF(COUNTIF(Raw!$H$1:$I$500, A408) &gt; 0, "Done", IF(COUNTIF(Raw!$J$1:$J$500, A408) &gt; 0, "Pause", IF(COUNTIF(Raw!$K$1:$K$500, A408) &gt; 0, "On-Going", "Pause"))))</f>
        <v/>
      </c>
      <c r="G408" s="51"/>
      <c r="H408" s="50"/>
    </row>
    <row r="409" spans="1:8" x14ac:dyDescent="0.4">
      <c r="A409" s="61"/>
      <c r="B409" s="16" t="str">
        <f t="array" ref="B409">IFERROR(MIN(IF(Raw!$A$2:$A$26=MHT!A409,Raw!$B$2:$B$20)),"")</f>
        <v/>
      </c>
      <c r="C409" s="13" t="str">
        <f t="array" ref="C409">IFERROR(MIN(IF(Raw!$A$2:$A$26=MHT!A409,Raw!$C$2:$C$20)),"")</f>
        <v/>
      </c>
      <c r="D409" s="14" t="str">
        <f t="array" ref="D409">IF(Raw!D402="","",IFERROR(MAX(IF(Raw!$A$2:$A$26=MHT!A409,Raw!$D$2:$D$20)),""))</f>
        <v/>
      </c>
      <c r="E409" s="6" t="str">
        <f>IF(SUMIF(Raw!$A$2:$A$500, MHT!A409, Raw!$F$2:$F$500) = TIME(0,0,0), "", SUMIF(Raw!$A$2:$A$500, MHT!A409, Raw!$F$2:$F$500))</f>
        <v/>
      </c>
      <c r="F409" s="12" t="str">
        <f t="array" ref="F409">IF(A409="", "", IF(COUNTIF(Raw!$H$1:$I$500, A409) &gt; 0, "Done", IF(COUNTIF(Raw!$J$1:$J$500, A409) &gt; 0, "Pause", IF(COUNTIF(Raw!$K$1:$K$500, A409) &gt; 0, "On-Going", "Pause"))))</f>
        <v/>
      </c>
      <c r="G409" s="51"/>
      <c r="H409" s="50"/>
    </row>
    <row r="410" spans="1:8" x14ac:dyDescent="0.4">
      <c r="A410" s="61"/>
      <c r="B410" s="16" t="str">
        <f t="array" ref="B410">IFERROR(MIN(IF(Raw!$A$2:$A$26=MHT!A410,Raw!$B$2:$B$20)),"")</f>
        <v/>
      </c>
      <c r="C410" s="13" t="str">
        <f t="array" ref="C410">IFERROR(MIN(IF(Raw!$A$2:$A$26=MHT!A410,Raw!$C$2:$C$20)),"")</f>
        <v/>
      </c>
      <c r="D410" s="14" t="str">
        <f t="array" ref="D410">IF(Raw!D403="","",IFERROR(MAX(IF(Raw!$A$2:$A$26=MHT!A410,Raw!$D$2:$D$20)),""))</f>
        <v/>
      </c>
      <c r="E410" s="6" t="str">
        <f>IF(SUMIF(Raw!$A$2:$A$500, MHT!A410, Raw!$F$2:$F$500) = TIME(0,0,0), "", SUMIF(Raw!$A$2:$A$500, MHT!A410, Raw!$F$2:$F$500))</f>
        <v/>
      </c>
      <c r="F410" s="12" t="str">
        <f t="array" ref="F410">IF(A410="", "", IF(COUNTIF(Raw!$H$1:$I$500, A410) &gt; 0, "Done", IF(COUNTIF(Raw!$J$1:$J$500, A410) &gt; 0, "Pause", IF(COUNTIF(Raw!$K$1:$K$500, A410) &gt; 0, "On-Going", "Pause"))))</f>
        <v/>
      </c>
      <c r="G410" s="51"/>
      <c r="H410" s="50"/>
    </row>
    <row r="411" spans="1:8" x14ac:dyDescent="0.4">
      <c r="A411" s="61"/>
      <c r="B411" s="16" t="str">
        <f t="array" ref="B411">IFERROR(MIN(IF(Raw!$A$2:$A$26=MHT!A411,Raw!$B$2:$B$20)),"")</f>
        <v/>
      </c>
      <c r="C411" s="13" t="str">
        <f t="array" ref="C411">IFERROR(MIN(IF(Raw!$A$2:$A$26=MHT!A411,Raw!$C$2:$C$20)),"")</f>
        <v/>
      </c>
      <c r="D411" s="14" t="str">
        <f t="array" ref="D411">IF(Raw!D404="","",IFERROR(MAX(IF(Raw!$A$2:$A$26=MHT!A411,Raw!$D$2:$D$20)),""))</f>
        <v/>
      </c>
      <c r="E411" s="6" t="str">
        <f>IF(SUMIF(Raw!$A$2:$A$500, MHT!A411, Raw!$F$2:$F$500) = TIME(0,0,0), "", SUMIF(Raw!$A$2:$A$500, MHT!A411, Raw!$F$2:$F$500))</f>
        <v/>
      </c>
      <c r="F411" s="12" t="str">
        <f t="array" ref="F411">IF(A411="", "", IF(COUNTIF(Raw!$H$1:$I$500, A411) &gt; 0, "Done", IF(COUNTIF(Raw!$J$1:$J$500, A411) &gt; 0, "Pause", IF(COUNTIF(Raw!$K$1:$K$500, A411) &gt; 0, "On-Going", "Pause"))))</f>
        <v/>
      </c>
      <c r="G411" s="51"/>
      <c r="H411" s="50"/>
    </row>
    <row r="412" spans="1:8" x14ac:dyDescent="0.4">
      <c r="A412" s="61"/>
      <c r="B412" s="16" t="str">
        <f t="array" ref="B412">IFERROR(MIN(IF(Raw!$A$2:$A$26=MHT!A412,Raw!$B$2:$B$20)),"")</f>
        <v/>
      </c>
      <c r="C412" s="13" t="str">
        <f t="array" ref="C412">IFERROR(MIN(IF(Raw!$A$2:$A$26=MHT!A412,Raw!$C$2:$C$20)),"")</f>
        <v/>
      </c>
      <c r="D412" s="14" t="str">
        <f t="array" ref="D412">IF(Raw!D405="","",IFERROR(MAX(IF(Raw!$A$2:$A$26=MHT!A412,Raw!$D$2:$D$20)),""))</f>
        <v/>
      </c>
      <c r="E412" s="6" t="str">
        <f>IF(SUMIF(Raw!$A$2:$A$500, MHT!A412, Raw!$F$2:$F$500) = TIME(0,0,0), "", SUMIF(Raw!$A$2:$A$500, MHT!A412, Raw!$F$2:$F$500))</f>
        <v/>
      </c>
      <c r="F412" s="12" t="str">
        <f t="array" ref="F412">IF(A412="", "", IF(COUNTIF(Raw!$H$1:$I$500, A412) &gt; 0, "Done", IF(COUNTIF(Raw!$J$1:$J$500, A412) &gt; 0, "Pause", IF(COUNTIF(Raw!$K$1:$K$500, A412) &gt; 0, "On-Going", "Pause"))))</f>
        <v/>
      </c>
      <c r="G412" s="51"/>
      <c r="H412" s="50"/>
    </row>
    <row r="413" spans="1:8" x14ac:dyDescent="0.4">
      <c r="A413" s="61"/>
      <c r="B413" s="16" t="str">
        <f t="array" ref="B413">IFERROR(MIN(IF(Raw!$A$2:$A$26=MHT!A413,Raw!$B$2:$B$20)),"")</f>
        <v/>
      </c>
      <c r="C413" s="13" t="str">
        <f t="array" ref="C413">IFERROR(MIN(IF(Raw!$A$2:$A$26=MHT!A413,Raw!$C$2:$C$20)),"")</f>
        <v/>
      </c>
      <c r="D413" s="14" t="str">
        <f t="array" ref="D413">IF(Raw!D406="","",IFERROR(MAX(IF(Raw!$A$2:$A$26=MHT!A413,Raw!$D$2:$D$20)),""))</f>
        <v/>
      </c>
      <c r="E413" s="6" t="str">
        <f>IF(SUMIF(Raw!$A$2:$A$500, MHT!A413, Raw!$F$2:$F$500) = TIME(0,0,0), "", SUMIF(Raw!$A$2:$A$500, MHT!A413, Raw!$F$2:$F$500))</f>
        <v/>
      </c>
      <c r="F413" s="12" t="str">
        <f t="array" ref="F413">IF(A413="", "", IF(COUNTIF(Raw!$H$1:$I$500, A413) &gt; 0, "Done", IF(COUNTIF(Raw!$J$1:$J$500, A413) &gt; 0, "Pause", IF(COUNTIF(Raw!$K$1:$K$500, A413) &gt; 0, "On-Going", "Pause"))))</f>
        <v/>
      </c>
      <c r="G413" s="51"/>
      <c r="H413" s="50"/>
    </row>
    <row r="414" spans="1:8" x14ac:dyDescent="0.4">
      <c r="A414" s="61"/>
      <c r="B414" s="16" t="str">
        <f t="array" ref="B414">IFERROR(MIN(IF(Raw!$A$2:$A$26=MHT!A414,Raw!$B$2:$B$20)),"")</f>
        <v/>
      </c>
      <c r="C414" s="13" t="str">
        <f t="array" ref="C414">IFERROR(MIN(IF(Raw!$A$2:$A$26=MHT!A414,Raw!$C$2:$C$20)),"")</f>
        <v/>
      </c>
      <c r="D414" s="14" t="str">
        <f t="array" ref="D414">IF(Raw!D407="","",IFERROR(MAX(IF(Raw!$A$2:$A$26=MHT!A414,Raw!$D$2:$D$20)),""))</f>
        <v/>
      </c>
      <c r="E414" s="6" t="str">
        <f>IF(SUMIF(Raw!$A$2:$A$500, MHT!A414, Raw!$F$2:$F$500) = TIME(0,0,0), "", SUMIF(Raw!$A$2:$A$500, MHT!A414, Raw!$F$2:$F$500))</f>
        <v/>
      </c>
      <c r="F414" s="12" t="str">
        <f t="array" ref="F414">IF(A414="", "", IF(COUNTIF(Raw!$H$1:$I$500, A414) &gt; 0, "Done", IF(COUNTIF(Raw!$J$1:$J$500, A414) &gt; 0, "Pause", IF(COUNTIF(Raw!$K$1:$K$500, A414) &gt; 0, "On-Going", "Pause"))))</f>
        <v/>
      </c>
      <c r="G414" s="51"/>
      <c r="H414" s="50"/>
    </row>
    <row r="415" spans="1:8" x14ac:dyDescent="0.4">
      <c r="A415" s="61"/>
      <c r="B415" s="16" t="str">
        <f t="array" ref="B415">IFERROR(MIN(IF(Raw!$A$2:$A$26=MHT!A415,Raw!$B$2:$B$20)),"")</f>
        <v/>
      </c>
      <c r="C415" s="13" t="str">
        <f t="array" ref="C415">IFERROR(MIN(IF(Raw!$A$2:$A$26=MHT!A415,Raw!$C$2:$C$20)),"")</f>
        <v/>
      </c>
      <c r="D415" s="14" t="str">
        <f t="array" ref="D415">IF(Raw!D408="","",IFERROR(MAX(IF(Raw!$A$2:$A$26=MHT!A415,Raw!$D$2:$D$20)),""))</f>
        <v/>
      </c>
      <c r="E415" s="6" t="str">
        <f>IF(SUMIF(Raw!$A$2:$A$500, MHT!A415, Raw!$F$2:$F$500) = TIME(0,0,0), "", SUMIF(Raw!$A$2:$A$500, MHT!A415, Raw!$F$2:$F$500))</f>
        <v/>
      </c>
      <c r="F415" s="12" t="str">
        <f t="array" ref="F415">IF(A415="", "", IF(COUNTIF(Raw!$H$1:$I$500, A415) &gt; 0, "Done", IF(COUNTIF(Raw!$J$1:$J$500, A415) &gt; 0, "Pause", IF(COUNTIF(Raw!$K$1:$K$500, A415) &gt; 0, "On-Going", "Pause"))))</f>
        <v/>
      </c>
      <c r="G415" s="51"/>
      <c r="H415" s="50"/>
    </row>
    <row r="416" spans="1:8" x14ac:dyDescent="0.4">
      <c r="A416" s="61"/>
      <c r="B416" s="16" t="str">
        <f t="array" ref="B416">IFERROR(MIN(IF(Raw!$A$2:$A$26=MHT!A416,Raw!$B$2:$B$20)),"")</f>
        <v/>
      </c>
      <c r="C416" s="13" t="str">
        <f t="array" ref="C416">IFERROR(MIN(IF(Raw!$A$2:$A$26=MHT!A416,Raw!$C$2:$C$20)),"")</f>
        <v/>
      </c>
      <c r="D416" s="14" t="str">
        <f t="array" ref="D416">IF(Raw!D409="","",IFERROR(MAX(IF(Raw!$A$2:$A$26=MHT!A416,Raw!$D$2:$D$20)),""))</f>
        <v/>
      </c>
      <c r="E416" s="6" t="str">
        <f>IF(SUMIF(Raw!$A$2:$A$500, MHT!A416, Raw!$F$2:$F$500) = TIME(0,0,0), "", SUMIF(Raw!$A$2:$A$500, MHT!A416, Raw!$F$2:$F$500))</f>
        <v/>
      </c>
      <c r="F416" s="12" t="str">
        <f t="array" ref="F416">IF(A416="", "", IF(COUNTIF(Raw!$H$1:$I$500, A416) &gt; 0, "Done", IF(COUNTIF(Raw!$J$1:$J$500, A416) &gt; 0, "Pause", IF(COUNTIF(Raw!$K$1:$K$500, A416) &gt; 0, "On-Going", "Pause"))))</f>
        <v/>
      </c>
      <c r="G416" s="51"/>
      <c r="H416" s="50"/>
    </row>
    <row r="417" spans="1:8" x14ac:dyDescent="0.4">
      <c r="A417" s="61"/>
      <c r="B417" s="16" t="str">
        <f t="array" ref="B417">IFERROR(MIN(IF(Raw!$A$2:$A$26=MHT!A417,Raw!$B$2:$B$20)),"")</f>
        <v/>
      </c>
      <c r="C417" s="13" t="str">
        <f t="array" ref="C417">IFERROR(MIN(IF(Raw!$A$2:$A$26=MHT!A417,Raw!$C$2:$C$20)),"")</f>
        <v/>
      </c>
      <c r="D417" s="14" t="str">
        <f t="array" ref="D417">IF(Raw!D410="","",IFERROR(MAX(IF(Raw!$A$2:$A$26=MHT!A417,Raw!$D$2:$D$20)),""))</f>
        <v/>
      </c>
      <c r="E417" s="6" t="str">
        <f>IF(SUMIF(Raw!$A$2:$A$500, MHT!A417, Raw!$F$2:$F$500) = TIME(0,0,0), "", SUMIF(Raw!$A$2:$A$500, MHT!A417, Raw!$F$2:$F$500))</f>
        <v/>
      </c>
      <c r="F417" s="12" t="str">
        <f t="array" ref="F417">IF(A417="", "", IF(COUNTIF(Raw!$H$1:$I$500, A417) &gt; 0, "Done", IF(COUNTIF(Raw!$J$1:$J$500, A417) &gt; 0, "Pause", IF(COUNTIF(Raw!$K$1:$K$500, A417) &gt; 0, "On-Going", "Pause"))))</f>
        <v/>
      </c>
      <c r="G417" s="51"/>
      <c r="H417" s="50"/>
    </row>
    <row r="418" spans="1:8" x14ac:dyDescent="0.4">
      <c r="A418" s="61"/>
      <c r="B418" s="16" t="str">
        <f t="array" ref="B418">IFERROR(MIN(IF(Raw!$A$2:$A$26=MHT!A418,Raw!$B$2:$B$20)),"")</f>
        <v/>
      </c>
      <c r="C418" s="13" t="str">
        <f t="array" ref="C418">IFERROR(MIN(IF(Raw!$A$2:$A$26=MHT!A418,Raw!$C$2:$C$20)),"")</f>
        <v/>
      </c>
      <c r="D418" s="14" t="str">
        <f t="array" ref="D418">IF(Raw!D411="","",IFERROR(MAX(IF(Raw!$A$2:$A$26=MHT!A418,Raw!$D$2:$D$20)),""))</f>
        <v/>
      </c>
      <c r="E418" s="6" t="str">
        <f>IF(SUMIF(Raw!$A$2:$A$500, MHT!A418, Raw!$F$2:$F$500) = TIME(0,0,0), "", SUMIF(Raw!$A$2:$A$500, MHT!A418, Raw!$F$2:$F$500))</f>
        <v/>
      </c>
      <c r="F418" s="12" t="str">
        <f t="array" ref="F418">IF(A418="", "", IF(COUNTIF(Raw!$H$1:$I$500, A418) &gt; 0, "Done", IF(COUNTIF(Raw!$J$1:$J$500, A418) &gt; 0, "Pause", IF(COUNTIF(Raw!$K$1:$K$500, A418) &gt; 0, "On-Going", "Pause"))))</f>
        <v/>
      </c>
      <c r="G418" s="51"/>
      <c r="H418" s="50"/>
    </row>
    <row r="419" spans="1:8" x14ac:dyDescent="0.4">
      <c r="A419" s="61"/>
      <c r="B419" s="16" t="str">
        <f t="array" ref="B419">IFERROR(MIN(IF(Raw!$A$2:$A$26=MHT!A419,Raw!$B$2:$B$20)),"")</f>
        <v/>
      </c>
      <c r="C419" s="13" t="str">
        <f t="array" ref="C419">IFERROR(MIN(IF(Raw!$A$2:$A$26=MHT!A419,Raw!$C$2:$C$20)),"")</f>
        <v/>
      </c>
      <c r="D419" s="14" t="str">
        <f t="array" ref="D419">IF(Raw!D412="","",IFERROR(MAX(IF(Raw!$A$2:$A$26=MHT!A419,Raw!$D$2:$D$20)),""))</f>
        <v/>
      </c>
      <c r="E419" s="6" t="str">
        <f>IF(SUMIF(Raw!$A$2:$A$500, MHT!A419, Raw!$F$2:$F$500) = TIME(0,0,0), "", SUMIF(Raw!$A$2:$A$500, MHT!A419, Raw!$F$2:$F$500))</f>
        <v/>
      </c>
      <c r="F419" s="12" t="str">
        <f t="array" ref="F419">IF(A419="", "", IF(COUNTIF(Raw!$H$1:$I$500, A419) &gt; 0, "Done", IF(COUNTIF(Raw!$J$1:$J$500, A419) &gt; 0, "Pause", IF(COUNTIF(Raw!$K$1:$K$500, A419) &gt; 0, "On-Going", "Pause"))))</f>
        <v/>
      </c>
      <c r="G419" s="51"/>
      <c r="H419" s="50"/>
    </row>
    <row r="420" spans="1:8" x14ac:dyDescent="0.4">
      <c r="A420" s="61"/>
      <c r="B420" s="16" t="str">
        <f t="array" ref="B420">IFERROR(MIN(IF(Raw!$A$2:$A$26=MHT!A420,Raw!$B$2:$B$20)),"")</f>
        <v/>
      </c>
      <c r="C420" s="13" t="str">
        <f t="array" ref="C420">IFERROR(MIN(IF(Raw!$A$2:$A$26=MHT!A420,Raw!$C$2:$C$20)),"")</f>
        <v/>
      </c>
      <c r="D420" s="14" t="str">
        <f t="array" ref="D420">IF(Raw!D413="","",IFERROR(MAX(IF(Raw!$A$2:$A$26=MHT!A420,Raw!$D$2:$D$20)),""))</f>
        <v/>
      </c>
      <c r="E420" s="6" t="str">
        <f>IF(SUMIF(Raw!$A$2:$A$500, MHT!A420, Raw!$F$2:$F$500) = TIME(0,0,0), "", SUMIF(Raw!$A$2:$A$500, MHT!A420, Raw!$F$2:$F$500))</f>
        <v/>
      </c>
      <c r="F420" s="12" t="str">
        <f t="array" ref="F420">IF(A420="", "", IF(COUNTIF(Raw!$H$1:$I$500, A420) &gt; 0, "Done", IF(COUNTIF(Raw!$J$1:$J$500, A420) &gt; 0, "Pause", IF(COUNTIF(Raw!$K$1:$K$500, A420) &gt; 0, "On-Going", "Pause"))))</f>
        <v/>
      </c>
      <c r="G420" s="51"/>
      <c r="H420" s="50"/>
    </row>
    <row r="421" spans="1:8" x14ac:dyDescent="0.4">
      <c r="A421" s="61"/>
      <c r="B421" s="16" t="str">
        <f t="array" ref="B421">IFERROR(MIN(IF(Raw!$A$2:$A$26=MHT!A421,Raw!$B$2:$B$20)),"")</f>
        <v/>
      </c>
      <c r="C421" s="13" t="str">
        <f t="array" ref="C421">IFERROR(MIN(IF(Raw!$A$2:$A$26=MHT!A421,Raw!$C$2:$C$20)),"")</f>
        <v/>
      </c>
      <c r="D421" s="14" t="str">
        <f t="array" ref="D421">IF(Raw!D414="","",IFERROR(MAX(IF(Raw!$A$2:$A$26=MHT!A421,Raw!$D$2:$D$20)),""))</f>
        <v/>
      </c>
      <c r="E421" s="6" t="str">
        <f>IF(SUMIF(Raw!$A$2:$A$500, MHT!A421, Raw!$F$2:$F$500) = TIME(0,0,0), "", SUMIF(Raw!$A$2:$A$500, MHT!A421, Raw!$F$2:$F$500))</f>
        <v/>
      </c>
      <c r="F421" s="12" t="str">
        <f t="array" ref="F421">IF(A421="", "", IF(COUNTIF(Raw!$H$1:$I$500, A421) &gt; 0, "Done", IF(COUNTIF(Raw!$J$1:$J$500, A421) &gt; 0, "Pause", IF(COUNTIF(Raw!$K$1:$K$500, A421) &gt; 0, "On-Going", "Pause"))))</f>
        <v/>
      </c>
      <c r="G421" s="51"/>
      <c r="H421" s="50"/>
    </row>
    <row r="422" spans="1:8" x14ac:dyDescent="0.4">
      <c r="A422" s="61"/>
      <c r="B422" s="16" t="str">
        <f t="array" ref="B422">IFERROR(MIN(IF(Raw!$A$2:$A$26=MHT!A422,Raw!$B$2:$B$20)),"")</f>
        <v/>
      </c>
      <c r="C422" s="13" t="str">
        <f t="array" ref="C422">IFERROR(MIN(IF(Raw!$A$2:$A$26=MHT!A422,Raw!$C$2:$C$20)),"")</f>
        <v/>
      </c>
      <c r="D422" s="14" t="str">
        <f t="array" ref="D422">IF(Raw!D415="","",IFERROR(MAX(IF(Raw!$A$2:$A$26=MHT!A422,Raw!$D$2:$D$20)),""))</f>
        <v/>
      </c>
      <c r="E422" s="6" t="str">
        <f>IF(SUMIF(Raw!$A$2:$A$500, MHT!A422, Raw!$F$2:$F$500) = TIME(0,0,0), "", SUMIF(Raw!$A$2:$A$500, MHT!A422, Raw!$F$2:$F$500))</f>
        <v/>
      </c>
      <c r="F422" s="12" t="str">
        <f t="array" ref="F422">IF(A422="", "", IF(COUNTIF(Raw!$H$1:$I$500, A422) &gt; 0, "Done", IF(COUNTIF(Raw!$J$1:$J$500, A422) &gt; 0, "Pause", IF(COUNTIF(Raw!$K$1:$K$500, A422) &gt; 0, "On-Going", "Pause"))))</f>
        <v/>
      </c>
      <c r="G422" s="51"/>
      <c r="H422" s="50"/>
    </row>
    <row r="423" spans="1:8" x14ac:dyDescent="0.4">
      <c r="A423" s="61"/>
      <c r="B423" s="16" t="str">
        <f t="array" ref="B423">IFERROR(MIN(IF(Raw!$A$2:$A$26=MHT!A423,Raw!$B$2:$B$20)),"")</f>
        <v/>
      </c>
      <c r="C423" s="13" t="str">
        <f t="array" ref="C423">IFERROR(MIN(IF(Raw!$A$2:$A$26=MHT!A423,Raw!$C$2:$C$20)),"")</f>
        <v/>
      </c>
      <c r="D423" s="14" t="str">
        <f t="array" ref="D423">IF(Raw!D416="","",IFERROR(MAX(IF(Raw!$A$2:$A$26=MHT!A423,Raw!$D$2:$D$20)),""))</f>
        <v/>
      </c>
      <c r="E423" s="6" t="str">
        <f>IF(SUMIF(Raw!$A$2:$A$500, MHT!A423, Raw!$F$2:$F$500) = TIME(0,0,0), "", SUMIF(Raw!$A$2:$A$500, MHT!A423, Raw!$F$2:$F$500))</f>
        <v/>
      </c>
      <c r="F423" s="12" t="str">
        <f t="array" ref="F423">IF(A423="", "", IF(COUNTIF(Raw!$H$1:$I$500, A423) &gt; 0, "Done", IF(COUNTIF(Raw!$J$1:$J$500, A423) &gt; 0, "Pause", IF(COUNTIF(Raw!$K$1:$K$500, A423) &gt; 0, "On-Going", "Pause"))))</f>
        <v/>
      </c>
      <c r="G423" s="51"/>
      <c r="H423" s="50"/>
    </row>
    <row r="424" spans="1:8" x14ac:dyDescent="0.4">
      <c r="A424" s="61"/>
      <c r="B424" s="16" t="str">
        <f t="array" ref="B424">IFERROR(MIN(IF(Raw!$A$2:$A$26=MHT!A424,Raw!$B$2:$B$20)),"")</f>
        <v/>
      </c>
      <c r="C424" s="13" t="str">
        <f t="array" ref="C424">IFERROR(MIN(IF(Raw!$A$2:$A$26=MHT!A424,Raw!$C$2:$C$20)),"")</f>
        <v/>
      </c>
      <c r="D424" s="14" t="str">
        <f t="array" ref="D424">IF(Raw!D417="","",IFERROR(MAX(IF(Raw!$A$2:$A$26=MHT!A424,Raw!$D$2:$D$20)),""))</f>
        <v/>
      </c>
      <c r="E424" s="6" t="str">
        <f>IF(SUMIF(Raw!$A$2:$A$500, MHT!A424, Raw!$F$2:$F$500) = TIME(0,0,0), "", SUMIF(Raw!$A$2:$A$500, MHT!A424, Raw!$F$2:$F$500))</f>
        <v/>
      </c>
      <c r="F424" s="12" t="str">
        <f t="array" ref="F424">IF(A424="", "", IF(COUNTIF(Raw!$H$1:$I$500, A424) &gt; 0, "Done", IF(COUNTIF(Raw!$J$1:$J$500, A424) &gt; 0, "Pause", IF(COUNTIF(Raw!$K$1:$K$500, A424) &gt; 0, "On-Going", "Pause"))))</f>
        <v/>
      </c>
      <c r="G424" s="51"/>
      <c r="H424" s="50"/>
    </row>
    <row r="425" spans="1:8" x14ac:dyDescent="0.4">
      <c r="A425" s="61"/>
      <c r="B425" s="16" t="str">
        <f t="array" ref="B425">IFERROR(MIN(IF(Raw!$A$2:$A$26=MHT!A425,Raw!$B$2:$B$20)),"")</f>
        <v/>
      </c>
      <c r="C425" s="13" t="str">
        <f t="array" ref="C425">IFERROR(MIN(IF(Raw!$A$2:$A$26=MHT!A425,Raw!$C$2:$C$20)),"")</f>
        <v/>
      </c>
      <c r="D425" s="14" t="str">
        <f t="array" ref="D425">IF(Raw!D418="","",IFERROR(MAX(IF(Raw!$A$2:$A$26=MHT!A425,Raw!$D$2:$D$20)),""))</f>
        <v/>
      </c>
      <c r="E425" s="6" t="str">
        <f>IF(SUMIF(Raw!$A$2:$A$500, MHT!A425, Raw!$F$2:$F$500) = TIME(0,0,0), "", SUMIF(Raw!$A$2:$A$500, MHT!A425, Raw!$F$2:$F$500))</f>
        <v/>
      </c>
      <c r="F425" s="12" t="str">
        <f t="array" ref="F425">IF(A425="", "", IF(COUNTIF(Raw!$H$1:$I$500, A425) &gt; 0, "Done", IF(COUNTIF(Raw!$J$1:$J$500, A425) &gt; 0, "Pause", IF(COUNTIF(Raw!$K$1:$K$500, A425) &gt; 0, "On-Going", "Pause"))))</f>
        <v/>
      </c>
      <c r="G425" s="51"/>
      <c r="H425" s="50"/>
    </row>
    <row r="426" spans="1:8" x14ac:dyDescent="0.4">
      <c r="A426" s="61"/>
      <c r="B426" s="16" t="str">
        <f t="array" ref="B426">IFERROR(MIN(IF(Raw!$A$2:$A$26=MHT!A426,Raw!$B$2:$B$20)),"")</f>
        <v/>
      </c>
      <c r="C426" s="13" t="str">
        <f t="array" ref="C426">IFERROR(MIN(IF(Raw!$A$2:$A$26=MHT!A426,Raw!$C$2:$C$20)),"")</f>
        <v/>
      </c>
      <c r="D426" s="14" t="str">
        <f t="array" ref="D426">IF(Raw!D419="","",IFERROR(MAX(IF(Raw!$A$2:$A$26=MHT!A426,Raw!$D$2:$D$20)),""))</f>
        <v/>
      </c>
      <c r="E426" s="6" t="str">
        <f>IF(SUMIF(Raw!$A$2:$A$500, MHT!A426, Raw!$F$2:$F$500) = TIME(0,0,0), "", SUMIF(Raw!$A$2:$A$500, MHT!A426, Raw!$F$2:$F$500))</f>
        <v/>
      </c>
      <c r="F426" s="12" t="str">
        <f t="array" ref="F426">IF(A426="", "", IF(COUNTIF(Raw!$H$1:$I$500, A426) &gt; 0, "Done", IF(COUNTIF(Raw!$J$1:$J$500, A426) &gt; 0, "Pause", IF(COUNTIF(Raw!$K$1:$K$500, A426) &gt; 0, "On-Going", "Pause"))))</f>
        <v/>
      </c>
      <c r="G426" s="51"/>
      <c r="H426" s="50"/>
    </row>
    <row r="427" spans="1:8" x14ac:dyDescent="0.4">
      <c r="A427" s="61"/>
      <c r="B427" s="16" t="str">
        <f t="array" ref="B427">IFERROR(MIN(IF(Raw!$A$2:$A$26=MHT!A427,Raw!$B$2:$B$20)),"")</f>
        <v/>
      </c>
      <c r="C427" s="13" t="str">
        <f t="array" ref="C427">IFERROR(MIN(IF(Raw!$A$2:$A$26=MHT!A427,Raw!$C$2:$C$20)),"")</f>
        <v/>
      </c>
      <c r="D427" s="14" t="str">
        <f t="array" ref="D427">IF(Raw!D420="","",IFERROR(MAX(IF(Raw!$A$2:$A$26=MHT!A427,Raw!$D$2:$D$20)),""))</f>
        <v/>
      </c>
      <c r="E427" s="6" t="str">
        <f>IF(SUMIF(Raw!$A$2:$A$500, MHT!A427, Raw!$F$2:$F$500) = TIME(0,0,0), "", SUMIF(Raw!$A$2:$A$500, MHT!A427, Raw!$F$2:$F$500))</f>
        <v/>
      </c>
      <c r="F427" s="12" t="str">
        <f t="array" ref="F427">IF(A427="", "", IF(COUNTIF(Raw!$H$1:$I$500, A427) &gt; 0, "Done", IF(COUNTIF(Raw!$J$1:$J$500, A427) &gt; 0, "Pause", IF(COUNTIF(Raw!$K$1:$K$500, A427) &gt; 0, "On-Going", "Pause"))))</f>
        <v/>
      </c>
      <c r="G427" s="51"/>
      <c r="H427" s="50"/>
    </row>
    <row r="428" spans="1:8" x14ac:dyDescent="0.4">
      <c r="A428" s="61"/>
      <c r="B428" s="16" t="str">
        <f t="array" ref="B428">IFERROR(MIN(IF(Raw!$A$2:$A$26=MHT!A428,Raw!$B$2:$B$20)),"")</f>
        <v/>
      </c>
      <c r="C428" s="13" t="str">
        <f t="array" ref="C428">IFERROR(MIN(IF(Raw!$A$2:$A$26=MHT!A428,Raw!$C$2:$C$20)),"")</f>
        <v/>
      </c>
      <c r="D428" s="14" t="str">
        <f t="array" ref="D428">IF(Raw!D421="","",IFERROR(MAX(IF(Raw!$A$2:$A$26=MHT!A428,Raw!$D$2:$D$20)),""))</f>
        <v/>
      </c>
      <c r="E428" s="6" t="str">
        <f>IF(SUMIF(Raw!$A$2:$A$500, MHT!A428, Raw!$F$2:$F$500) = TIME(0,0,0), "", SUMIF(Raw!$A$2:$A$500, MHT!A428, Raw!$F$2:$F$500))</f>
        <v/>
      </c>
      <c r="F428" s="12" t="str">
        <f t="array" ref="F428">IF(A428="", "", IF(COUNTIF(Raw!$H$1:$I$500, A428) &gt; 0, "Done", IF(COUNTIF(Raw!$J$1:$J$500, A428) &gt; 0, "Pause", IF(COUNTIF(Raw!$K$1:$K$500, A428) &gt; 0, "On-Going", "Pause"))))</f>
        <v/>
      </c>
      <c r="G428" s="51"/>
      <c r="H428" s="50"/>
    </row>
    <row r="429" spans="1:8" x14ac:dyDescent="0.4">
      <c r="A429" s="61"/>
      <c r="B429" s="16" t="str">
        <f t="array" ref="B429">IFERROR(MIN(IF(Raw!$A$2:$A$26=MHT!A429,Raw!$B$2:$B$20)),"")</f>
        <v/>
      </c>
      <c r="C429" s="13" t="str">
        <f t="array" ref="C429">IFERROR(MIN(IF(Raw!$A$2:$A$26=MHT!A429,Raw!$C$2:$C$20)),"")</f>
        <v/>
      </c>
      <c r="D429" s="14" t="str">
        <f t="array" ref="D429">IF(Raw!D422="","",IFERROR(MAX(IF(Raw!$A$2:$A$26=MHT!A429,Raw!$D$2:$D$20)),""))</f>
        <v/>
      </c>
      <c r="E429" s="6" t="str">
        <f>IF(SUMIF(Raw!$A$2:$A$500, MHT!A429, Raw!$F$2:$F$500) = TIME(0,0,0), "", SUMIF(Raw!$A$2:$A$500, MHT!A429, Raw!$F$2:$F$500))</f>
        <v/>
      </c>
      <c r="F429" s="12" t="str">
        <f t="array" ref="F429">IF(A429="", "", IF(COUNTIF(Raw!$H$1:$I$500, A429) &gt; 0, "Done", IF(COUNTIF(Raw!$J$1:$J$500, A429) &gt; 0, "Pause", IF(COUNTIF(Raw!$K$1:$K$500, A429) &gt; 0, "On-Going", "Pause"))))</f>
        <v/>
      </c>
      <c r="G429" s="51"/>
      <c r="H429" s="50"/>
    </row>
    <row r="430" spans="1:8" x14ac:dyDescent="0.4">
      <c r="A430" s="61"/>
      <c r="B430" s="16" t="str">
        <f t="array" ref="B430">IFERROR(MIN(IF(Raw!$A$2:$A$26=MHT!A430,Raw!$B$2:$B$20)),"")</f>
        <v/>
      </c>
      <c r="C430" s="13" t="str">
        <f t="array" ref="C430">IFERROR(MIN(IF(Raw!$A$2:$A$26=MHT!A430,Raw!$C$2:$C$20)),"")</f>
        <v/>
      </c>
      <c r="D430" s="14" t="str">
        <f t="array" ref="D430">IF(Raw!D423="","",IFERROR(MAX(IF(Raw!$A$2:$A$26=MHT!A430,Raw!$D$2:$D$20)),""))</f>
        <v/>
      </c>
      <c r="E430" s="6" t="str">
        <f>IF(SUMIF(Raw!$A$2:$A$500, MHT!A430, Raw!$F$2:$F$500) = TIME(0,0,0), "", SUMIF(Raw!$A$2:$A$500, MHT!A430, Raw!$F$2:$F$500))</f>
        <v/>
      </c>
      <c r="F430" s="12" t="str">
        <f t="array" ref="F430">IF(A430="", "", IF(COUNTIF(Raw!$H$1:$I$500, A430) &gt; 0, "Done", IF(COUNTIF(Raw!$J$1:$J$500, A430) &gt; 0, "Pause", IF(COUNTIF(Raw!$K$1:$K$500, A430) &gt; 0, "On-Going", "Pause"))))</f>
        <v/>
      </c>
      <c r="G430" s="51"/>
      <c r="H430" s="50"/>
    </row>
    <row r="431" spans="1:8" x14ac:dyDescent="0.4">
      <c r="A431" s="61"/>
      <c r="B431" s="16" t="str">
        <f t="array" ref="B431">IFERROR(MIN(IF(Raw!$A$2:$A$26=MHT!A431,Raw!$B$2:$B$20)),"")</f>
        <v/>
      </c>
      <c r="C431" s="13" t="str">
        <f t="array" ref="C431">IFERROR(MIN(IF(Raw!$A$2:$A$26=MHT!A431,Raw!$C$2:$C$20)),"")</f>
        <v/>
      </c>
      <c r="D431" s="14" t="str">
        <f t="array" ref="D431">IF(Raw!D424="","",IFERROR(MAX(IF(Raw!$A$2:$A$26=MHT!A431,Raw!$D$2:$D$20)),""))</f>
        <v/>
      </c>
      <c r="E431" s="6" t="str">
        <f>IF(SUMIF(Raw!$A$2:$A$500, MHT!A431, Raw!$F$2:$F$500) = TIME(0,0,0), "", SUMIF(Raw!$A$2:$A$500, MHT!A431, Raw!$F$2:$F$500))</f>
        <v/>
      </c>
      <c r="F431" s="12" t="str">
        <f t="array" ref="F431">IF(A431="", "", IF(COUNTIF(Raw!$H$1:$I$500, A431) &gt; 0, "Done", IF(COUNTIF(Raw!$J$1:$J$500, A431) &gt; 0, "Pause", IF(COUNTIF(Raw!$K$1:$K$500, A431) &gt; 0, "On-Going", "Pause"))))</f>
        <v/>
      </c>
      <c r="G431" s="51"/>
      <c r="H431" s="50"/>
    </row>
    <row r="432" spans="1:8" x14ac:dyDescent="0.4">
      <c r="A432" s="61"/>
      <c r="B432" s="16" t="str">
        <f t="array" ref="B432">IFERROR(MIN(IF(Raw!$A$2:$A$26=MHT!A432,Raw!$B$2:$B$20)),"")</f>
        <v/>
      </c>
      <c r="C432" s="13" t="str">
        <f t="array" ref="C432">IFERROR(MIN(IF(Raw!$A$2:$A$26=MHT!A432,Raw!$C$2:$C$20)),"")</f>
        <v/>
      </c>
      <c r="D432" s="14" t="str">
        <f t="array" ref="D432">IF(Raw!D425="","",IFERROR(MAX(IF(Raw!$A$2:$A$26=MHT!A432,Raw!$D$2:$D$20)),""))</f>
        <v/>
      </c>
      <c r="E432" s="6" t="str">
        <f>IF(SUMIF(Raw!$A$2:$A$500, MHT!A432, Raw!$F$2:$F$500) = TIME(0,0,0), "", SUMIF(Raw!$A$2:$A$500, MHT!A432, Raw!$F$2:$F$500))</f>
        <v/>
      </c>
      <c r="F432" s="12" t="str">
        <f t="array" ref="F432">IF(A432="", "", IF(COUNTIF(Raw!$H$1:$I$500, A432) &gt; 0, "Done", IF(COUNTIF(Raw!$J$1:$J$500, A432) &gt; 0, "Pause", IF(COUNTIF(Raw!$K$1:$K$500, A432) &gt; 0, "On-Going", "Pause"))))</f>
        <v/>
      </c>
      <c r="G432" s="51"/>
      <c r="H432" s="50"/>
    </row>
    <row r="433" spans="1:8" x14ac:dyDescent="0.4">
      <c r="A433" s="61"/>
      <c r="B433" s="16" t="str">
        <f t="array" ref="B433">IFERROR(MIN(IF(Raw!$A$2:$A$26=MHT!A433,Raw!$B$2:$B$20)),"")</f>
        <v/>
      </c>
      <c r="C433" s="13" t="str">
        <f t="array" ref="C433">IFERROR(MIN(IF(Raw!$A$2:$A$26=MHT!A433,Raw!$C$2:$C$20)),"")</f>
        <v/>
      </c>
      <c r="D433" s="14" t="str">
        <f t="array" ref="D433">IF(Raw!D426="","",IFERROR(MAX(IF(Raw!$A$2:$A$26=MHT!A433,Raw!$D$2:$D$20)),""))</f>
        <v/>
      </c>
      <c r="E433" s="6" t="str">
        <f>IF(SUMIF(Raw!$A$2:$A$500, MHT!A433, Raw!$F$2:$F$500) = TIME(0,0,0), "", SUMIF(Raw!$A$2:$A$500, MHT!A433, Raw!$F$2:$F$500))</f>
        <v/>
      </c>
      <c r="F433" s="12" t="str">
        <f t="array" ref="F433">IF(A433="", "", IF(COUNTIF(Raw!$H$1:$I$500, A433) &gt; 0, "Done", IF(COUNTIF(Raw!$J$1:$J$500, A433) &gt; 0, "Pause", IF(COUNTIF(Raw!$K$1:$K$500, A433) &gt; 0, "On-Going", "Pause"))))</f>
        <v/>
      </c>
      <c r="G433" s="51"/>
      <c r="H433" s="50"/>
    </row>
    <row r="434" spans="1:8" x14ac:dyDescent="0.4">
      <c r="A434" s="61"/>
      <c r="B434" s="16" t="str">
        <f t="array" ref="B434">IFERROR(MIN(IF(Raw!$A$2:$A$26=MHT!A434,Raw!$B$2:$B$20)),"")</f>
        <v/>
      </c>
      <c r="C434" s="13" t="str">
        <f t="array" ref="C434">IFERROR(MIN(IF(Raw!$A$2:$A$26=MHT!A434,Raw!$C$2:$C$20)),"")</f>
        <v/>
      </c>
      <c r="D434" s="14" t="str">
        <f t="array" ref="D434">IF(Raw!D427="","",IFERROR(MAX(IF(Raw!$A$2:$A$26=MHT!A434,Raw!$D$2:$D$20)),""))</f>
        <v/>
      </c>
      <c r="E434" s="6" t="str">
        <f>IF(SUMIF(Raw!$A$2:$A$500, MHT!A434, Raw!$F$2:$F$500) = TIME(0,0,0), "", SUMIF(Raw!$A$2:$A$500, MHT!A434, Raw!$F$2:$F$500))</f>
        <v/>
      </c>
      <c r="F434" s="12" t="str">
        <f t="array" ref="F434">IF(A434="", "", IF(COUNTIF(Raw!$H$1:$I$500, A434) &gt; 0, "Done", IF(COUNTIF(Raw!$J$1:$J$500, A434) &gt; 0, "Pause", IF(COUNTIF(Raw!$K$1:$K$500, A434) &gt; 0, "On-Going", "Pause"))))</f>
        <v/>
      </c>
      <c r="G434" s="51"/>
      <c r="H434" s="50"/>
    </row>
    <row r="435" spans="1:8" x14ac:dyDescent="0.4">
      <c r="A435" s="61"/>
      <c r="B435" s="16" t="str">
        <f t="array" ref="B435">IFERROR(MIN(IF(Raw!$A$2:$A$26=MHT!A435,Raw!$B$2:$B$20)),"")</f>
        <v/>
      </c>
      <c r="C435" s="13" t="str">
        <f t="array" ref="C435">IFERROR(MIN(IF(Raw!$A$2:$A$26=MHT!A435,Raw!$C$2:$C$20)),"")</f>
        <v/>
      </c>
      <c r="D435" s="14" t="str">
        <f t="array" ref="D435">IF(Raw!D428="","",IFERROR(MAX(IF(Raw!$A$2:$A$26=MHT!A435,Raw!$D$2:$D$20)),""))</f>
        <v/>
      </c>
      <c r="E435" s="6" t="str">
        <f>IF(SUMIF(Raw!$A$2:$A$500, MHT!A435, Raw!$F$2:$F$500) = TIME(0,0,0), "", SUMIF(Raw!$A$2:$A$500, MHT!A435, Raw!$F$2:$F$500))</f>
        <v/>
      </c>
      <c r="F435" s="12" t="str">
        <f t="array" ref="F435">IF(A435="", "", IF(COUNTIF(Raw!$H$1:$I$500, A435) &gt; 0, "Done", IF(COUNTIF(Raw!$J$1:$J$500, A435) &gt; 0, "Pause", IF(COUNTIF(Raw!$K$1:$K$500, A435) &gt; 0, "On-Going", "Pause"))))</f>
        <v/>
      </c>
      <c r="G435" s="51"/>
      <c r="H435" s="50"/>
    </row>
    <row r="436" spans="1:8" x14ac:dyDescent="0.4">
      <c r="A436" s="61"/>
      <c r="B436" s="16" t="str">
        <f t="array" ref="B436">IFERROR(MIN(IF(Raw!$A$2:$A$26=MHT!A436,Raw!$B$2:$B$20)),"")</f>
        <v/>
      </c>
      <c r="C436" s="13" t="str">
        <f t="array" ref="C436">IFERROR(MIN(IF(Raw!$A$2:$A$26=MHT!A436,Raw!$C$2:$C$20)),"")</f>
        <v/>
      </c>
      <c r="D436" s="14" t="str">
        <f t="array" ref="D436">IF(Raw!D429="","",IFERROR(MAX(IF(Raw!$A$2:$A$26=MHT!A436,Raw!$D$2:$D$20)),""))</f>
        <v/>
      </c>
      <c r="E436" s="6" t="str">
        <f>IF(SUMIF(Raw!$A$2:$A$500, MHT!A436, Raw!$F$2:$F$500) = TIME(0,0,0), "", SUMIF(Raw!$A$2:$A$500, MHT!A436, Raw!$F$2:$F$500))</f>
        <v/>
      </c>
      <c r="F436" s="12" t="str">
        <f t="array" ref="F436">IF(A436="", "", IF(COUNTIF(Raw!$H$1:$I$500, A436) &gt; 0, "Done", IF(COUNTIF(Raw!$J$1:$J$500, A436) &gt; 0, "Pause", IF(COUNTIF(Raw!$K$1:$K$500, A436) &gt; 0, "On-Going", "Pause"))))</f>
        <v/>
      </c>
      <c r="G436" s="51"/>
      <c r="H436" s="50"/>
    </row>
    <row r="437" spans="1:8" x14ac:dyDescent="0.4">
      <c r="A437" s="61"/>
      <c r="B437" s="16" t="str">
        <f t="array" ref="B437">IFERROR(MIN(IF(Raw!$A$2:$A$26=MHT!A437,Raw!$B$2:$B$20)),"")</f>
        <v/>
      </c>
      <c r="C437" s="13" t="str">
        <f t="array" ref="C437">IFERROR(MIN(IF(Raw!$A$2:$A$26=MHT!A437,Raw!$C$2:$C$20)),"")</f>
        <v/>
      </c>
      <c r="D437" s="14" t="str">
        <f t="array" ref="D437">IF(Raw!D430="","",IFERROR(MAX(IF(Raw!$A$2:$A$26=MHT!A437,Raw!$D$2:$D$20)),""))</f>
        <v/>
      </c>
      <c r="E437" s="6" t="str">
        <f>IF(SUMIF(Raw!$A$2:$A$500, MHT!A437, Raw!$F$2:$F$500) = TIME(0,0,0), "", SUMIF(Raw!$A$2:$A$500, MHT!A437, Raw!$F$2:$F$500))</f>
        <v/>
      </c>
      <c r="F437" s="12" t="str">
        <f t="array" ref="F437">IF(A437="", "", IF(COUNTIF(Raw!$H$1:$I$500, A437) &gt; 0, "Done", IF(COUNTIF(Raw!$J$1:$J$500, A437) &gt; 0, "Pause", IF(COUNTIF(Raw!$K$1:$K$500, A437) &gt; 0, "On-Going", "Pause"))))</f>
        <v/>
      </c>
      <c r="G437" s="51"/>
      <c r="H437" s="50"/>
    </row>
    <row r="438" spans="1:8" x14ac:dyDescent="0.4">
      <c r="A438" s="61"/>
      <c r="B438" s="16" t="str">
        <f t="array" ref="B438">IFERROR(MIN(IF(Raw!$A$2:$A$26=MHT!A438,Raw!$B$2:$B$20)),"")</f>
        <v/>
      </c>
      <c r="C438" s="13" t="str">
        <f t="array" ref="C438">IFERROR(MIN(IF(Raw!$A$2:$A$26=MHT!A438,Raw!$C$2:$C$20)),"")</f>
        <v/>
      </c>
      <c r="D438" s="14" t="str">
        <f t="array" ref="D438">IF(Raw!D431="","",IFERROR(MAX(IF(Raw!$A$2:$A$26=MHT!A438,Raw!$D$2:$D$20)),""))</f>
        <v/>
      </c>
      <c r="E438" s="6" t="str">
        <f>IF(SUMIF(Raw!$A$2:$A$500, MHT!A438, Raw!$F$2:$F$500) = TIME(0,0,0), "", SUMIF(Raw!$A$2:$A$500, MHT!A438, Raw!$F$2:$F$500))</f>
        <v/>
      </c>
      <c r="F438" s="12" t="str">
        <f t="array" ref="F438">IF(A438="", "", IF(COUNTIF(Raw!$H$1:$I$500, A438) &gt; 0, "Done", IF(COUNTIF(Raw!$J$1:$J$500, A438) &gt; 0, "Pause", IF(COUNTIF(Raw!$K$1:$K$500, A438) &gt; 0, "On-Going", "Pause"))))</f>
        <v/>
      </c>
      <c r="G438" s="51"/>
      <c r="H438" s="50"/>
    </row>
    <row r="439" spans="1:8" x14ac:dyDescent="0.4">
      <c r="A439" s="61"/>
      <c r="B439" s="16" t="str">
        <f t="array" ref="B439">IFERROR(MIN(IF(Raw!$A$2:$A$26=MHT!A439,Raw!$B$2:$B$20)),"")</f>
        <v/>
      </c>
      <c r="C439" s="13" t="str">
        <f t="array" ref="C439">IFERROR(MIN(IF(Raw!$A$2:$A$26=MHT!A439,Raw!$C$2:$C$20)),"")</f>
        <v/>
      </c>
      <c r="D439" s="14" t="str">
        <f t="array" ref="D439">IF(Raw!D432="","",IFERROR(MAX(IF(Raw!$A$2:$A$26=MHT!A439,Raw!$D$2:$D$20)),""))</f>
        <v/>
      </c>
      <c r="E439" s="6" t="str">
        <f>IF(SUMIF(Raw!$A$2:$A$500, MHT!A439, Raw!$F$2:$F$500) = TIME(0,0,0), "", SUMIF(Raw!$A$2:$A$500, MHT!A439, Raw!$F$2:$F$500))</f>
        <v/>
      </c>
      <c r="F439" s="12" t="str">
        <f t="array" ref="F439">IF(A439="", "", IF(COUNTIF(Raw!$H$1:$I$500, A439) &gt; 0, "Done", IF(COUNTIF(Raw!$J$1:$J$500, A439) &gt; 0, "Pause", IF(COUNTIF(Raw!$K$1:$K$500, A439) &gt; 0, "On-Going", "Pause"))))</f>
        <v/>
      </c>
      <c r="G439" s="51"/>
      <c r="H439" s="50"/>
    </row>
    <row r="440" spans="1:8" x14ac:dyDescent="0.4">
      <c r="A440" s="61"/>
      <c r="B440" s="16" t="str">
        <f t="array" ref="B440">IFERROR(MIN(IF(Raw!$A$2:$A$26=MHT!A440,Raw!$B$2:$B$20)),"")</f>
        <v/>
      </c>
      <c r="C440" s="13" t="str">
        <f t="array" ref="C440">IFERROR(MIN(IF(Raw!$A$2:$A$26=MHT!A440,Raw!$C$2:$C$20)),"")</f>
        <v/>
      </c>
      <c r="D440" s="14" t="str">
        <f t="array" ref="D440">IF(Raw!D433="","",IFERROR(MAX(IF(Raw!$A$2:$A$26=MHT!A440,Raw!$D$2:$D$20)),""))</f>
        <v/>
      </c>
      <c r="E440" s="6" t="str">
        <f>IF(SUMIF(Raw!$A$2:$A$500, MHT!A440, Raw!$F$2:$F$500) = TIME(0,0,0), "", SUMIF(Raw!$A$2:$A$500, MHT!A440, Raw!$F$2:$F$500))</f>
        <v/>
      </c>
      <c r="F440" s="12" t="str">
        <f t="array" ref="F440">IF(A440="", "", IF(COUNTIF(Raw!$H$1:$I$500, A440) &gt; 0, "Done", IF(COUNTIF(Raw!$J$1:$J$500, A440) &gt; 0, "Pause", IF(COUNTIF(Raw!$K$1:$K$500, A440) &gt; 0, "On-Going", "Pause"))))</f>
        <v/>
      </c>
      <c r="G440" s="51"/>
      <c r="H440" s="50"/>
    </row>
    <row r="441" spans="1:8" x14ac:dyDescent="0.4">
      <c r="A441" s="61"/>
      <c r="B441" s="16" t="str">
        <f t="array" ref="B441">IFERROR(MIN(IF(Raw!$A$2:$A$26=MHT!A441,Raw!$B$2:$B$20)),"")</f>
        <v/>
      </c>
      <c r="C441" s="13" t="str">
        <f t="array" ref="C441">IFERROR(MIN(IF(Raw!$A$2:$A$26=MHT!A441,Raw!$C$2:$C$20)),"")</f>
        <v/>
      </c>
      <c r="D441" s="14" t="str">
        <f t="array" ref="D441">IF(Raw!D434="","",IFERROR(MAX(IF(Raw!$A$2:$A$26=MHT!A441,Raw!$D$2:$D$20)),""))</f>
        <v/>
      </c>
      <c r="E441" s="6" t="str">
        <f>IF(SUMIF(Raw!$A$2:$A$500, MHT!A441, Raw!$F$2:$F$500) = TIME(0,0,0), "", SUMIF(Raw!$A$2:$A$500, MHT!A441, Raw!$F$2:$F$500))</f>
        <v/>
      </c>
      <c r="F441" s="12" t="str">
        <f t="array" ref="F441">IF(A441="", "", IF(COUNTIF(Raw!$H$1:$I$500, A441) &gt; 0, "Done", IF(COUNTIF(Raw!$J$1:$J$500, A441) &gt; 0, "Pause", IF(COUNTIF(Raw!$K$1:$K$500, A441) &gt; 0, "On-Going", "Pause"))))</f>
        <v/>
      </c>
      <c r="G441" s="51"/>
      <c r="H441" s="50"/>
    </row>
    <row r="442" spans="1:8" x14ac:dyDescent="0.4">
      <c r="A442" s="61"/>
      <c r="B442" s="16" t="str">
        <f t="array" ref="B442">IFERROR(MIN(IF(Raw!$A$2:$A$26=MHT!A442,Raw!$B$2:$B$20)),"")</f>
        <v/>
      </c>
      <c r="C442" s="13" t="str">
        <f t="array" ref="C442">IFERROR(MIN(IF(Raw!$A$2:$A$26=MHT!A442,Raw!$C$2:$C$20)),"")</f>
        <v/>
      </c>
      <c r="D442" s="14" t="str">
        <f t="array" ref="D442">IF(Raw!D435="","",IFERROR(MAX(IF(Raw!$A$2:$A$26=MHT!A442,Raw!$D$2:$D$20)),""))</f>
        <v/>
      </c>
      <c r="E442" s="6" t="str">
        <f>IF(SUMIF(Raw!$A$2:$A$500, MHT!A442, Raw!$F$2:$F$500) = TIME(0,0,0), "", SUMIF(Raw!$A$2:$A$500, MHT!A442, Raw!$F$2:$F$500))</f>
        <v/>
      </c>
      <c r="F442" s="12" t="str">
        <f t="array" ref="F442">IF(A442="", "", IF(COUNTIF(Raw!$H$1:$I$500, A442) &gt; 0, "Done", IF(COUNTIF(Raw!$J$1:$J$500, A442) &gt; 0, "Pause", IF(COUNTIF(Raw!$K$1:$K$500, A442) &gt; 0, "On-Going", "Pause"))))</f>
        <v/>
      </c>
      <c r="G442" s="51"/>
      <c r="H442" s="50"/>
    </row>
    <row r="443" spans="1:8" x14ac:dyDescent="0.4">
      <c r="A443" s="61"/>
      <c r="B443" s="16" t="str">
        <f t="array" ref="B443">IFERROR(MIN(IF(Raw!$A$2:$A$26=MHT!A443,Raw!$B$2:$B$20)),"")</f>
        <v/>
      </c>
      <c r="C443" s="13" t="str">
        <f t="array" ref="C443">IFERROR(MIN(IF(Raw!$A$2:$A$26=MHT!A443,Raw!$C$2:$C$20)),"")</f>
        <v/>
      </c>
      <c r="D443" s="14" t="str">
        <f t="array" ref="D443">IF(Raw!D436="","",IFERROR(MAX(IF(Raw!$A$2:$A$26=MHT!A443,Raw!$D$2:$D$20)),""))</f>
        <v/>
      </c>
      <c r="E443" s="6" t="str">
        <f>IF(SUMIF(Raw!$A$2:$A$500, MHT!A443, Raw!$F$2:$F$500) = TIME(0,0,0), "", SUMIF(Raw!$A$2:$A$500, MHT!A443, Raw!$F$2:$F$500))</f>
        <v/>
      </c>
      <c r="F443" s="12" t="str">
        <f t="array" ref="F443">IF(A443="", "", IF(COUNTIF(Raw!$H$1:$I$500, A443) &gt; 0, "Done", IF(COUNTIF(Raw!$J$1:$J$500, A443) &gt; 0, "Pause", IF(COUNTIF(Raw!$K$1:$K$500, A443) &gt; 0, "On-Going", "Pause"))))</f>
        <v/>
      </c>
      <c r="G443" s="51"/>
      <c r="H443" s="50"/>
    </row>
    <row r="444" spans="1:8" x14ac:dyDescent="0.4">
      <c r="A444" s="61"/>
      <c r="B444" s="16" t="str">
        <f t="array" ref="B444">IFERROR(MIN(IF(Raw!$A$2:$A$26=MHT!A444,Raw!$B$2:$B$20)),"")</f>
        <v/>
      </c>
      <c r="C444" s="13" t="str">
        <f t="array" ref="C444">IFERROR(MIN(IF(Raw!$A$2:$A$26=MHT!A444,Raw!$C$2:$C$20)),"")</f>
        <v/>
      </c>
      <c r="D444" s="14" t="str">
        <f t="array" ref="D444">IF(Raw!D437="","",IFERROR(MAX(IF(Raw!$A$2:$A$26=MHT!A444,Raw!$D$2:$D$20)),""))</f>
        <v/>
      </c>
      <c r="E444" s="6" t="str">
        <f>IF(SUMIF(Raw!$A$2:$A$500, MHT!A444, Raw!$F$2:$F$500) = TIME(0,0,0), "", SUMIF(Raw!$A$2:$A$500, MHT!A444, Raw!$F$2:$F$500))</f>
        <v/>
      </c>
      <c r="F444" s="12" t="str">
        <f t="array" ref="F444">IF(A444="", "", IF(COUNTIF(Raw!$H$1:$I$500, A444) &gt; 0, "Done", IF(COUNTIF(Raw!$J$1:$J$500, A444) &gt; 0, "Pause", IF(COUNTIF(Raw!$K$1:$K$500, A444) &gt; 0, "On-Going", "Pause"))))</f>
        <v/>
      </c>
      <c r="G444" s="51"/>
      <c r="H444" s="50"/>
    </row>
    <row r="445" spans="1:8" x14ac:dyDescent="0.4">
      <c r="A445" s="61"/>
      <c r="B445" s="16" t="str">
        <f t="array" ref="B445">IFERROR(MIN(IF(Raw!$A$2:$A$26=MHT!A445,Raw!$B$2:$B$20)),"")</f>
        <v/>
      </c>
      <c r="C445" s="13" t="str">
        <f t="array" ref="C445">IFERROR(MIN(IF(Raw!$A$2:$A$26=MHT!A445,Raw!$C$2:$C$20)),"")</f>
        <v/>
      </c>
      <c r="D445" s="14" t="str">
        <f t="array" ref="D445">IF(Raw!D438="","",IFERROR(MAX(IF(Raw!$A$2:$A$26=MHT!A445,Raw!$D$2:$D$20)),""))</f>
        <v/>
      </c>
      <c r="E445" s="6" t="str">
        <f>IF(SUMIF(Raw!$A$2:$A$500, MHT!A445, Raw!$F$2:$F$500) = TIME(0,0,0), "", SUMIF(Raw!$A$2:$A$500, MHT!A445, Raw!$F$2:$F$500))</f>
        <v/>
      </c>
      <c r="F445" s="12" t="str">
        <f t="array" ref="F445">IF(A445="", "", IF(COUNTIF(Raw!$H$1:$I$500, A445) &gt; 0, "Done", IF(COUNTIF(Raw!$J$1:$J$500, A445) &gt; 0, "Pause", IF(COUNTIF(Raw!$K$1:$K$500, A445) &gt; 0, "On-Going", "Pause"))))</f>
        <v/>
      </c>
      <c r="G445" s="51"/>
      <c r="H445" s="50"/>
    </row>
    <row r="446" spans="1:8" x14ac:dyDescent="0.4">
      <c r="A446" s="61"/>
      <c r="B446" s="16" t="str">
        <f t="array" ref="B446">IFERROR(MIN(IF(Raw!$A$2:$A$26=MHT!A446,Raw!$B$2:$B$20)),"")</f>
        <v/>
      </c>
      <c r="C446" s="13" t="str">
        <f t="array" ref="C446">IFERROR(MIN(IF(Raw!$A$2:$A$26=MHT!A446,Raw!$C$2:$C$20)),"")</f>
        <v/>
      </c>
      <c r="D446" s="14" t="str">
        <f t="array" ref="D446">IF(Raw!D439="","",IFERROR(MAX(IF(Raw!$A$2:$A$26=MHT!A446,Raw!$D$2:$D$20)),""))</f>
        <v/>
      </c>
      <c r="E446" s="6" t="str">
        <f>IF(SUMIF(Raw!$A$2:$A$500, MHT!A446, Raw!$F$2:$F$500) = TIME(0,0,0), "", SUMIF(Raw!$A$2:$A$500, MHT!A446, Raw!$F$2:$F$500))</f>
        <v/>
      </c>
      <c r="F446" s="12" t="str">
        <f t="array" ref="F446">IF(A446="", "", IF(COUNTIF(Raw!$H$1:$I$500, A446) &gt; 0, "Done", IF(COUNTIF(Raw!$J$1:$J$500, A446) &gt; 0, "Pause", IF(COUNTIF(Raw!$K$1:$K$500, A446) &gt; 0, "On-Going", "Pause"))))</f>
        <v/>
      </c>
      <c r="G446" s="51"/>
      <c r="H446" s="50"/>
    </row>
    <row r="447" spans="1:8" x14ac:dyDescent="0.4">
      <c r="A447" s="61"/>
      <c r="B447" s="16" t="str">
        <f t="array" ref="B447">IFERROR(MIN(IF(Raw!$A$2:$A$26=MHT!A447,Raw!$B$2:$B$20)),"")</f>
        <v/>
      </c>
      <c r="C447" s="13" t="str">
        <f t="array" ref="C447">IFERROR(MIN(IF(Raw!$A$2:$A$26=MHT!A447,Raw!$C$2:$C$20)),"")</f>
        <v/>
      </c>
      <c r="D447" s="14" t="str">
        <f t="array" ref="D447">IF(Raw!D440="","",IFERROR(MAX(IF(Raw!$A$2:$A$26=MHT!A447,Raw!$D$2:$D$20)),""))</f>
        <v/>
      </c>
      <c r="E447" s="6" t="str">
        <f>IF(SUMIF(Raw!$A$2:$A$500, MHT!A447, Raw!$F$2:$F$500) = TIME(0,0,0), "", SUMIF(Raw!$A$2:$A$500, MHT!A447, Raw!$F$2:$F$500))</f>
        <v/>
      </c>
      <c r="F447" s="12" t="str">
        <f t="array" ref="F447">IF(A447="", "", IF(COUNTIF(Raw!$H$1:$I$500, A447) &gt; 0, "Done", IF(COUNTIF(Raw!$J$1:$J$500, A447) &gt; 0, "Pause", IF(COUNTIF(Raw!$K$1:$K$500, A447) &gt; 0, "On-Going", "Pause"))))</f>
        <v/>
      </c>
      <c r="G447" s="51"/>
      <c r="H447" s="50"/>
    </row>
    <row r="448" spans="1:8" x14ac:dyDescent="0.4">
      <c r="A448" s="61"/>
      <c r="B448" s="16" t="str">
        <f t="array" ref="B448">IFERROR(MIN(IF(Raw!$A$2:$A$26=MHT!A448,Raw!$B$2:$B$20)),"")</f>
        <v/>
      </c>
      <c r="C448" s="13" t="str">
        <f t="array" ref="C448">IFERROR(MIN(IF(Raw!$A$2:$A$26=MHT!A448,Raw!$C$2:$C$20)),"")</f>
        <v/>
      </c>
      <c r="D448" s="14" t="str">
        <f t="array" ref="D448">IF(Raw!D441="","",IFERROR(MAX(IF(Raw!$A$2:$A$26=MHT!A448,Raw!$D$2:$D$20)),""))</f>
        <v/>
      </c>
      <c r="E448" s="6" t="str">
        <f>IF(SUMIF(Raw!$A$2:$A$500, MHT!A448, Raw!$F$2:$F$500) = TIME(0,0,0), "", SUMIF(Raw!$A$2:$A$500, MHT!A448, Raw!$F$2:$F$500))</f>
        <v/>
      </c>
      <c r="F448" s="12" t="str">
        <f t="array" ref="F448">IF(A448="", "", IF(COUNTIF(Raw!$H$1:$I$500, A448) &gt; 0, "Done", IF(COUNTIF(Raw!$J$1:$J$500, A448) &gt; 0, "Pause", IF(COUNTIF(Raw!$K$1:$K$500, A448) &gt; 0, "On-Going", "Pause"))))</f>
        <v/>
      </c>
      <c r="G448" s="51"/>
      <c r="H448" s="50"/>
    </row>
    <row r="449" spans="1:8" x14ac:dyDescent="0.4">
      <c r="A449" s="61"/>
      <c r="B449" s="16" t="str">
        <f t="array" ref="B449">IFERROR(MIN(IF(Raw!$A$2:$A$26=MHT!A449,Raw!$B$2:$B$20)),"")</f>
        <v/>
      </c>
      <c r="C449" s="13" t="str">
        <f t="array" ref="C449">IFERROR(MIN(IF(Raw!$A$2:$A$26=MHT!A449,Raw!$C$2:$C$20)),"")</f>
        <v/>
      </c>
      <c r="D449" s="14" t="str">
        <f t="array" ref="D449">IF(Raw!D442="","",IFERROR(MAX(IF(Raw!$A$2:$A$26=MHT!A449,Raw!$D$2:$D$20)),""))</f>
        <v/>
      </c>
      <c r="E449" s="6" t="str">
        <f>IF(SUMIF(Raw!$A$2:$A$500, MHT!A449, Raw!$F$2:$F$500) = TIME(0,0,0), "", SUMIF(Raw!$A$2:$A$500, MHT!A449, Raw!$F$2:$F$500))</f>
        <v/>
      </c>
      <c r="F449" s="12" t="str">
        <f t="array" ref="F449">IF(A449="", "", IF(COUNTIF(Raw!$H$1:$I$500, A449) &gt; 0, "Done", IF(COUNTIF(Raw!$J$1:$J$500, A449) &gt; 0, "Pause", IF(COUNTIF(Raw!$K$1:$K$500, A449) &gt; 0, "On-Going", "Pause"))))</f>
        <v/>
      </c>
      <c r="G449" s="51"/>
      <c r="H449" s="50"/>
    </row>
    <row r="450" spans="1:8" x14ac:dyDescent="0.4">
      <c r="A450" s="61"/>
      <c r="B450" s="16" t="str">
        <f t="array" ref="B450">IFERROR(MIN(IF(Raw!$A$2:$A$26=MHT!A450,Raw!$B$2:$B$20)),"")</f>
        <v/>
      </c>
      <c r="C450" s="13" t="str">
        <f t="array" ref="C450">IFERROR(MIN(IF(Raw!$A$2:$A$26=MHT!A450,Raw!$C$2:$C$20)),"")</f>
        <v/>
      </c>
      <c r="D450" s="14" t="str">
        <f t="array" ref="D450">IF(Raw!D443="","",IFERROR(MAX(IF(Raw!$A$2:$A$26=MHT!A450,Raw!$D$2:$D$20)),""))</f>
        <v/>
      </c>
      <c r="E450" s="6" t="str">
        <f>IF(SUMIF(Raw!$A$2:$A$500, MHT!A450, Raw!$F$2:$F$500) = TIME(0,0,0), "", SUMIF(Raw!$A$2:$A$500, MHT!A450, Raw!$F$2:$F$500))</f>
        <v/>
      </c>
      <c r="F450" s="12" t="str">
        <f t="array" ref="F450">IF(A450="", "", IF(COUNTIF(Raw!$H$1:$I$500, A450) &gt; 0, "Done", IF(COUNTIF(Raw!$J$1:$J$500, A450) &gt; 0, "Pause", IF(COUNTIF(Raw!$K$1:$K$500, A450) &gt; 0, "On-Going", "Pause"))))</f>
        <v/>
      </c>
      <c r="G450" s="51"/>
      <c r="H450" s="50"/>
    </row>
    <row r="451" spans="1:8" x14ac:dyDescent="0.4">
      <c r="A451" s="61"/>
      <c r="B451" s="16" t="str">
        <f t="array" ref="B451">IFERROR(MIN(IF(Raw!$A$2:$A$26=MHT!A451,Raw!$B$2:$B$20)),"")</f>
        <v/>
      </c>
      <c r="C451" s="13" t="str">
        <f t="array" ref="C451">IFERROR(MIN(IF(Raw!$A$2:$A$26=MHT!A451,Raw!$C$2:$C$20)),"")</f>
        <v/>
      </c>
      <c r="D451" s="14" t="str">
        <f t="array" ref="D451">IF(Raw!D444="","",IFERROR(MAX(IF(Raw!$A$2:$A$26=MHT!A451,Raw!$D$2:$D$20)),""))</f>
        <v/>
      </c>
      <c r="E451" s="6" t="str">
        <f>IF(SUMIF(Raw!$A$2:$A$500, MHT!A451, Raw!$F$2:$F$500) = TIME(0,0,0), "", SUMIF(Raw!$A$2:$A$500, MHT!A451, Raw!$F$2:$F$500))</f>
        <v/>
      </c>
      <c r="F451" s="12" t="str">
        <f t="array" ref="F451">IF(A451="", "", IF(COUNTIF(Raw!$H$1:$I$500, A451) &gt; 0, "Done", IF(COUNTIF(Raw!$J$1:$J$500, A451) &gt; 0, "Pause", IF(COUNTIF(Raw!$K$1:$K$500, A451) &gt; 0, "On-Going", "Pause"))))</f>
        <v/>
      </c>
      <c r="G451" s="51"/>
      <c r="H451" s="50"/>
    </row>
    <row r="452" spans="1:8" x14ac:dyDescent="0.4">
      <c r="A452" s="61"/>
      <c r="B452" s="16" t="str">
        <f t="array" ref="B452">IFERROR(MIN(IF(Raw!$A$2:$A$26=MHT!A452,Raw!$B$2:$B$20)),"")</f>
        <v/>
      </c>
      <c r="C452" s="13" t="str">
        <f t="array" ref="C452">IFERROR(MIN(IF(Raw!$A$2:$A$26=MHT!A452,Raw!$C$2:$C$20)),"")</f>
        <v/>
      </c>
      <c r="D452" s="14" t="str">
        <f t="array" ref="D452">IF(Raw!D445="","",IFERROR(MAX(IF(Raw!$A$2:$A$26=MHT!A452,Raw!$D$2:$D$20)),""))</f>
        <v/>
      </c>
      <c r="E452" s="6" t="str">
        <f>IF(SUMIF(Raw!$A$2:$A$500, MHT!A452, Raw!$F$2:$F$500) = TIME(0,0,0), "", SUMIF(Raw!$A$2:$A$500, MHT!A452, Raw!$F$2:$F$500))</f>
        <v/>
      </c>
      <c r="F452" s="12" t="str">
        <f t="array" ref="F452">IF(A452="", "", IF(COUNTIF(Raw!$H$1:$I$500, A452) &gt; 0, "Done", IF(COUNTIF(Raw!$J$1:$J$500, A452) &gt; 0, "Pause", IF(COUNTIF(Raw!$K$1:$K$500, A452) &gt; 0, "On-Going", "Pause"))))</f>
        <v/>
      </c>
      <c r="G452" s="51"/>
      <c r="H452" s="50"/>
    </row>
    <row r="453" spans="1:8" x14ac:dyDescent="0.4">
      <c r="A453" s="61"/>
      <c r="B453" s="16" t="str">
        <f t="array" ref="B453">IFERROR(MIN(IF(Raw!$A$2:$A$26=MHT!A453,Raw!$B$2:$B$20)),"")</f>
        <v/>
      </c>
      <c r="C453" s="13" t="str">
        <f t="array" ref="C453">IFERROR(MIN(IF(Raw!$A$2:$A$26=MHT!A453,Raw!$C$2:$C$20)),"")</f>
        <v/>
      </c>
      <c r="D453" s="14" t="str">
        <f t="array" ref="D453">IF(Raw!D446="","",IFERROR(MAX(IF(Raw!$A$2:$A$26=MHT!A453,Raw!$D$2:$D$20)),""))</f>
        <v/>
      </c>
      <c r="E453" s="6" t="str">
        <f>IF(SUMIF(Raw!$A$2:$A$500, MHT!A453, Raw!$F$2:$F$500) = TIME(0,0,0), "", SUMIF(Raw!$A$2:$A$500, MHT!A453, Raw!$F$2:$F$500))</f>
        <v/>
      </c>
      <c r="F453" s="12" t="str">
        <f t="array" ref="F453">IF(A453="", "", IF(COUNTIF(Raw!$H$1:$I$500, A453) &gt; 0, "Done", IF(COUNTIF(Raw!$J$1:$J$500, A453) &gt; 0, "Pause", IF(COUNTIF(Raw!$K$1:$K$500, A453) &gt; 0, "On-Going", "Pause"))))</f>
        <v/>
      </c>
      <c r="G453" s="51"/>
      <c r="H453" s="50"/>
    </row>
    <row r="454" spans="1:8" x14ac:dyDescent="0.4">
      <c r="A454" s="61"/>
      <c r="B454" s="16" t="str">
        <f t="array" ref="B454">IFERROR(MIN(IF(Raw!$A$2:$A$26=MHT!A454,Raw!$B$2:$B$20)),"")</f>
        <v/>
      </c>
      <c r="C454" s="13" t="str">
        <f t="array" ref="C454">IFERROR(MIN(IF(Raw!$A$2:$A$26=MHT!A454,Raw!$C$2:$C$20)),"")</f>
        <v/>
      </c>
      <c r="D454" s="14" t="str">
        <f t="array" ref="D454">IF(Raw!D447="","",IFERROR(MAX(IF(Raw!$A$2:$A$26=MHT!A454,Raw!$D$2:$D$20)),""))</f>
        <v/>
      </c>
      <c r="E454" s="6" t="str">
        <f>IF(SUMIF(Raw!$A$2:$A$500, MHT!A454, Raw!$F$2:$F$500) = TIME(0,0,0), "", SUMIF(Raw!$A$2:$A$500, MHT!A454, Raw!$F$2:$F$500))</f>
        <v/>
      </c>
      <c r="F454" s="12" t="str">
        <f t="array" ref="F454">IF(A454="", "", IF(COUNTIF(Raw!$H$1:$I$500, A454) &gt; 0, "Done", IF(COUNTIF(Raw!$J$1:$J$500, A454) &gt; 0, "Pause", IF(COUNTIF(Raw!$K$1:$K$500, A454) &gt; 0, "On-Going", "Pause"))))</f>
        <v/>
      </c>
      <c r="G454" s="51"/>
      <c r="H454" s="50"/>
    </row>
    <row r="455" spans="1:8" x14ac:dyDescent="0.4">
      <c r="A455" s="61"/>
      <c r="B455" s="16" t="str">
        <f t="array" ref="B455">IFERROR(MIN(IF(Raw!$A$2:$A$26=MHT!A455,Raw!$B$2:$B$20)),"")</f>
        <v/>
      </c>
      <c r="C455" s="13" t="str">
        <f t="array" ref="C455">IFERROR(MIN(IF(Raw!$A$2:$A$26=MHT!A455,Raw!$C$2:$C$20)),"")</f>
        <v/>
      </c>
      <c r="D455" s="14" t="str">
        <f t="array" ref="D455">IF(Raw!D448="","",IFERROR(MAX(IF(Raw!$A$2:$A$26=MHT!A455,Raw!$D$2:$D$20)),""))</f>
        <v/>
      </c>
      <c r="E455" s="6" t="str">
        <f>IF(SUMIF(Raw!$A$2:$A$500, MHT!A455, Raw!$F$2:$F$500) = TIME(0,0,0), "", SUMIF(Raw!$A$2:$A$500, MHT!A455, Raw!$F$2:$F$500))</f>
        <v/>
      </c>
      <c r="F455" s="12" t="str">
        <f t="array" ref="F455">IF(A455="", "", IF(COUNTIF(Raw!$H$1:$I$500, A455) &gt; 0, "Done", IF(COUNTIF(Raw!$J$1:$J$500, A455) &gt; 0, "Pause", IF(COUNTIF(Raw!$K$1:$K$500, A455) &gt; 0, "On-Going", "Pause"))))</f>
        <v/>
      </c>
      <c r="G455" s="51"/>
      <c r="H455" s="50"/>
    </row>
    <row r="456" spans="1:8" x14ac:dyDescent="0.4">
      <c r="A456" s="61"/>
      <c r="B456" s="16" t="str">
        <f t="array" ref="B456">IFERROR(MIN(IF(Raw!$A$2:$A$26=MHT!A456,Raw!$B$2:$B$20)),"")</f>
        <v/>
      </c>
      <c r="C456" s="13" t="str">
        <f t="array" ref="C456">IFERROR(MIN(IF(Raw!$A$2:$A$26=MHT!A456,Raw!$C$2:$C$20)),"")</f>
        <v/>
      </c>
      <c r="D456" s="14" t="str">
        <f t="array" ref="D456">IF(Raw!D449="","",IFERROR(MAX(IF(Raw!$A$2:$A$26=MHT!A456,Raw!$D$2:$D$20)),""))</f>
        <v/>
      </c>
      <c r="E456" s="6" t="str">
        <f>IF(SUMIF(Raw!$A$2:$A$500, MHT!A456, Raw!$F$2:$F$500) = TIME(0,0,0), "", SUMIF(Raw!$A$2:$A$500, MHT!A456, Raw!$F$2:$F$500))</f>
        <v/>
      </c>
      <c r="F456" s="12" t="str">
        <f t="array" ref="F456">IF(A456="", "", IF(COUNTIF(Raw!$H$1:$I$500, A456) &gt; 0, "Done", IF(COUNTIF(Raw!$J$1:$J$500, A456) &gt; 0, "Pause", IF(COUNTIF(Raw!$K$1:$K$500, A456) &gt; 0, "On-Going", "Pause"))))</f>
        <v/>
      </c>
      <c r="G456" s="51"/>
      <c r="H456" s="50"/>
    </row>
    <row r="457" spans="1:8" x14ac:dyDescent="0.4">
      <c r="A457" s="61"/>
      <c r="B457" s="16" t="str">
        <f t="array" ref="B457">IFERROR(MIN(IF(Raw!$A$2:$A$26=MHT!A457,Raw!$B$2:$B$20)),"")</f>
        <v/>
      </c>
      <c r="C457" s="13" t="str">
        <f t="array" ref="C457">IFERROR(MIN(IF(Raw!$A$2:$A$26=MHT!A457,Raw!$C$2:$C$20)),"")</f>
        <v/>
      </c>
      <c r="D457" s="14" t="str">
        <f t="array" ref="D457">IF(Raw!D450="","",IFERROR(MAX(IF(Raw!$A$2:$A$26=MHT!A457,Raw!$D$2:$D$20)),""))</f>
        <v/>
      </c>
      <c r="E457" s="6" t="str">
        <f>IF(SUMIF(Raw!$A$2:$A$500, MHT!A457, Raw!$F$2:$F$500) = TIME(0,0,0), "", SUMIF(Raw!$A$2:$A$500, MHT!A457, Raw!$F$2:$F$500))</f>
        <v/>
      </c>
      <c r="F457" s="12" t="str">
        <f t="array" ref="F457">IF(A457="", "", IF(COUNTIF(Raw!$H$1:$I$500, A457) &gt; 0, "Done", IF(COUNTIF(Raw!$J$1:$J$500, A457) &gt; 0, "Pause", IF(COUNTIF(Raw!$K$1:$K$500, A457) &gt; 0, "On-Going", "Pause"))))</f>
        <v/>
      </c>
      <c r="G457" s="51"/>
      <c r="H457" s="50"/>
    </row>
    <row r="458" spans="1:8" x14ac:dyDescent="0.4">
      <c r="A458" s="61"/>
      <c r="B458" s="16" t="str">
        <f t="array" ref="B458">IFERROR(MIN(IF(Raw!$A$2:$A$26=MHT!A458,Raw!$B$2:$B$20)),"")</f>
        <v/>
      </c>
      <c r="C458" s="13" t="str">
        <f t="array" ref="C458">IFERROR(MIN(IF(Raw!$A$2:$A$26=MHT!A458,Raw!$C$2:$C$20)),"")</f>
        <v/>
      </c>
      <c r="D458" s="14" t="str">
        <f t="array" ref="D458">IF(Raw!D451="","",IFERROR(MAX(IF(Raw!$A$2:$A$26=MHT!A458,Raw!$D$2:$D$20)),""))</f>
        <v/>
      </c>
      <c r="E458" s="6" t="str">
        <f>IF(SUMIF(Raw!$A$2:$A$500, MHT!A458, Raw!$F$2:$F$500) = TIME(0,0,0), "", SUMIF(Raw!$A$2:$A$500, MHT!A458, Raw!$F$2:$F$500))</f>
        <v/>
      </c>
      <c r="F458" s="12" t="str">
        <f t="array" ref="F458">IF(A458="", "", IF(COUNTIF(Raw!$H$1:$I$500, A458) &gt; 0, "Done", IF(COUNTIF(Raw!$J$1:$J$500, A458) &gt; 0, "Pause", IF(COUNTIF(Raw!$K$1:$K$500, A458) &gt; 0, "On-Going", "Pause"))))</f>
        <v/>
      </c>
      <c r="G458" s="51"/>
      <c r="H458" s="50"/>
    </row>
    <row r="459" spans="1:8" x14ac:dyDescent="0.4">
      <c r="A459" s="61"/>
      <c r="B459" s="16" t="str">
        <f t="array" ref="B459">IFERROR(MIN(IF(Raw!$A$2:$A$26=MHT!A459,Raw!$B$2:$B$20)),"")</f>
        <v/>
      </c>
      <c r="C459" s="13" t="str">
        <f t="array" ref="C459">IFERROR(MIN(IF(Raw!$A$2:$A$26=MHT!A459,Raw!$C$2:$C$20)),"")</f>
        <v/>
      </c>
      <c r="D459" s="14" t="str">
        <f t="array" ref="D459">IF(Raw!D452="","",IFERROR(MAX(IF(Raw!$A$2:$A$26=MHT!A459,Raw!$D$2:$D$20)),""))</f>
        <v/>
      </c>
      <c r="E459" s="6" t="str">
        <f>IF(SUMIF(Raw!$A$2:$A$500, MHT!A459, Raw!$F$2:$F$500) = TIME(0,0,0), "", SUMIF(Raw!$A$2:$A$500, MHT!A459, Raw!$F$2:$F$500))</f>
        <v/>
      </c>
      <c r="F459" s="12" t="str">
        <f t="array" ref="F459">IF(A459="", "", IF(COUNTIF(Raw!$H$1:$I$500, A459) &gt; 0, "Done", IF(COUNTIF(Raw!$J$1:$J$500, A459) &gt; 0, "Pause", IF(COUNTIF(Raw!$K$1:$K$500, A459) &gt; 0, "On-Going", "Pause"))))</f>
        <v/>
      </c>
      <c r="G459" s="51"/>
      <c r="H459" s="50"/>
    </row>
    <row r="460" spans="1:8" x14ac:dyDescent="0.4">
      <c r="A460" s="61"/>
      <c r="B460" s="16" t="str">
        <f t="array" ref="B460">IFERROR(MIN(IF(Raw!$A$2:$A$26=MHT!A460,Raw!$B$2:$B$20)),"")</f>
        <v/>
      </c>
      <c r="C460" s="13" t="str">
        <f t="array" ref="C460">IFERROR(MIN(IF(Raw!$A$2:$A$26=MHT!A460,Raw!$C$2:$C$20)),"")</f>
        <v/>
      </c>
      <c r="D460" s="14" t="str">
        <f t="array" ref="D460">IF(Raw!D453="","",IFERROR(MAX(IF(Raw!$A$2:$A$26=MHT!A460,Raw!$D$2:$D$20)),""))</f>
        <v/>
      </c>
      <c r="E460" s="6" t="str">
        <f>IF(SUMIF(Raw!$A$2:$A$500, MHT!A460, Raw!$F$2:$F$500) = TIME(0,0,0), "", SUMIF(Raw!$A$2:$A$500, MHT!A460, Raw!$F$2:$F$500))</f>
        <v/>
      </c>
      <c r="F460" s="12" t="str">
        <f t="array" ref="F460">IF(A460="", "", IF(COUNTIF(Raw!$H$1:$I$500, A460) &gt; 0, "Done", IF(COUNTIF(Raw!$J$1:$J$500, A460) &gt; 0, "Pause", IF(COUNTIF(Raw!$K$1:$K$500, A460) &gt; 0, "On-Going", "Pause"))))</f>
        <v/>
      </c>
      <c r="G460" s="51"/>
      <c r="H460" s="50"/>
    </row>
    <row r="461" spans="1:8" x14ac:dyDescent="0.4">
      <c r="A461" s="61"/>
      <c r="B461" s="16" t="str">
        <f t="array" ref="B461">IFERROR(MIN(IF(Raw!$A$2:$A$26=MHT!A461,Raw!$B$2:$B$20)),"")</f>
        <v/>
      </c>
      <c r="C461" s="13" t="str">
        <f t="array" ref="C461">IFERROR(MIN(IF(Raw!$A$2:$A$26=MHT!A461,Raw!$C$2:$C$20)),"")</f>
        <v/>
      </c>
      <c r="D461" s="14" t="str">
        <f t="array" ref="D461">IF(Raw!D454="","",IFERROR(MAX(IF(Raw!$A$2:$A$26=MHT!A461,Raw!$D$2:$D$20)),""))</f>
        <v/>
      </c>
      <c r="E461" s="6" t="str">
        <f>IF(SUMIF(Raw!$A$2:$A$500, MHT!A461, Raw!$F$2:$F$500) = TIME(0,0,0), "", SUMIF(Raw!$A$2:$A$500, MHT!A461, Raw!$F$2:$F$500))</f>
        <v/>
      </c>
      <c r="F461" s="12" t="str">
        <f t="array" ref="F461">IF(A461="", "", IF(COUNTIF(Raw!$H$1:$I$500, A461) &gt; 0, "Done", IF(COUNTIF(Raw!$J$1:$J$500, A461) &gt; 0, "Pause", IF(COUNTIF(Raw!$K$1:$K$500, A461) &gt; 0, "On-Going", "Pause"))))</f>
        <v/>
      </c>
      <c r="G461" s="51"/>
      <c r="H461" s="50"/>
    </row>
    <row r="462" spans="1:8" x14ac:dyDescent="0.4">
      <c r="A462" s="61"/>
      <c r="B462" s="16" t="str">
        <f t="array" ref="B462">IFERROR(MIN(IF(Raw!$A$2:$A$26=MHT!A462,Raw!$B$2:$B$20)),"")</f>
        <v/>
      </c>
      <c r="C462" s="13" t="str">
        <f t="array" ref="C462">IFERROR(MIN(IF(Raw!$A$2:$A$26=MHT!A462,Raw!$C$2:$C$20)),"")</f>
        <v/>
      </c>
      <c r="D462" s="14" t="str">
        <f t="array" ref="D462">IF(Raw!D455="","",IFERROR(MAX(IF(Raw!$A$2:$A$26=MHT!A462,Raw!$D$2:$D$20)),""))</f>
        <v/>
      </c>
      <c r="E462" s="6" t="str">
        <f>IF(SUMIF(Raw!$A$2:$A$500, MHT!A462, Raw!$F$2:$F$500) = TIME(0,0,0), "", SUMIF(Raw!$A$2:$A$500, MHT!A462, Raw!$F$2:$F$500))</f>
        <v/>
      </c>
      <c r="F462" s="12" t="str">
        <f t="array" ref="F462">IF(A462="", "", IF(COUNTIF(Raw!$H$1:$I$500, A462) &gt; 0, "Done", IF(COUNTIF(Raw!$J$1:$J$500, A462) &gt; 0, "Pause", IF(COUNTIF(Raw!$K$1:$K$500, A462) &gt; 0, "On-Going", "Pause"))))</f>
        <v/>
      </c>
      <c r="G462" s="51"/>
      <c r="H462" s="50"/>
    </row>
    <row r="463" spans="1:8" x14ac:dyDescent="0.4">
      <c r="A463" s="61"/>
      <c r="B463" s="16" t="str">
        <f t="array" ref="B463">IFERROR(MIN(IF(Raw!$A$2:$A$26=MHT!A463,Raw!$B$2:$B$20)),"")</f>
        <v/>
      </c>
      <c r="C463" s="13" t="str">
        <f t="array" ref="C463">IFERROR(MIN(IF(Raw!$A$2:$A$26=MHT!A463,Raw!$C$2:$C$20)),"")</f>
        <v/>
      </c>
      <c r="D463" s="14" t="str">
        <f t="array" ref="D463">IF(Raw!D456="","",IFERROR(MAX(IF(Raw!$A$2:$A$26=MHT!A463,Raw!$D$2:$D$20)),""))</f>
        <v/>
      </c>
      <c r="E463" s="6" t="str">
        <f>IF(SUMIF(Raw!$A$2:$A$500, MHT!A463, Raw!$F$2:$F$500) = TIME(0,0,0), "", SUMIF(Raw!$A$2:$A$500, MHT!A463, Raw!$F$2:$F$500))</f>
        <v/>
      </c>
      <c r="F463" s="12" t="str">
        <f t="array" ref="F463">IF(A463="", "", IF(COUNTIF(Raw!$H$1:$I$500, A463) &gt; 0, "Done", IF(COUNTIF(Raw!$J$1:$J$500, A463) &gt; 0, "Pause", IF(COUNTIF(Raw!$K$1:$K$500, A463) &gt; 0, "On-Going", "Pause"))))</f>
        <v/>
      </c>
      <c r="G463" s="51"/>
      <c r="H463" s="50"/>
    </row>
    <row r="464" spans="1:8" x14ac:dyDescent="0.4">
      <c r="A464" s="61"/>
      <c r="B464" s="16" t="str">
        <f t="array" ref="B464">IFERROR(MIN(IF(Raw!$A$2:$A$26=MHT!A464,Raw!$B$2:$B$20)),"")</f>
        <v/>
      </c>
      <c r="C464" s="13" t="str">
        <f t="array" ref="C464">IFERROR(MIN(IF(Raw!$A$2:$A$26=MHT!A464,Raw!$C$2:$C$20)),"")</f>
        <v/>
      </c>
      <c r="D464" s="14" t="str">
        <f t="array" ref="D464">IF(Raw!D457="","",IFERROR(MAX(IF(Raw!$A$2:$A$26=MHT!A464,Raw!$D$2:$D$20)),""))</f>
        <v/>
      </c>
      <c r="E464" s="6" t="str">
        <f>IF(SUMIF(Raw!$A$2:$A$500, MHT!A464, Raw!$F$2:$F$500) = TIME(0,0,0), "", SUMIF(Raw!$A$2:$A$500, MHT!A464, Raw!$F$2:$F$500))</f>
        <v/>
      </c>
      <c r="F464" s="12" t="str">
        <f t="array" ref="F464">IF(A464="", "", IF(COUNTIF(Raw!$H$1:$I$500, A464) &gt; 0, "Done", IF(COUNTIF(Raw!$J$1:$J$500, A464) &gt; 0, "Pause", IF(COUNTIF(Raw!$K$1:$K$500, A464) &gt; 0, "On-Going", "Pause"))))</f>
        <v/>
      </c>
      <c r="G464" s="51"/>
      <c r="H464" s="50"/>
    </row>
    <row r="465" spans="1:8" x14ac:dyDescent="0.4">
      <c r="A465" s="61"/>
      <c r="B465" s="16" t="str">
        <f t="array" ref="B465">IFERROR(MIN(IF(Raw!$A$2:$A$26=MHT!A465,Raw!$B$2:$B$20)),"")</f>
        <v/>
      </c>
      <c r="C465" s="13" t="str">
        <f t="array" ref="C465">IFERROR(MIN(IF(Raw!$A$2:$A$26=MHT!A465,Raw!$C$2:$C$20)),"")</f>
        <v/>
      </c>
      <c r="D465" s="14" t="str">
        <f t="array" ref="D465">IF(Raw!D458="","",IFERROR(MAX(IF(Raw!$A$2:$A$26=MHT!A465,Raw!$D$2:$D$20)),""))</f>
        <v/>
      </c>
      <c r="E465" s="6" t="str">
        <f>IF(SUMIF(Raw!$A$2:$A$500, MHT!A465, Raw!$F$2:$F$500) = TIME(0,0,0), "", SUMIF(Raw!$A$2:$A$500, MHT!A465, Raw!$F$2:$F$500))</f>
        <v/>
      </c>
      <c r="F465" s="12" t="str">
        <f t="array" ref="F465">IF(A465="", "", IF(COUNTIF(Raw!$H$1:$I$500, A465) &gt; 0, "Done", IF(COUNTIF(Raw!$J$1:$J$500, A465) &gt; 0, "Pause", IF(COUNTIF(Raw!$K$1:$K$500, A465) &gt; 0, "On-Going", "Pause"))))</f>
        <v/>
      </c>
      <c r="G465" s="51"/>
      <c r="H465" s="50"/>
    </row>
    <row r="466" spans="1:8" x14ac:dyDescent="0.4">
      <c r="A466" s="61"/>
      <c r="B466" s="16" t="str">
        <f t="array" ref="B466">IFERROR(MIN(IF(Raw!$A$2:$A$26=MHT!A466,Raw!$B$2:$B$20)),"")</f>
        <v/>
      </c>
      <c r="C466" s="13" t="str">
        <f t="array" ref="C466">IFERROR(MIN(IF(Raw!$A$2:$A$26=MHT!A466,Raw!$C$2:$C$20)),"")</f>
        <v/>
      </c>
      <c r="D466" s="14" t="str">
        <f t="array" ref="D466">IF(Raw!D459="","",IFERROR(MAX(IF(Raw!$A$2:$A$26=MHT!A466,Raw!$D$2:$D$20)),""))</f>
        <v/>
      </c>
      <c r="E466" s="6" t="str">
        <f>IF(SUMIF(Raw!$A$2:$A$500, MHT!A466, Raw!$F$2:$F$500) = TIME(0,0,0), "", SUMIF(Raw!$A$2:$A$500, MHT!A466, Raw!$F$2:$F$500))</f>
        <v/>
      </c>
      <c r="F466" s="12" t="str">
        <f t="array" ref="F466">IF(A466="", "", IF(COUNTIF(Raw!$H$1:$I$500, A466) &gt; 0, "Done", IF(COUNTIF(Raw!$J$1:$J$500, A466) &gt; 0, "Pause", IF(COUNTIF(Raw!$K$1:$K$500, A466) &gt; 0, "On-Going", "Pause"))))</f>
        <v/>
      </c>
      <c r="G466" s="51"/>
      <c r="H466" s="50"/>
    </row>
    <row r="467" spans="1:8" x14ac:dyDescent="0.4">
      <c r="A467" s="61"/>
      <c r="B467" s="16" t="str">
        <f t="array" ref="B467">IFERROR(MIN(IF(Raw!$A$2:$A$26=MHT!A467,Raw!$B$2:$B$20)),"")</f>
        <v/>
      </c>
      <c r="C467" s="13" t="str">
        <f t="array" ref="C467">IFERROR(MIN(IF(Raw!$A$2:$A$26=MHT!A467,Raw!$C$2:$C$20)),"")</f>
        <v/>
      </c>
      <c r="D467" s="14" t="str">
        <f t="array" ref="D467">IF(Raw!D460="","",IFERROR(MAX(IF(Raw!$A$2:$A$26=MHT!A467,Raw!$D$2:$D$20)),""))</f>
        <v/>
      </c>
      <c r="E467" s="6" t="str">
        <f>IF(SUMIF(Raw!$A$2:$A$500, MHT!A467, Raw!$F$2:$F$500) = TIME(0,0,0), "", SUMIF(Raw!$A$2:$A$500, MHT!A467, Raw!$F$2:$F$500))</f>
        <v/>
      </c>
      <c r="F467" s="12" t="str">
        <f t="array" ref="F467">IF(A467="", "", IF(COUNTIF(Raw!$H$1:$I$500, A467) &gt; 0, "Done", IF(COUNTIF(Raw!$J$1:$J$500, A467) &gt; 0, "Pause", IF(COUNTIF(Raw!$K$1:$K$500, A467) &gt; 0, "On-Going", "Pause"))))</f>
        <v/>
      </c>
      <c r="G467" s="51"/>
      <c r="H467" s="50"/>
    </row>
    <row r="468" spans="1:8" x14ac:dyDescent="0.4">
      <c r="A468" s="61"/>
      <c r="B468" s="16" t="str">
        <f t="array" ref="B468">IFERROR(MIN(IF(Raw!$A$2:$A$26=MHT!A468,Raw!$B$2:$B$20)),"")</f>
        <v/>
      </c>
      <c r="C468" s="13" t="str">
        <f t="array" ref="C468">IFERROR(MIN(IF(Raw!$A$2:$A$26=MHT!A468,Raw!$C$2:$C$20)),"")</f>
        <v/>
      </c>
      <c r="D468" s="14" t="str">
        <f t="array" ref="D468">IF(Raw!D461="","",IFERROR(MAX(IF(Raw!$A$2:$A$26=MHT!A468,Raw!$D$2:$D$20)),""))</f>
        <v/>
      </c>
      <c r="E468" s="6" t="str">
        <f>IF(SUMIF(Raw!$A$2:$A$500, MHT!A468, Raw!$F$2:$F$500) = TIME(0,0,0), "", SUMIF(Raw!$A$2:$A$500, MHT!A468, Raw!$F$2:$F$500))</f>
        <v/>
      </c>
      <c r="F468" s="12" t="str">
        <f t="array" ref="F468">IF(A468="", "", IF(COUNTIF(Raw!$H$1:$I$500, A468) &gt; 0, "Done", IF(COUNTIF(Raw!$J$1:$J$500, A468) &gt; 0, "Pause", IF(COUNTIF(Raw!$K$1:$K$500, A468) &gt; 0, "On-Going", "Pause"))))</f>
        <v/>
      </c>
      <c r="G468" s="51"/>
      <c r="H468" s="50"/>
    </row>
    <row r="469" spans="1:8" x14ac:dyDescent="0.4">
      <c r="A469" s="61"/>
      <c r="B469" s="16" t="str">
        <f t="array" ref="B469">IFERROR(MIN(IF(Raw!$A$2:$A$26=MHT!A469,Raw!$B$2:$B$20)),"")</f>
        <v/>
      </c>
      <c r="C469" s="13" t="str">
        <f t="array" ref="C469">IFERROR(MIN(IF(Raw!$A$2:$A$26=MHT!A469,Raw!$C$2:$C$20)),"")</f>
        <v/>
      </c>
      <c r="D469" s="14" t="str">
        <f t="array" ref="D469">IF(Raw!D462="","",IFERROR(MAX(IF(Raw!$A$2:$A$26=MHT!A469,Raw!$D$2:$D$20)),""))</f>
        <v/>
      </c>
      <c r="E469" s="6" t="str">
        <f>IF(SUMIF(Raw!$A$2:$A$500, MHT!A469, Raw!$F$2:$F$500) = TIME(0,0,0), "", SUMIF(Raw!$A$2:$A$500, MHT!A469, Raw!$F$2:$F$500))</f>
        <v/>
      </c>
      <c r="F469" s="12" t="str">
        <f t="array" ref="F469">IF(A469="", "", IF(COUNTIF(Raw!$H$1:$I$500, A469) &gt; 0, "Done", IF(COUNTIF(Raw!$J$1:$J$500, A469) &gt; 0, "Pause", IF(COUNTIF(Raw!$K$1:$K$500, A469) &gt; 0, "On-Going", "Pause"))))</f>
        <v/>
      </c>
      <c r="G469" s="51"/>
      <c r="H469" s="50"/>
    </row>
    <row r="470" spans="1:8" x14ac:dyDescent="0.4">
      <c r="A470" s="61"/>
      <c r="B470" s="16" t="str">
        <f t="array" ref="B470">IFERROR(MIN(IF(Raw!$A$2:$A$26=MHT!A470,Raw!$B$2:$B$20)),"")</f>
        <v/>
      </c>
      <c r="C470" s="13" t="str">
        <f t="array" ref="C470">IFERROR(MIN(IF(Raw!$A$2:$A$26=MHT!A470,Raw!$C$2:$C$20)),"")</f>
        <v/>
      </c>
      <c r="D470" s="14" t="str">
        <f t="array" ref="D470">IF(Raw!D463="","",IFERROR(MAX(IF(Raw!$A$2:$A$26=MHT!A470,Raw!$D$2:$D$20)),""))</f>
        <v/>
      </c>
      <c r="E470" s="6" t="str">
        <f>IF(SUMIF(Raw!$A$2:$A$500, MHT!A470, Raw!$F$2:$F$500) = TIME(0,0,0), "", SUMIF(Raw!$A$2:$A$500, MHT!A470, Raw!$F$2:$F$500))</f>
        <v/>
      </c>
      <c r="F470" s="12" t="str">
        <f t="array" ref="F470">IF(A470="", "", IF(COUNTIF(Raw!$H$1:$I$500, A470) &gt; 0, "Done", IF(COUNTIF(Raw!$J$1:$J$500, A470) &gt; 0, "Pause", IF(COUNTIF(Raw!$K$1:$K$500, A470) &gt; 0, "On-Going", "Pause"))))</f>
        <v/>
      </c>
      <c r="G470" s="51"/>
      <c r="H470" s="50"/>
    </row>
    <row r="471" spans="1:8" x14ac:dyDescent="0.4">
      <c r="A471" s="61"/>
      <c r="B471" s="16" t="str">
        <f t="array" ref="B471">IFERROR(MIN(IF(Raw!$A$2:$A$26=MHT!A471,Raw!$B$2:$B$20)),"")</f>
        <v/>
      </c>
      <c r="C471" s="13" t="str">
        <f t="array" ref="C471">IFERROR(MIN(IF(Raw!$A$2:$A$26=MHT!A471,Raw!$C$2:$C$20)),"")</f>
        <v/>
      </c>
      <c r="D471" s="14" t="str">
        <f t="array" ref="D471">IF(Raw!D464="","",IFERROR(MAX(IF(Raw!$A$2:$A$26=MHT!A471,Raw!$D$2:$D$20)),""))</f>
        <v/>
      </c>
      <c r="E471" s="6" t="str">
        <f>IF(SUMIF(Raw!$A$2:$A$500, MHT!A471, Raw!$F$2:$F$500) = TIME(0,0,0), "", SUMIF(Raw!$A$2:$A$500, MHT!A471, Raw!$F$2:$F$500))</f>
        <v/>
      </c>
      <c r="F471" s="12" t="str">
        <f t="array" ref="F471">IF(A471="", "", IF(COUNTIF(Raw!$H$1:$I$500, A471) &gt; 0, "Done", IF(COUNTIF(Raw!$J$1:$J$500, A471) &gt; 0, "Pause", IF(COUNTIF(Raw!$K$1:$K$500, A471) &gt; 0, "On-Going", "Pause"))))</f>
        <v/>
      </c>
      <c r="G471" s="51"/>
      <c r="H471" s="50"/>
    </row>
    <row r="472" spans="1:8" x14ac:dyDescent="0.4">
      <c r="A472" s="61"/>
      <c r="B472" s="16" t="str">
        <f t="array" ref="B472">IFERROR(MIN(IF(Raw!$A$2:$A$26=MHT!A472,Raw!$B$2:$B$20)),"")</f>
        <v/>
      </c>
      <c r="C472" s="13" t="str">
        <f t="array" ref="C472">IFERROR(MIN(IF(Raw!$A$2:$A$26=MHT!A472,Raw!$C$2:$C$20)),"")</f>
        <v/>
      </c>
      <c r="D472" s="14" t="str">
        <f t="array" ref="D472">IF(Raw!D465="","",IFERROR(MAX(IF(Raw!$A$2:$A$26=MHT!A472,Raw!$D$2:$D$20)),""))</f>
        <v/>
      </c>
      <c r="E472" s="6" t="str">
        <f>IF(SUMIF(Raw!$A$2:$A$500, MHT!A472, Raw!$F$2:$F$500) = TIME(0,0,0), "", SUMIF(Raw!$A$2:$A$500, MHT!A472, Raw!$F$2:$F$500))</f>
        <v/>
      </c>
      <c r="F472" s="12" t="str">
        <f t="array" ref="F472">IF(A472="", "", IF(COUNTIF(Raw!$H$1:$I$500, A472) &gt; 0, "Done", IF(COUNTIF(Raw!$J$1:$J$500, A472) &gt; 0, "Pause", IF(COUNTIF(Raw!$K$1:$K$500, A472) &gt; 0, "On-Going", "Pause"))))</f>
        <v/>
      </c>
      <c r="G472" s="51"/>
      <c r="H472" s="50"/>
    </row>
    <row r="473" spans="1:8" x14ac:dyDescent="0.4">
      <c r="A473" s="61"/>
      <c r="B473" s="16" t="str">
        <f t="array" ref="B473">IFERROR(MIN(IF(Raw!$A$2:$A$26=MHT!A473,Raw!$B$2:$B$20)),"")</f>
        <v/>
      </c>
      <c r="C473" s="13" t="str">
        <f t="array" ref="C473">IFERROR(MIN(IF(Raw!$A$2:$A$26=MHT!A473,Raw!$C$2:$C$20)),"")</f>
        <v/>
      </c>
      <c r="D473" s="14" t="str">
        <f t="array" ref="D473">IF(Raw!D466="","",IFERROR(MAX(IF(Raw!$A$2:$A$26=MHT!A473,Raw!$D$2:$D$20)),""))</f>
        <v/>
      </c>
      <c r="E473" s="6" t="str">
        <f>IF(SUMIF(Raw!$A$2:$A$500, MHT!A473, Raw!$F$2:$F$500) = TIME(0,0,0), "", SUMIF(Raw!$A$2:$A$500, MHT!A473, Raw!$F$2:$F$500))</f>
        <v/>
      </c>
      <c r="F473" s="12" t="str">
        <f t="array" ref="F473">IF(A473="", "", IF(COUNTIF(Raw!$H$1:$I$500, A473) &gt; 0, "Done", IF(COUNTIF(Raw!$J$1:$J$500, A473) &gt; 0, "Pause", IF(COUNTIF(Raw!$K$1:$K$500, A473) &gt; 0, "On-Going", "Pause"))))</f>
        <v/>
      </c>
      <c r="G473" s="51"/>
      <c r="H473" s="50"/>
    </row>
    <row r="474" spans="1:8" x14ac:dyDescent="0.4">
      <c r="A474" s="61"/>
      <c r="B474" s="16" t="str">
        <f t="array" ref="B474">IFERROR(MIN(IF(Raw!$A$2:$A$26=MHT!A474,Raw!$B$2:$B$20)),"")</f>
        <v/>
      </c>
      <c r="C474" s="13" t="str">
        <f t="array" ref="C474">IFERROR(MIN(IF(Raw!$A$2:$A$26=MHT!A474,Raw!$C$2:$C$20)),"")</f>
        <v/>
      </c>
      <c r="D474" s="14" t="str">
        <f t="array" ref="D474">IF(Raw!D467="","",IFERROR(MAX(IF(Raw!$A$2:$A$26=MHT!A474,Raw!$D$2:$D$20)),""))</f>
        <v/>
      </c>
      <c r="E474" s="6" t="str">
        <f>IF(SUMIF(Raw!$A$2:$A$500, MHT!A474, Raw!$F$2:$F$500) = TIME(0,0,0), "", SUMIF(Raw!$A$2:$A$500, MHT!A474, Raw!$F$2:$F$500))</f>
        <v/>
      </c>
      <c r="F474" s="12" t="str">
        <f t="array" ref="F474">IF(A474="", "", IF(COUNTIF(Raw!$H$1:$I$500, A474) &gt; 0, "Done", IF(COUNTIF(Raw!$J$1:$J$500, A474) &gt; 0, "Pause", IF(COUNTIF(Raw!$K$1:$K$500, A474) &gt; 0, "On-Going", "Pause"))))</f>
        <v/>
      </c>
      <c r="G474" s="51"/>
      <c r="H474" s="50"/>
    </row>
    <row r="475" spans="1:8" x14ac:dyDescent="0.4">
      <c r="A475" s="61"/>
      <c r="B475" s="16" t="str">
        <f t="array" ref="B475">IFERROR(MIN(IF(Raw!$A$2:$A$26=MHT!A475,Raw!$B$2:$B$20)),"")</f>
        <v/>
      </c>
      <c r="C475" s="13" t="str">
        <f t="array" ref="C475">IFERROR(MIN(IF(Raw!$A$2:$A$26=MHT!A475,Raw!$C$2:$C$20)),"")</f>
        <v/>
      </c>
      <c r="D475" s="14" t="str">
        <f t="array" ref="D475">IF(Raw!D468="","",IFERROR(MAX(IF(Raw!$A$2:$A$26=MHT!A475,Raw!$D$2:$D$20)),""))</f>
        <v/>
      </c>
      <c r="E475" s="6" t="str">
        <f>IF(SUMIF(Raw!$A$2:$A$500, MHT!A475, Raw!$F$2:$F$500) = TIME(0,0,0), "", SUMIF(Raw!$A$2:$A$500, MHT!A475, Raw!$F$2:$F$500))</f>
        <v/>
      </c>
      <c r="F475" s="12" t="str">
        <f t="array" ref="F475">IF(A475="", "", IF(COUNTIF(Raw!$H$1:$I$500, A475) &gt; 0, "Done", IF(COUNTIF(Raw!$J$1:$J$500, A475) &gt; 0, "Pause", IF(COUNTIF(Raw!$K$1:$K$500, A475) &gt; 0, "On-Going", "Pause"))))</f>
        <v/>
      </c>
      <c r="G475" s="51"/>
      <c r="H475" s="50"/>
    </row>
    <row r="476" spans="1:8" x14ac:dyDescent="0.4">
      <c r="A476" s="61"/>
      <c r="B476" s="16" t="str">
        <f t="array" ref="B476">IFERROR(MIN(IF(Raw!$A$2:$A$26=MHT!A476,Raw!$B$2:$B$20)),"")</f>
        <v/>
      </c>
      <c r="C476" s="13" t="str">
        <f t="array" ref="C476">IFERROR(MIN(IF(Raw!$A$2:$A$26=MHT!A476,Raw!$C$2:$C$20)),"")</f>
        <v/>
      </c>
      <c r="D476" s="14" t="str">
        <f t="array" ref="D476">IF(Raw!D469="","",IFERROR(MAX(IF(Raw!$A$2:$A$26=MHT!A476,Raw!$D$2:$D$20)),""))</f>
        <v/>
      </c>
      <c r="E476" s="6" t="str">
        <f>IF(SUMIF(Raw!$A$2:$A$500, MHT!A476, Raw!$F$2:$F$500) = TIME(0,0,0), "", SUMIF(Raw!$A$2:$A$500, MHT!A476, Raw!$F$2:$F$500))</f>
        <v/>
      </c>
      <c r="F476" s="12" t="str">
        <f t="array" ref="F476">IF(A476="", "", IF(COUNTIF(Raw!$H$1:$I$500, A476) &gt; 0, "Done", IF(COUNTIF(Raw!$J$1:$J$500, A476) &gt; 0, "Pause", IF(COUNTIF(Raw!$K$1:$K$500, A476) &gt; 0, "On-Going", "Pause"))))</f>
        <v/>
      </c>
      <c r="G476" s="51"/>
      <c r="H476" s="50"/>
    </row>
    <row r="477" spans="1:8" x14ac:dyDescent="0.4">
      <c r="A477" s="61"/>
      <c r="B477" s="16" t="str">
        <f t="array" ref="B477">IFERROR(MIN(IF(Raw!$A$2:$A$26=MHT!A477,Raw!$B$2:$B$20)),"")</f>
        <v/>
      </c>
      <c r="C477" s="13" t="str">
        <f t="array" ref="C477">IFERROR(MIN(IF(Raw!$A$2:$A$26=MHT!A477,Raw!$C$2:$C$20)),"")</f>
        <v/>
      </c>
      <c r="D477" s="14" t="str">
        <f t="array" ref="D477">IF(Raw!D470="","",IFERROR(MAX(IF(Raw!$A$2:$A$26=MHT!A477,Raw!$D$2:$D$20)),""))</f>
        <v/>
      </c>
      <c r="E477" s="6" t="str">
        <f>IF(SUMIF(Raw!$A$2:$A$500, MHT!A477, Raw!$F$2:$F$500) = TIME(0,0,0), "", SUMIF(Raw!$A$2:$A$500, MHT!A477, Raw!$F$2:$F$500))</f>
        <v/>
      </c>
      <c r="F477" s="12" t="str">
        <f t="array" ref="F477">IF(A477="", "", IF(COUNTIF(Raw!$H$1:$I$500, A477) &gt; 0, "Done", IF(COUNTIF(Raw!$J$1:$J$500, A477) &gt; 0, "Pause", IF(COUNTIF(Raw!$K$1:$K$500, A477) &gt; 0, "On-Going", "Pause"))))</f>
        <v/>
      </c>
      <c r="G477" s="51"/>
      <c r="H477" s="50"/>
    </row>
    <row r="478" spans="1:8" x14ac:dyDescent="0.4">
      <c r="A478" s="61"/>
      <c r="B478" s="16" t="str">
        <f t="array" ref="B478">IFERROR(MIN(IF(Raw!$A$2:$A$26=MHT!A478,Raw!$B$2:$B$20)),"")</f>
        <v/>
      </c>
      <c r="C478" s="13" t="str">
        <f t="array" ref="C478">IFERROR(MIN(IF(Raw!$A$2:$A$26=MHT!A478,Raw!$C$2:$C$20)),"")</f>
        <v/>
      </c>
      <c r="D478" s="14" t="str">
        <f t="array" ref="D478">IF(Raw!D471="","",IFERROR(MAX(IF(Raw!$A$2:$A$26=MHT!A478,Raw!$D$2:$D$20)),""))</f>
        <v/>
      </c>
      <c r="E478" s="6" t="str">
        <f>IF(SUMIF(Raw!$A$2:$A$500, MHT!A478, Raw!$F$2:$F$500) = TIME(0,0,0), "", SUMIF(Raw!$A$2:$A$500, MHT!A478, Raw!$F$2:$F$500))</f>
        <v/>
      </c>
      <c r="F478" s="12" t="str">
        <f t="array" ref="F478">IF(A478="", "", IF(COUNTIF(Raw!$H$1:$I$500, A478) &gt; 0, "Done", IF(COUNTIF(Raw!$J$1:$J$500, A478) &gt; 0, "Pause", IF(COUNTIF(Raw!$K$1:$K$500, A478) &gt; 0, "On-Going", "Pause"))))</f>
        <v/>
      </c>
      <c r="G478" s="51"/>
      <c r="H478" s="50"/>
    </row>
    <row r="479" spans="1:8" x14ac:dyDescent="0.4">
      <c r="A479" s="61"/>
      <c r="B479" s="16" t="str">
        <f t="array" ref="B479">IFERROR(MIN(IF(Raw!$A$2:$A$26=MHT!A479,Raw!$B$2:$B$20)),"")</f>
        <v/>
      </c>
      <c r="C479" s="13" t="str">
        <f t="array" ref="C479">IFERROR(MIN(IF(Raw!$A$2:$A$26=MHT!A479,Raw!$C$2:$C$20)),"")</f>
        <v/>
      </c>
      <c r="D479" s="14" t="str">
        <f t="array" ref="D479">IF(Raw!D472="","",IFERROR(MAX(IF(Raw!$A$2:$A$26=MHT!A479,Raw!$D$2:$D$20)),""))</f>
        <v/>
      </c>
      <c r="E479" s="6" t="str">
        <f>IF(SUMIF(Raw!$A$2:$A$500, MHT!A479, Raw!$F$2:$F$500) = TIME(0,0,0), "", SUMIF(Raw!$A$2:$A$500, MHT!A479, Raw!$F$2:$F$500))</f>
        <v/>
      </c>
      <c r="F479" s="12" t="str">
        <f t="array" ref="F479">IF(A479="", "", IF(COUNTIF(Raw!$H$1:$I$500, A479) &gt; 0, "Done", IF(COUNTIF(Raw!$J$1:$J$500, A479) &gt; 0, "Pause", IF(COUNTIF(Raw!$K$1:$K$500, A479) &gt; 0, "On-Going", "Pause"))))</f>
        <v/>
      </c>
      <c r="G479" s="51"/>
      <c r="H479" s="50"/>
    </row>
    <row r="480" spans="1:8" x14ac:dyDescent="0.4">
      <c r="A480" s="61"/>
      <c r="B480" s="16" t="str">
        <f t="array" ref="B480">IFERROR(MIN(IF(Raw!$A$2:$A$26=MHT!A480,Raw!$B$2:$B$20)),"")</f>
        <v/>
      </c>
      <c r="C480" s="13" t="str">
        <f t="array" ref="C480">IFERROR(MIN(IF(Raw!$A$2:$A$26=MHT!A480,Raw!$C$2:$C$20)),"")</f>
        <v/>
      </c>
      <c r="D480" s="14" t="str">
        <f t="array" ref="D480">IF(Raw!D473="","",IFERROR(MAX(IF(Raw!$A$2:$A$26=MHT!A480,Raw!$D$2:$D$20)),""))</f>
        <v/>
      </c>
      <c r="E480" s="6" t="str">
        <f>IF(SUMIF(Raw!$A$2:$A$500, MHT!A480, Raw!$F$2:$F$500) = TIME(0,0,0), "", SUMIF(Raw!$A$2:$A$500, MHT!A480, Raw!$F$2:$F$500))</f>
        <v/>
      </c>
      <c r="F480" s="12" t="str">
        <f t="array" ref="F480">IF(A480="", "", IF(COUNTIF(Raw!$H$1:$I$500, A480) &gt; 0, "Done", IF(COUNTIF(Raw!$J$1:$J$500, A480) &gt; 0, "Pause", IF(COUNTIF(Raw!$K$1:$K$500, A480) &gt; 0, "On-Going", "Pause"))))</f>
        <v/>
      </c>
      <c r="G480" s="51"/>
      <c r="H480" s="50"/>
    </row>
    <row r="481" spans="1:8" x14ac:dyDescent="0.4">
      <c r="A481" s="61"/>
      <c r="B481" s="16" t="str">
        <f t="array" ref="B481">IFERROR(MIN(IF(Raw!$A$2:$A$26=MHT!A481,Raw!$B$2:$B$20)),"")</f>
        <v/>
      </c>
      <c r="C481" s="13" t="str">
        <f t="array" ref="C481">IFERROR(MIN(IF(Raw!$A$2:$A$26=MHT!A481,Raw!$C$2:$C$20)),"")</f>
        <v/>
      </c>
      <c r="D481" s="14" t="str">
        <f t="array" ref="D481">IF(Raw!D474="","",IFERROR(MAX(IF(Raw!$A$2:$A$26=MHT!A481,Raw!$D$2:$D$20)),""))</f>
        <v/>
      </c>
      <c r="E481" s="6" t="str">
        <f>IF(SUMIF(Raw!$A$2:$A$500, MHT!A481, Raw!$F$2:$F$500) = TIME(0,0,0), "", SUMIF(Raw!$A$2:$A$500, MHT!A481, Raw!$F$2:$F$500))</f>
        <v/>
      </c>
      <c r="F481" s="12" t="str">
        <f t="array" ref="F481">IF(A481="", "", IF(COUNTIF(Raw!$H$1:$I$500, A481) &gt; 0, "Done", IF(COUNTIF(Raw!$J$1:$J$500, A481) &gt; 0, "Pause", IF(COUNTIF(Raw!$K$1:$K$500, A481) &gt; 0, "On-Going", "Pause"))))</f>
        <v/>
      </c>
      <c r="G481" s="51"/>
      <c r="H481" s="50"/>
    </row>
    <row r="482" spans="1:8" x14ac:dyDescent="0.4">
      <c r="A482" s="61"/>
      <c r="B482" s="16" t="str">
        <f t="array" ref="B482">IFERROR(MIN(IF(Raw!$A$2:$A$26=MHT!A482,Raw!$B$2:$B$20)),"")</f>
        <v/>
      </c>
      <c r="C482" s="13" t="str">
        <f t="array" ref="C482">IFERROR(MIN(IF(Raw!$A$2:$A$26=MHT!A482,Raw!$C$2:$C$20)),"")</f>
        <v/>
      </c>
      <c r="D482" s="14" t="str">
        <f t="array" ref="D482">IF(Raw!D475="","",IFERROR(MAX(IF(Raw!$A$2:$A$26=MHT!A482,Raw!$D$2:$D$20)),""))</f>
        <v/>
      </c>
      <c r="E482" s="6" t="str">
        <f>IF(SUMIF(Raw!$A$2:$A$500, MHT!A482, Raw!$F$2:$F$500) = TIME(0,0,0), "", SUMIF(Raw!$A$2:$A$500, MHT!A482, Raw!$F$2:$F$500))</f>
        <v/>
      </c>
      <c r="F482" s="12" t="str">
        <f t="array" ref="F482">IF(A482="", "", IF(COUNTIF(Raw!$H$1:$I$500, A482) &gt; 0, "Done", IF(COUNTIF(Raw!$J$1:$J$500, A482) &gt; 0, "Pause", IF(COUNTIF(Raw!$K$1:$K$500, A482) &gt; 0, "On-Going", "Pause"))))</f>
        <v/>
      </c>
      <c r="G482" s="51"/>
      <c r="H482" s="50"/>
    </row>
    <row r="483" spans="1:8" x14ac:dyDescent="0.4">
      <c r="A483" s="61"/>
      <c r="B483" s="16" t="str">
        <f t="array" ref="B483">IFERROR(MIN(IF(Raw!$A$2:$A$26=MHT!A483,Raw!$B$2:$B$20)),"")</f>
        <v/>
      </c>
      <c r="C483" s="13" t="str">
        <f t="array" ref="C483">IFERROR(MIN(IF(Raw!$A$2:$A$26=MHT!A483,Raw!$C$2:$C$20)),"")</f>
        <v/>
      </c>
      <c r="D483" s="14" t="str">
        <f t="array" ref="D483">IF(Raw!D476="","",IFERROR(MAX(IF(Raw!$A$2:$A$26=MHT!A483,Raw!$D$2:$D$20)),""))</f>
        <v/>
      </c>
      <c r="E483" s="6" t="str">
        <f>IF(SUMIF(Raw!$A$2:$A$500, MHT!A483, Raw!$F$2:$F$500) = TIME(0,0,0), "", SUMIF(Raw!$A$2:$A$500, MHT!A483, Raw!$F$2:$F$500))</f>
        <v/>
      </c>
      <c r="F483" s="12" t="str">
        <f t="array" ref="F483">IF(A483="", "", IF(COUNTIF(Raw!$H$1:$I$500, A483) &gt; 0, "Done", IF(COUNTIF(Raw!$J$1:$J$500, A483) &gt; 0, "Pause", IF(COUNTIF(Raw!$K$1:$K$500, A483) &gt; 0, "On-Going", "Pause"))))</f>
        <v/>
      </c>
      <c r="G483" s="51"/>
      <c r="H483" s="50"/>
    </row>
    <row r="484" spans="1:8" x14ac:dyDescent="0.4">
      <c r="A484" s="61"/>
      <c r="B484" s="16" t="str">
        <f t="array" ref="B484">IFERROR(MIN(IF(Raw!$A$2:$A$26=MHT!A484,Raw!$B$2:$B$20)),"")</f>
        <v/>
      </c>
      <c r="C484" s="13" t="str">
        <f t="array" ref="C484">IFERROR(MIN(IF(Raw!$A$2:$A$26=MHT!A484,Raw!$C$2:$C$20)),"")</f>
        <v/>
      </c>
      <c r="D484" s="14" t="str">
        <f t="array" ref="D484">IF(Raw!D477="","",IFERROR(MAX(IF(Raw!$A$2:$A$26=MHT!A484,Raw!$D$2:$D$20)),""))</f>
        <v/>
      </c>
      <c r="E484" s="6" t="str">
        <f>IF(SUMIF(Raw!$A$2:$A$500, MHT!A484, Raw!$F$2:$F$500) = TIME(0,0,0), "", SUMIF(Raw!$A$2:$A$500, MHT!A484, Raw!$F$2:$F$500))</f>
        <v/>
      </c>
      <c r="F484" s="12" t="str">
        <f t="array" ref="F484">IF(A484="", "", IF(COUNTIF(Raw!$H$1:$I$500, A484) &gt; 0, "Done", IF(COUNTIF(Raw!$J$1:$J$500, A484) &gt; 0, "Pause", IF(COUNTIF(Raw!$K$1:$K$500, A484) &gt; 0, "On-Going", "Pause"))))</f>
        <v/>
      </c>
      <c r="G484" s="51"/>
      <c r="H484" s="50"/>
    </row>
    <row r="485" spans="1:8" x14ac:dyDescent="0.4">
      <c r="A485" s="61"/>
      <c r="B485" s="16" t="str">
        <f t="array" ref="B485">IFERROR(MIN(IF(Raw!$A$2:$A$26=MHT!A485,Raw!$B$2:$B$20)),"")</f>
        <v/>
      </c>
      <c r="C485" s="13" t="str">
        <f t="array" ref="C485">IFERROR(MIN(IF(Raw!$A$2:$A$26=MHT!A485,Raw!$C$2:$C$20)),"")</f>
        <v/>
      </c>
      <c r="D485" s="14" t="str">
        <f t="array" ref="D485">IF(Raw!D478="","",IFERROR(MAX(IF(Raw!$A$2:$A$26=MHT!A485,Raw!$D$2:$D$20)),""))</f>
        <v/>
      </c>
      <c r="E485" s="6" t="str">
        <f>IF(SUMIF(Raw!$A$2:$A$500, MHT!A485, Raw!$F$2:$F$500) = TIME(0,0,0), "", SUMIF(Raw!$A$2:$A$500, MHT!A485, Raw!$F$2:$F$500))</f>
        <v/>
      </c>
      <c r="F485" s="12" t="str">
        <f t="array" ref="F485">IF(A485="", "", IF(COUNTIF(Raw!$H$1:$I$500, A485) &gt; 0, "Done", IF(COUNTIF(Raw!$J$1:$J$500, A485) &gt; 0, "Pause", IF(COUNTIF(Raw!$K$1:$K$500, A485) &gt; 0, "On-Going", "Pause"))))</f>
        <v/>
      </c>
      <c r="G485" s="51"/>
      <c r="H485" s="50"/>
    </row>
    <row r="486" spans="1:8" x14ac:dyDescent="0.4">
      <c r="A486" s="61"/>
      <c r="B486" s="16" t="str">
        <f t="array" ref="B486">IFERROR(MIN(IF(Raw!$A$2:$A$26=MHT!A486,Raw!$B$2:$B$20)),"")</f>
        <v/>
      </c>
      <c r="C486" s="13" t="str">
        <f t="array" ref="C486">IFERROR(MIN(IF(Raw!$A$2:$A$26=MHT!A486,Raw!$C$2:$C$20)),"")</f>
        <v/>
      </c>
      <c r="D486" s="14" t="str">
        <f t="array" ref="D486">IF(Raw!D479="","",IFERROR(MAX(IF(Raw!$A$2:$A$26=MHT!A486,Raw!$D$2:$D$20)),""))</f>
        <v/>
      </c>
      <c r="E486" s="6" t="str">
        <f>IF(SUMIF(Raw!$A$2:$A$500, MHT!A486, Raw!$F$2:$F$500) = TIME(0,0,0), "", SUMIF(Raw!$A$2:$A$500, MHT!A486, Raw!$F$2:$F$500))</f>
        <v/>
      </c>
      <c r="F486" s="12" t="str">
        <f t="array" ref="F486">IF(A486="", "", IF(COUNTIF(Raw!$H$1:$I$500, A486) &gt; 0, "Done", IF(COUNTIF(Raw!$J$1:$J$500, A486) &gt; 0, "Pause", IF(COUNTIF(Raw!$K$1:$K$500, A486) &gt; 0, "On-Going", "Pause"))))</f>
        <v/>
      </c>
      <c r="G486" s="51"/>
      <c r="H486" s="50"/>
    </row>
    <row r="487" spans="1:8" x14ac:dyDescent="0.4">
      <c r="A487" s="61"/>
      <c r="B487" s="16" t="str">
        <f t="array" ref="B487">IFERROR(MIN(IF(Raw!$A$2:$A$26=MHT!A487,Raw!$B$2:$B$20)),"")</f>
        <v/>
      </c>
      <c r="C487" s="13" t="str">
        <f t="array" ref="C487">IFERROR(MIN(IF(Raw!$A$2:$A$26=MHT!A487,Raw!$C$2:$C$20)),"")</f>
        <v/>
      </c>
      <c r="D487" s="14" t="str">
        <f t="array" ref="D487">IF(Raw!D480="","",IFERROR(MAX(IF(Raw!$A$2:$A$26=MHT!A487,Raw!$D$2:$D$20)),""))</f>
        <v/>
      </c>
      <c r="E487" s="6" t="str">
        <f>IF(SUMIF(Raw!$A$2:$A$500, MHT!A487, Raw!$F$2:$F$500) = TIME(0,0,0), "", SUMIF(Raw!$A$2:$A$500, MHT!A487, Raw!$F$2:$F$500))</f>
        <v/>
      </c>
      <c r="F487" s="12" t="str">
        <f t="array" ref="F487">IF(A487="", "", IF(COUNTIF(Raw!$H$1:$I$500, A487) &gt; 0, "Done", IF(COUNTIF(Raw!$J$1:$J$500, A487) &gt; 0, "Pause", IF(COUNTIF(Raw!$K$1:$K$500, A487) &gt; 0, "On-Going", "Pause"))))</f>
        <v/>
      </c>
      <c r="G487" s="51"/>
      <c r="H487" s="50"/>
    </row>
    <row r="488" spans="1:8" x14ac:dyDescent="0.4">
      <c r="A488" s="61"/>
      <c r="B488" s="16" t="str">
        <f t="array" ref="B488">IFERROR(MIN(IF(Raw!$A$2:$A$26=MHT!A488,Raw!$B$2:$B$20)),"")</f>
        <v/>
      </c>
      <c r="C488" s="13" t="str">
        <f t="array" ref="C488">IFERROR(MIN(IF(Raw!$A$2:$A$26=MHT!A488,Raw!$C$2:$C$20)),"")</f>
        <v/>
      </c>
      <c r="D488" s="14" t="str">
        <f t="array" ref="D488">IF(Raw!D481="","",IFERROR(MAX(IF(Raw!$A$2:$A$26=MHT!A488,Raw!$D$2:$D$20)),""))</f>
        <v/>
      </c>
      <c r="E488" s="6" t="str">
        <f>IF(SUMIF(Raw!$A$2:$A$500, MHT!A488, Raw!$F$2:$F$500) = TIME(0,0,0), "", SUMIF(Raw!$A$2:$A$500, MHT!A488, Raw!$F$2:$F$500))</f>
        <v/>
      </c>
      <c r="F488" s="12" t="str">
        <f t="array" ref="F488">IF(A488="", "", IF(COUNTIF(Raw!$H$1:$I$500, A488) &gt; 0, "Done", IF(COUNTIF(Raw!$J$1:$J$500, A488) &gt; 0, "Pause", IF(COUNTIF(Raw!$K$1:$K$500, A488) &gt; 0, "On-Going", "Pause"))))</f>
        <v/>
      </c>
      <c r="G488" s="51"/>
      <c r="H488" s="50"/>
    </row>
    <row r="489" spans="1:8" x14ac:dyDescent="0.4">
      <c r="A489" s="61"/>
      <c r="B489" s="16" t="str">
        <f t="array" ref="B489">IFERROR(MIN(IF(Raw!$A$2:$A$26=MHT!A489,Raw!$B$2:$B$20)),"")</f>
        <v/>
      </c>
      <c r="C489" s="13" t="str">
        <f t="array" ref="C489">IFERROR(MIN(IF(Raw!$A$2:$A$26=MHT!A489,Raw!$C$2:$C$20)),"")</f>
        <v/>
      </c>
      <c r="D489" s="14" t="str">
        <f t="array" ref="D489">IF(Raw!D482="","",IFERROR(MAX(IF(Raw!$A$2:$A$26=MHT!A489,Raw!$D$2:$D$20)),""))</f>
        <v/>
      </c>
      <c r="E489" s="6" t="str">
        <f>IF(SUMIF(Raw!$A$2:$A$500, MHT!A489, Raw!$F$2:$F$500) = TIME(0,0,0), "", SUMIF(Raw!$A$2:$A$500, MHT!A489, Raw!$F$2:$F$500))</f>
        <v/>
      </c>
      <c r="F489" s="12" t="str">
        <f t="array" ref="F489">IF(A489="", "", IF(COUNTIF(Raw!$H$1:$I$500, A489) &gt; 0, "Done", IF(COUNTIF(Raw!$J$1:$J$500, A489) &gt; 0, "Pause", IF(COUNTIF(Raw!$K$1:$K$500, A489) &gt; 0, "On-Going", "Pause"))))</f>
        <v/>
      </c>
      <c r="G489" s="51"/>
      <c r="H489" s="50"/>
    </row>
    <row r="490" spans="1:8" x14ac:dyDescent="0.4">
      <c r="A490" s="61"/>
      <c r="B490" s="16" t="str">
        <f t="array" ref="B490">IFERROR(MIN(IF(Raw!$A$2:$A$26=MHT!A490,Raw!$B$2:$B$20)),"")</f>
        <v/>
      </c>
      <c r="C490" s="13" t="str">
        <f t="array" ref="C490">IFERROR(MIN(IF(Raw!$A$2:$A$26=MHT!A490,Raw!$C$2:$C$20)),"")</f>
        <v/>
      </c>
      <c r="D490" s="14" t="str">
        <f t="array" ref="D490">IF(Raw!D483="","",IFERROR(MAX(IF(Raw!$A$2:$A$26=MHT!A490,Raw!$D$2:$D$20)),""))</f>
        <v/>
      </c>
      <c r="E490" s="6" t="str">
        <f>IF(SUMIF(Raw!$A$2:$A$500, MHT!A490, Raw!$F$2:$F$500) = TIME(0,0,0), "", SUMIF(Raw!$A$2:$A$500, MHT!A490, Raw!$F$2:$F$500))</f>
        <v/>
      </c>
      <c r="F490" s="12" t="str">
        <f t="array" ref="F490">IF(A490="", "", IF(COUNTIF(Raw!$H$1:$I$500, A490) &gt; 0, "Done", IF(COUNTIF(Raw!$J$1:$J$500, A490) &gt; 0, "Pause", IF(COUNTIF(Raw!$K$1:$K$500, A490) &gt; 0, "On-Going", "Pause"))))</f>
        <v/>
      </c>
      <c r="G490" s="51"/>
      <c r="H490" s="50"/>
    </row>
    <row r="491" spans="1:8" x14ac:dyDescent="0.4">
      <c r="A491" s="61"/>
      <c r="B491" s="16" t="str">
        <f t="array" ref="B491">IFERROR(MIN(IF(Raw!$A$2:$A$26=MHT!A491,Raw!$B$2:$B$20)),"")</f>
        <v/>
      </c>
      <c r="C491" s="13" t="str">
        <f t="array" ref="C491">IFERROR(MIN(IF(Raw!$A$2:$A$26=MHT!A491,Raw!$C$2:$C$20)),"")</f>
        <v/>
      </c>
      <c r="D491" s="14" t="str">
        <f t="array" ref="D491">IF(Raw!D484="","",IFERROR(MAX(IF(Raw!$A$2:$A$26=MHT!A491,Raw!$D$2:$D$20)),""))</f>
        <v/>
      </c>
      <c r="E491" s="6" t="str">
        <f>IF(SUMIF(Raw!$A$2:$A$500, MHT!A491, Raw!$F$2:$F$500) = TIME(0,0,0), "", SUMIF(Raw!$A$2:$A$500, MHT!A491, Raw!$F$2:$F$500))</f>
        <v/>
      </c>
      <c r="F491" s="12" t="str">
        <f t="array" ref="F491">IF(A491="", "", IF(COUNTIF(Raw!$H$1:$I$500, A491) &gt; 0, "Done", IF(COUNTIF(Raw!$J$1:$J$500, A491) &gt; 0, "Pause", IF(COUNTIF(Raw!$K$1:$K$500, A491) &gt; 0, "On-Going", "Pause"))))</f>
        <v/>
      </c>
      <c r="G491" s="51"/>
      <c r="H491" s="50"/>
    </row>
    <row r="492" spans="1:8" x14ac:dyDescent="0.4">
      <c r="A492" s="61"/>
      <c r="B492" s="16" t="str">
        <f t="array" ref="B492">IFERROR(MIN(IF(Raw!$A$2:$A$26=MHT!A492,Raw!$B$2:$B$20)),"")</f>
        <v/>
      </c>
      <c r="C492" s="13" t="str">
        <f t="array" ref="C492">IFERROR(MIN(IF(Raw!$A$2:$A$26=MHT!A492,Raw!$C$2:$C$20)),"")</f>
        <v/>
      </c>
      <c r="D492" s="14" t="str">
        <f t="array" ref="D492">IF(Raw!D485="","",IFERROR(MAX(IF(Raw!$A$2:$A$26=MHT!A492,Raw!$D$2:$D$20)),""))</f>
        <v/>
      </c>
      <c r="E492" s="6" t="str">
        <f>IF(SUMIF(Raw!$A$2:$A$500, MHT!A492, Raw!$F$2:$F$500) = TIME(0,0,0), "", SUMIF(Raw!$A$2:$A$500, MHT!A492, Raw!$F$2:$F$500))</f>
        <v/>
      </c>
      <c r="F492" s="12" t="str">
        <f t="array" ref="F492">IF(A492="", "", IF(COUNTIF(Raw!$H$1:$I$500, A492) &gt; 0, "Done", IF(COUNTIF(Raw!$J$1:$J$500, A492) &gt; 0, "Pause", IF(COUNTIF(Raw!$K$1:$K$500, A492) &gt; 0, "On-Going", "Pause"))))</f>
        <v/>
      </c>
      <c r="G492" s="51"/>
      <c r="H492" s="50"/>
    </row>
    <row r="493" spans="1:8" x14ac:dyDescent="0.4">
      <c r="A493" s="61"/>
      <c r="B493" s="16" t="str">
        <f t="array" ref="B493">IFERROR(MIN(IF(Raw!$A$2:$A$26=MHT!A493,Raw!$B$2:$B$20)),"")</f>
        <v/>
      </c>
      <c r="C493" s="13" t="str">
        <f t="array" ref="C493">IFERROR(MIN(IF(Raw!$A$2:$A$26=MHT!A493,Raw!$C$2:$C$20)),"")</f>
        <v/>
      </c>
      <c r="D493" s="14" t="str">
        <f t="array" ref="D493">IF(Raw!D486="","",IFERROR(MAX(IF(Raw!$A$2:$A$26=MHT!A493,Raw!$D$2:$D$20)),""))</f>
        <v/>
      </c>
      <c r="E493" s="6" t="str">
        <f>IF(SUMIF(Raw!$A$2:$A$500, MHT!A493, Raw!$F$2:$F$500) = TIME(0,0,0), "", SUMIF(Raw!$A$2:$A$500, MHT!A493, Raw!$F$2:$F$500))</f>
        <v/>
      </c>
      <c r="F493" s="12" t="str">
        <f t="array" ref="F493">IF(A493="", "", IF(COUNTIF(Raw!$H$1:$I$500, A493) &gt; 0, "Done", IF(COUNTIF(Raw!$J$1:$J$500, A493) &gt; 0, "Pause", IF(COUNTIF(Raw!$K$1:$K$500, A493) &gt; 0, "On-Going", "Pause"))))</f>
        <v/>
      </c>
      <c r="G493" s="51"/>
      <c r="H493" s="50"/>
    </row>
    <row r="494" spans="1:8" x14ac:dyDescent="0.4">
      <c r="A494" s="61"/>
      <c r="B494" s="16" t="str">
        <f t="array" ref="B494">IFERROR(MIN(IF(Raw!$A$2:$A$26=MHT!A494,Raw!$B$2:$B$20)),"")</f>
        <v/>
      </c>
      <c r="C494" s="13" t="str">
        <f t="array" ref="C494">IFERROR(MIN(IF(Raw!$A$2:$A$26=MHT!A494,Raw!$C$2:$C$20)),"")</f>
        <v/>
      </c>
      <c r="D494" s="14" t="str">
        <f t="array" ref="D494">IF(Raw!D487="","",IFERROR(MAX(IF(Raw!$A$2:$A$26=MHT!A494,Raw!$D$2:$D$20)),""))</f>
        <v/>
      </c>
      <c r="E494" s="6" t="str">
        <f>IF(SUMIF(Raw!$A$2:$A$500, MHT!A494, Raw!$F$2:$F$500) = TIME(0,0,0), "", SUMIF(Raw!$A$2:$A$500, MHT!A494, Raw!$F$2:$F$500))</f>
        <v/>
      </c>
      <c r="F494" s="12" t="str">
        <f t="array" ref="F494">IF(A494="", "", IF(COUNTIF(Raw!$H$1:$I$500, A494) &gt; 0, "Done", IF(COUNTIF(Raw!$J$1:$J$500, A494) &gt; 0, "Pause", IF(COUNTIF(Raw!$K$1:$K$500, A494) &gt; 0, "On-Going", "Pause"))))</f>
        <v/>
      </c>
      <c r="G494" s="51"/>
      <c r="H494" s="50"/>
    </row>
    <row r="495" spans="1:8" x14ac:dyDescent="0.4">
      <c r="A495" s="61"/>
      <c r="B495" s="16" t="str">
        <f t="array" ref="B495">IFERROR(MIN(IF(Raw!$A$2:$A$26=MHT!A495,Raw!$B$2:$B$20)),"")</f>
        <v/>
      </c>
      <c r="C495" s="13" t="str">
        <f t="array" ref="C495">IFERROR(MIN(IF(Raw!$A$2:$A$26=MHT!A495,Raw!$C$2:$C$20)),"")</f>
        <v/>
      </c>
      <c r="D495" s="14" t="str">
        <f t="array" ref="D495">IF(Raw!D488="","",IFERROR(MAX(IF(Raw!$A$2:$A$26=MHT!A495,Raw!$D$2:$D$20)),""))</f>
        <v/>
      </c>
      <c r="E495" s="6" t="str">
        <f>IF(SUMIF(Raw!$A$2:$A$500, MHT!A495, Raw!$F$2:$F$500) = TIME(0,0,0), "", SUMIF(Raw!$A$2:$A$500, MHT!A495, Raw!$F$2:$F$500))</f>
        <v/>
      </c>
      <c r="F495" s="12" t="str">
        <f t="array" ref="F495">IF(A495="", "", IF(COUNTIF(Raw!$H$1:$I$500, A495) &gt; 0, "Done", IF(COUNTIF(Raw!$J$1:$J$500, A495) &gt; 0, "Pause", IF(COUNTIF(Raw!$K$1:$K$500, A495) &gt; 0, "On-Going", "Pause"))))</f>
        <v/>
      </c>
      <c r="G495" s="51"/>
      <c r="H495" s="50"/>
    </row>
    <row r="496" spans="1:8" x14ac:dyDescent="0.4">
      <c r="A496" s="61"/>
      <c r="B496" s="16" t="str">
        <f t="array" ref="B496">IFERROR(MIN(IF(Raw!$A$2:$A$26=MHT!A496,Raw!$B$2:$B$20)),"")</f>
        <v/>
      </c>
      <c r="C496" s="13" t="str">
        <f t="array" ref="C496">IFERROR(MIN(IF(Raw!$A$2:$A$26=MHT!A496,Raw!$C$2:$C$20)),"")</f>
        <v/>
      </c>
      <c r="D496" s="14" t="str">
        <f t="array" ref="D496">IF(Raw!D489="","",IFERROR(MAX(IF(Raw!$A$2:$A$26=MHT!A496,Raw!$D$2:$D$20)),""))</f>
        <v/>
      </c>
      <c r="E496" s="6" t="str">
        <f>IF(SUMIF(Raw!$A$2:$A$500, MHT!A496, Raw!$F$2:$F$500) = TIME(0,0,0), "", SUMIF(Raw!$A$2:$A$500, MHT!A496, Raw!$F$2:$F$500))</f>
        <v/>
      </c>
      <c r="F496" s="12" t="str">
        <f t="array" ref="F496">IF(A496="", "", IF(COUNTIF(Raw!$H$1:$I$500, A496) &gt; 0, "Done", IF(COUNTIF(Raw!$J$1:$J$500, A496) &gt; 0, "Pause", IF(COUNTIF(Raw!$K$1:$K$500, A496) &gt; 0, "On-Going", "Pause"))))</f>
        <v/>
      </c>
      <c r="G496" s="51"/>
      <c r="H496" s="50"/>
    </row>
    <row r="497" spans="1:8" x14ac:dyDescent="0.4">
      <c r="A497" s="61"/>
      <c r="B497" s="16" t="str">
        <f t="array" ref="B497">IFERROR(MIN(IF(Raw!$A$2:$A$26=MHT!A497,Raw!$B$2:$B$20)),"")</f>
        <v/>
      </c>
      <c r="C497" s="13" t="str">
        <f t="array" ref="C497">IFERROR(MIN(IF(Raw!$A$2:$A$26=MHT!A497,Raw!$C$2:$C$20)),"")</f>
        <v/>
      </c>
      <c r="D497" s="14" t="str">
        <f t="array" ref="D497">IF(Raw!D490="","",IFERROR(MAX(IF(Raw!$A$2:$A$26=MHT!A497,Raw!$D$2:$D$20)),""))</f>
        <v/>
      </c>
      <c r="E497" s="6" t="str">
        <f>IF(SUMIF(Raw!$A$2:$A$500, MHT!A497, Raw!$F$2:$F$500) = TIME(0,0,0), "", SUMIF(Raw!$A$2:$A$500, MHT!A497, Raw!$F$2:$F$500))</f>
        <v/>
      </c>
      <c r="F497" s="12" t="str">
        <f t="array" ref="F497">IF(A497="", "", IF(COUNTIF(Raw!$H$1:$I$500, A497) &gt; 0, "Done", IF(COUNTIF(Raw!$J$1:$J$500, A497) &gt; 0, "Pause", IF(COUNTIF(Raw!$K$1:$K$500, A497) &gt; 0, "On-Going", "Pause"))))</f>
        <v/>
      </c>
      <c r="G497" s="51"/>
      <c r="H497" s="50"/>
    </row>
    <row r="498" spans="1:8" x14ac:dyDescent="0.4">
      <c r="A498" s="61"/>
      <c r="B498" s="16" t="str">
        <f t="array" ref="B498">IFERROR(MIN(IF(Raw!$A$2:$A$26=MHT!A498,Raw!$B$2:$B$20)),"")</f>
        <v/>
      </c>
      <c r="C498" s="13" t="str">
        <f t="array" ref="C498">IFERROR(MIN(IF(Raw!$A$2:$A$26=MHT!A498,Raw!$C$2:$C$20)),"")</f>
        <v/>
      </c>
      <c r="D498" s="14" t="str">
        <f t="array" ref="D498">IF(Raw!D491="","",IFERROR(MAX(IF(Raw!$A$2:$A$26=MHT!A498,Raw!$D$2:$D$20)),""))</f>
        <v/>
      </c>
      <c r="E498" s="6" t="str">
        <f>IF(SUMIF(Raw!$A$2:$A$500, MHT!A498, Raw!$F$2:$F$500) = TIME(0,0,0), "", SUMIF(Raw!$A$2:$A$500, MHT!A498, Raw!$F$2:$F$500))</f>
        <v/>
      </c>
      <c r="F498" s="12" t="str">
        <f t="array" ref="F498">IF(A498="", "", IF(COUNTIF(Raw!$H$1:$I$500, A498) &gt; 0, "Done", IF(COUNTIF(Raw!$J$1:$J$500, A498) &gt; 0, "Pause", IF(COUNTIF(Raw!$K$1:$K$500, A498) &gt; 0, "On-Going", "Pause"))))</f>
        <v/>
      </c>
      <c r="G498" s="51"/>
      <c r="H498" s="50"/>
    </row>
    <row r="499" spans="1:8" x14ac:dyDescent="0.4">
      <c r="A499" s="61"/>
      <c r="B499" s="16" t="str">
        <f t="array" ref="B499">IFERROR(MIN(IF(Raw!$A$2:$A$26=MHT!A499,Raw!$B$2:$B$20)),"")</f>
        <v/>
      </c>
      <c r="C499" s="13" t="str">
        <f t="array" ref="C499">IFERROR(MIN(IF(Raw!$A$2:$A$26=MHT!A499,Raw!$C$2:$C$20)),"")</f>
        <v/>
      </c>
      <c r="D499" s="14" t="str">
        <f t="array" ref="D499">IF(Raw!D492="","",IFERROR(MAX(IF(Raw!$A$2:$A$26=MHT!A499,Raw!$D$2:$D$20)),""))</f>
        <v/>
      </c>
      <c r="E499" s="6" t="str">
        <f>IF(SUMIF(Raw!$A$2:$A$500, MHT!A499, Raw!$F$2:$F$500) = TIME(0,0,0), "", SUMIF(Raw!$A$2:$A$500, MHT!A499, Raw!$F$2:$F$500))</f>
        <v/>
      </c>
      <c r="F499" s="12" t="str">
        <f t="array" ref="F499">IF(A499="", "", IF(COUNTIF(Raw!$H$1:$I$500, A499) &gt; 0, "Done", IF(COUNTIF(Raw!$J$1:$J$500, A499) &gt; 0, "Pause", IF(COUNTIF(Raw!$K$1:$K$500, A499) &gt; 0, "On-Going", "Pause"))))</f>
        <v/>
      </c>
      <c r="G499" s="51"/>
      <c r="H499" s="50"/>
    </row>
    <row r="500" spans="1:8" x14ac:dyDescent="0.4">
      <c r="A500" s="61"/>
      <c r="B500" s="16" t="str">
        <f t="array" ref="B500">IFERROR(MIN(IF(Raw!$A$2:$A$26=MHT!A500,Raw!$B$2:$B$20)),"")</f>
        <v/>
      </c>
      <c r="C500" s="13" t="str">
        <f t="array" ref="C500">IFERROR(MIN(IF(Raw!$A$2:$A$26=MHT!A500,Raw!$C$2:$C$20)),"")</f>
        <v/>
      </c>
      <c r="D500" s="14" t="str">
        <f t="array" ref="D500">IF(Raw!D493="","",IFERROR(MAX(IF(Raw!$A$2:$A$26=MHT!A500,Raw!$D$2:$D$20)),""))</f>
        <v/>
      </c>
      <c r="E500" s="6" t="str">
        <f>IF(SUMIF(Raw!$A$2:$A$500, MHT!A500, Raw!$F$2:$F$500) = TIME(0,0,0), "", SUMIF(Raw!$A$2:$A$500, MHT!A500, Raw!$F$2:$F$500))</f>
        <v/>
      </c>
      <c r="F500" s="12" t="str">
        <f t="array" ref="F500">IF(A500="", "", IF(COUNTIF(Raw!$H$1:$I$500, A500) &gt; 0, "Done", IF(COUNTIF(Raw!$J$1:$J$500, A500) &gt; 0, "Pause", IF(COUNTIF(Raw!$K$1:$K$500, A500) &gt; 0, "On-Going", "Pause"))))</f>
        <v/>
      </c>
      <c r="G500" s="51"/>
      <c r="H500" s="50"/>
    </row>
    <row r="501" spans="1:8" x14ac:dyDescent="0.4">
      <c r="A501" s="61"/>
      <c r="B501" s="16" t="str">
        <f t="array" ref="B501">IFERROR(MIN(IF(Raw!$A$2:$A$26=MHT!A501,Raw!$B$2:$B$20)),"")</f>
        <v/>
      </c>
      <c r="C501" s="13" t="str">
        <f t="array" ref="C501">IFERROR(MIN(IF(Raw!$A$2:$A$26=MHT!A501,Raw!$C$2:$C$20)),"")</f>
        <v/>
      </c>
      <c r="D501" s="14" t="str">
        <f t="array" ref="D501">IF(Raw!D494="","",IFERROR(MAX(IF(Raw!$A$2:$A$26=MHT!A501,Raw!$D$2:$D$20)),""))</f>
        <v/>
      </c>
      <c r="E501" s="6" t="str">
        <f>IF(SUMIF(Raw!$A$2:$A$500, MHT!A501, Raw!$F$2:$F$500) = TIME(0,0,0), "", SUMIF(Raw!$A$2:$A$500, MHT!A501, Raw!$F$2:$F$500))</f>
        <v/>
      </c>
      <c r="F501" s="12" t="str">
        <f t="array" ref="F501">IF(A501="", "", IF(COUNTIF(Raw!$H$1:$I$500, A501) &gt; 0, "Done", IF(COUNTIF(Raw!$J$1:$J$500, A501) &gt; 0, "Pause", IF(COUNTIF(Raw!$K$1:$K$500, A501) &gt; 0, "On-Going", "Pause"))))</f>
        <v/>
      </c>
      <c r="G501" s="51"/>
      <c r="H501" s="50"/>
    </row>
    <row r="502" spans="1:8" x14ac:dyDescent="0.4">
      <c r="A502" s="61"/>
      <c r="B502" s="16" t="str">
        <f t="array" ref="B502">IFERROR(MIN(IF(Raw!$A$2:$A$26=MHT!A502,Raw!$B$2:$B$20)),"")</f>
        <v/>
      </c>
      <c r="C502" s="13" t="str">
        <f t="array" ref="C502">IFERROR(MIN(IF(Raw!$A$2:$A$26=MHT!A502,Raw!$C$2:$C$20)),"")</f>
        <v/>
      </c>
      <c r="D502" s="14" t="str">
        <f t="array" ref="D502">IF(Raw!D495="","",IFERROR(MAX(IF(Raw!$A$2:$A$26=MHT!A502,Raw!$D$2:$D$20)),""))</f>
        <v/>
      </c>
      <c r="E502" s="6" t="str">
        <f>IF(SUMIF(Raw!$A$2:$A$500, MHT!A502, Raw!$F$2:$F$500) = TIME(0,0,0), "", SUMIF(Raw!$A$2:$A$500, MHT!A502, Raw!$F$2:$F$500))</f>
        <v/>
      </c>
      <c r="F502" s="12" t="str">
        <f t="array" ref="F502">IF(A502="", "", IF(COUNTIF(Raw!$H$1:$I$500, A502) &gt; 0, "Done", IF(COUNTIF(Raw!$J$1:$J$500, A502) &gt; 0, "Pause", IF(COUNTIF(Raw!$K$1:$K$500, A502) &gt; 0, "On-Going", "Pause"))))</f>
        <v/>
      </c>
      <c r="G502" s="51"/>
      <c r="H502" s="50"/>
    </row>
    <row r="503" spans="1:8" x14ac:dyDescent="0.4">
      <c r="A503" s="61"/>
      <c r="B503" s="16" t="str">
        <f t="array" ref="B503">IFERROR(MIN(IF(Raw!$A$2:$A$26=MHT!A503,Raw!$B$2:$B$20)),"")</f>
        <v/>
      </c>
      <c r="C503" s="13" t="str">
        <f t="array" ref="C503">IFERROR(MIN(IF(Raw!$A$2:$A$26=MHT!A503,Raw!$C$2:$C$20)),"")</f>
        <v/>
      </c>
      <c r="D503" s="14" t="str">
        <f t="array" ref="D503">IF(Raw!D496="","",IFERROR(MAX(IF(Raw!$A$2:$A$26=MHT!A503,Raw!$D$2:$D$20)),""))</f>
        <v/>
      </c>
      <c r="E503" s="6" t="str">
        <f>IF(SUMIF(Raw!$A$2:$A$500, MHT!A503, Raw!$F$2:$F$500) = TIME(0,0,0), "", SUMIF(Raw!$A$2:$A$500, MHT!A503, Raw!$F$2:$F$500))</f>
        <v/>
      </c>
      <c r="F503" s="12" t="str">
        <f t="array" ref="F503">IF(A503="", "", IF(COUNTIF(Raw!$H$1:$I$500, A503) &gt; 0, "Done", IF(COUNTIF(Raw!$J$1:$J$500, A503) &gt; 0, "Pause", IF(COUNTIF(Raw!$K$1:$K$500, A503) &gt; 0, "On-Going", "Pause"))))</f>
        <v/>
      </c>
      <c r="G503" s="51"/>
      <c r="H503" s="50"/>
    </row>
    <row r="504" spans="1:8" x14ac:dyDescent="0.4">
      <c r="A504" s="61"/>
      <c r="B504" s="16" t="str">
        <f t="array" ref="B504">IFERROR(MIN(IF(Raw!$A$2:$A$26=MHT!A504,Raw!$B$2:$B$20)),"")</f>
        <v/>
      </c>
      <c r="C504" s="13" t="str">
        <f t="array" ref="C504">IFERROR(MIN(IF(Raw!$A$2:$A$26=MHT!A504,Raw!$C$2:$C$20)),"")</f>
        <v/>
      </c>
      <c r="D504" s="14" t="str">
        <f t="array" ref="D504">IF(Raw!D497="","",IFERROR(MAX(IF(Raw!$A$2:$A$26=MHT!A504,Raw!$D$2:$D$20)),""))</f>
        <v/>
      </c>
      <c r="E504" s="6" t="str">
        <f>IF(SUMIF(Raw!$A$2:$A$500, MHT!A504, Raw!$F$2:$F$500) = TIME(0,0,0), "", SUMIF(Raw!$A$2:$A$500, MHT!A504, Raw!$F$2:$F$500))</f>
        <v/>
      </c>
      <c r="F504" s="12" t="str">
        <f t="array" ref="F504">IF(A504="", "", IF(COUNTIF(Raw!$H$1:$I$500, A504) &gt; 0, "Done", IF(COUNTIF(Raw!$J$1:$J$500, A504) &gt; 0, "Pause", IF(COUNTIF(Raw!$K$1:$K$500, A504) &gt; 0, "On-Going", "Pause"))))</f>
        <v/>
      </c>
      <c r="G504" s="51"/>
      <c r="H504" s="50"/>
    </row>
    <row r="505" spans="1:8" x14ac:dyDescent="0.4">
      <c r="A505" s="61"/>
      <c r="B505" s="16" t="str">
        <f t="array" ref="B505">IFERROR(MIN(IF(Raw!$A$2:$A$26=MHT!A505,Raw!$B$2:$B$20)),"")</f>
        <v/>
      </c>
      <c r="C505" s="13" t="str">
        <f t="array" ref="C505">IFERROR(MIN(IF(Raw!$A$2:$A$26=MHT!A505,Raw!$C$2:$C$20)),"")</f>
        <v/>
      </c>
      <c r="D505" s="14" t="str">
        <f t="array" ref="D505">IF(Raw!D498="","",IFERROR(MAX(IF(Raw!$A$2:$A$26=MHT!A505,Raw!$D$2:$D$20)),""))</f>
        <v/>
      </c>
      <c r="E505" s="6" t="str">
        <f>IF(SUMIF(Raw!$A$2:$A$500, MHT!A505, Raw!$F$2:$F$500) = TIME(0,0,0), "", SUMIF(Raw!$A$2:$A$500, MHT!A505, Raw!$F$2:$F$500))</f>
        <v/>
      </c>
      <c r="F505" s="12" t="str">
        <f t="array" ref="F505">IF(A505="", "", IF(COUNTIF(Raw!$H$1:$I$500, A505) &gt; 0, "Done", IF(COUNTIF(Raw!$J$1:$J$500, A505) &gt; 0, "Pause", IF(COUNTIF(Raw!$K$1:$K$500, A505) &gt; 0, "On-Going", "Pause"))))</f>
        <v/>
      </c>
      <c r="G505" s="51"/>
      <c r="H505" s="50"/>
    </row>
    <row r="506" spans="1:8" x14ac:dyDescent="0.4">
      <c r="A506" s="61"/>
      <c r="B506" s="16" t="str">
        <f t="array" ref="B506">IFERROR(MIN(IF(Raw!$A$2:$A$26=MHT!A506,Raw!$B$2:$B$20)),"")</f>
        <v/>
      </c>
      <c r="C506" s="13" t="str">
        <f t="array" ref="C506">IFERROR(MIN(IF(Raw!$A$2:$A$26=MHT!A506,Raw!$C$2:$C$20)),"")</f>
        <v/>
      </c>
      <c r="D506" s="14" t="str">
        <f t="array" ref="D506">IF(Raw!D499="","",IFERROR(MAX(IF(Raw!$A$2:$A$26=MHT!A506,Raw!$D$2:$D$20)),""))</f>
        <v/>
      </c>
      <c r="E506" s="6" t="str">
        <f>IF(SUMIF(Raw!$A$2:$A$500, MHT!A506, Raw!$F$2:$F$500) = TIME(0,0,0), "", SUMIF(Raw!$A$2:$A$500, MHT!A506, Raw!$F$2:$F$500))</f>
        <v/>
      </c>
      <c r="F506" s="12" t="str">
        <f t="array" ref="F506">IF(A506="", "", IF(COUNTIF(Raw!$H$1:$I$500, A506) &gt; 0, "Done", IF(COUNTIF(Raw!$J$1:$J$500, A506) &gt; 0, "Pause", IF(COUNTIF(Raw!$K$1:$K$500, A506) &gt; 0, "On-Going", "Pause"))))</f>
        <v/>
      </c>
      <c r="G506" s="51"/>
      <c r="H506" s="50"/>
    </row>
    <row r="507" spans="1:8" x14ac:dyDescent="0.4">
      <c r="A507" s="61"/>
      <c r="B507" s="16" t="str">
        <f t="array" ref="B507">IFERROR(MIN(IF(Raw!$A$2:$A$26=MHT!A507,Raw!$B$2:$B$20)),"")</f>
        <v/>
      </c>
      <c r="C507" s="13" t="str">
        <f t="array" ref="C507">IFERROR(MIN(IF(Raw!$A$2:$A$26=MHT!A507,Raw!$C$2:$C$20)),"")</f>
        <v/>
      </c>
      <c r="D507" s="14" t="str">
        <f t="array" ref="D507">IF(Raw!D500="","",IFERROR(MAX(IF(Raw!$A$2:$A$26=MHT!A507,Raw!$D$2:$D$20)),""))</f>
        <v/>
      </c>
      <c r="E507" s="6" t="str">
        <f>IF(SUMIF(Raw!$A$2:$A$500, MHT!A507, Raw!$F$2:$F$500) = TIME(0,0,0), "", SUMIF(Raw!$A$2:$A$500, MHT!A507, Raw!$F$2:$F$500))</f>
        <v/>
      </c>
      <c r="F507" s="12" t="str">
        <f t="array" ref="F507">IF(A507="", "", IF(COUNTIF(Raw!$H$1:$I$500, A507) &gt; 0, "Done", IF(COUNTIF(Raw!$J$1:$J$500, A507) &gt; 0, "Pause", IF(COUNTIF(Raw!$K$1:$K$500, A507) &gt; 0, "On-Going", "Pause"))))</f>
        <v/>
      </c>
      <c r="G507" s="51"/>
      <c r="H507" s="50"/>
    </row>
    <row r="508" spans="1:8" x14ac:dyDescent="0.4">
      <c r="A508" s="61"/>
      <c r="B508" s="16" t="str">
        <f t="array" ref="B508">IFERROR(MIN(IF(Raw!$A$2:$A$26=MHT!A508,Raw!$B$2:$B$20)),"")</f>
        <v/>
      </c>
      <c r="C508" s="13" t="str">
        <f t="array" ref="C508">IFERROR(MIN(IF(Raw!$A$2:$A$26=MHT!A508,Raw!$C$2:$C$20)),"")</f>
        <v/>
      </c>
      <c r="D508" s="14" t="str">
        <f t="array" ref="D508">IF(Raw!D501="","",IFERROR(MAX(IF(Raw!$A$2:$A$26=MHT!A508,Raw!$D$2:$D$20)),""))</f>
        <v/>
      </c>
      <c r="E508" s="6" t="str">
        <f>IF(SUMIF(Raw!$A$2:$A$500, MHT!A508, Raw!$F$2:$F$500) = TIME(0,0,0), "", SUMIF(Raw!$A$2:$A$500, MHT!A508, Raw!$F$2:$F$500))</f>
        <v/>
      </c>
      <c r="F508" s="12" t="str">
        <f t="array" ref="F508">IF(A508="", "", IF(COUNTIF(Raw!$H$1:$I$500, A508) &gt; 0, "Done", IF(COUNTIF(Raw!$J$1:$J$500, A508) &gt; 0, "Pause", IF(COUNTIF(Raw!$K$1:$K$500, A508) &gt; 0, "On-Going", "Pause"))))</f>
        <v/>
      </c>
      <c r="G508" s="51"/>
      <c r="H508" s="50"/>
    </row>
    <row r="509" spans="1:8" x14ac:dyDescent="0.4">
      <c r="A509" s="61"/>
      <c r="B509" s="16" t="str">
        <f t="array" ref="B509">IFERROR(MIN(IF(Raw!$A$2:$A$26=MHT!A509,Raw!$B$2:$B$20)),"")</f>
        <v/>
      </c>
      <c r="C509" s="13" t="str">
        <f t="array" ref="C509">IFERROR(MIN(IF(Raw!$A$2:$A$26=MHT!A509,Raw!$C$2:$C$20)),"")</f>
        <v/>
      </c>
      <c r="D509" s="14" t="str">
        <f t="array" ref="D509">IF(Raw!D502="","",IFERROR(MAX(IF(Raw!$A$2:$A$26=MHT!A509,Raw!$D$2:$D$20)),""))</f>
        <v/>
      </c>
      <c r="E509" s="6" t="str">
        <f>IF(SUMIF(Raw!$A$2:$A$500, MHT!A509, Raw!$F$2:$F$500) = TIME(0,0,0), "", SUMIF(Raw!$A$2:$A$500, MHT!A509, Raw!$F$2:$F$500))</f>
        <v/>
      </c>
      <c r="F509" s="12" t="str">
        <f t="array" ref="F509">IF(A509="", "", IF(COUNTIF(Raw!$H$1:$I$500, A509) &gt; 0, "Done", IF(COUNTIF(Raw!$J$1:$J$500, A509) &gt; 0, "Pause", IF(COUNTIF(Raw!$K$1:$K$500, A509) &gt; 0, "On-Going", "Pause"))))</f>
        <v/>
      </c>
      <c r="G509" s="51"/>
      <c r="H509" s="50"/>
    </row>
    <row r="510" spans="1:8" x14ac:dyDescent="0.4">
      <c r="A510" s="61"/>
      <c r="B510" s="16" t="str">
        <f t="array" ref="B510">IFERROR(MIN(IF(Raw!$A$2:$A$26=MHT!A510,Raw!$B$2:$B$20)),"")</f>
        <v/>
      </c>
      <c r="C510" s="13" t="str">
        <f t="array" ref="C510">IFERROR(MIN(IF(Raw!$A$2:$A$26=MHT!A510,Raw!$C$2:$C$20)),"")</f>
        <v/>
      </c>
      <c r="D510" s="14" t="str">
        <f t="array" ref="D510">IF(Raw!D503="","",IFERROR(MAX(IF(Raw!$A$2:$A$26=MHT!A510,Raw!$D$2:$D$20)),""))</f>
        <v/>
      </c>
      <c r="E510" s="6" t="str">
        <f>IF(SUMIF(Raw!$A$2:$A$500, MHT!A510, Raw!$F$2:$F$500) = TIME(0,0,0), "", SUMIF(Raw!$A$2:$A$500, MHT!A510, Raw!$F$2:$F$500))</f>
        <v/>
      </c>
      <c r="F510" s="12" t="str">
        <f t="array" ref="F510">IF(A510="", "", IF(COUNTIF(Raw!$H$1:$I$500, A510) &gt; 0, "Done", IF(COUNTIF(Raw!$J$1:$J$500, A510) &gt; 0, "Pause", IF(COUNTIF(Raw!$K$1:$K$500, A510) &gt; 0, "On-Going", "Pause"))))</f>
        <v/>
      </c>
      <c r="G510" s="51"/>
      <c r="H510" s="50"/>
    </row>
    <row r="511" spans="1:8" x14ac:dyDescent="0.4">
      <c r="A511" s="61"/>
      <c r="B511" s="16" t="str">
        <f t="array" ref="B511">IFERROR(MIN(IF(Raw!$A$2:$A$26=MHT!A511,Raw!$B$2:$B$20)),"")</f>
        <v/>
      </c>
      <c r="C511" s="13" t="str">
        <f t="array" ref="C511">IFERROR(MIN(IF(Raw!$A$2:$A$26=MHT!A511,Raw!$C$2:$C$20)),"")</f>
        <v/>
      </c>
      <c r="D511" s="14" t="str">
        <f t="array" ref="D511">IF(Raw!D504="","",IFERROR(MAX(IF(Raw!$A$2:$A$26=MHT!A511,Raw!$D$2:$D$20)),""))</f>
        <v/>
      </c>
      <c r="E511" s="6" t="str">
        <f>IF(SUMIF(Raw!$A$2:$A$500, MHT!A511, Raw!$F$2:$F$500) = TIME(0,0,0), "", SUMIF(Raw!$A$2:$A$500, MHT!A511, Raw!$F$2:$F$500))</f>
        <v/>
      </c>
      <c r="F511" s="12" t="str">
        <f t="array" ref="F511">IF(A511="", "", IF(COUNTIF(Raw!$H$1:$I$500, A511) &gt; 0, "Done", IF(COUNTIF(Raw!$J$1:$J$500, A511) &gt; 0, "Pause", IF(COUNTIF(Raw!$K$1:$K$500, A511) &gt; 0, "On-Going", "Pause"))))</f>
        <v/>
      </c>
      <c r="G511" s="51"/>
      <c r="H511" s="50"/>
    </row>
    <row r="512" spans="1:8" x14ac:dyDescent="0.4">
      <c r="A512" s="61"/>
      <c r="B512" s="16" t="str">
        <f t="array" ref="B512">IFERROR(MIN(IF(Raw!$A$2:$A$26=MHT!A512,Raw!$B$2:$B$20)),"")</f>
        <v/>
      </c>
      <c r="C512" s="13" t="str">
        <f t="array" ref="C512">IFERROR(MIN(IF(Raw!$A$2:$A$26=MHT!A512,Raw!$C$2:$C$20)),"")</f>
        <v/>
      </c>
      <c r="D512" s="14" t="str">
        <f t="array" ref="D512">IF(Raw!D505="","",IFERROR(MAX(IF(Raw!$A$2:$A$26=MHT!A512,Raw!$D$2:$D$20)),""))</f>
        <v/>
      </c>
      <c r="E512" s="6" t="str">
        <f>IF(SUMIF(Raw!$A$2:$A$500, MHT!A512, Raw!$F$2:$F$500) = TIME(0,0,0), "", SUMIF(Raw!$A$2:$A$500, MHT!A512, Raw!$F$2:$F$500))</f>
        <v/>
      </c>
      <c r="F512" s="12" t="str">
        <f t="array" ref="F512">IF(A512="", "", IF(COUNTIF(Raw!$H$1:$I$500, A512) &gt; 0, "Done", IF(COUNTIF(Raw!$J$1:$J$500, A512) &gt; 0, "Pause", IF(COUNTIF(Raw!$K$1:$K$500, A512) &gt; 0, "On-Going", "Pause"))))</f>
        <v/>
      </c>
      <c r="G512" s="51"/>
      <c r="H512" s="50"/>
    </row>
    <row r="513" spans="1:8" x14ac:dyDescent="0.4">
      <c r="A513" s="61"/>
      <c r="B513" s="16" t="str">
        <f t="array" ref="B513">IFERROR(MIN(IF(Raw!$A$2:$A$26=MHT!A513,Raw!$B$2:$B$20)),"")</f>
        <v/>
      </c>
      <c r="C513" s="13" t="str">
        <f t="array" ref="C513">IFERROR(MIN(IF(Raw!$A$2:$A$26=MHT!A513,Raw!$C$2:$C$20)),"")</f>
        <v/>
      </c>
      <c r="D513" s="14" t="str">
        <f t="array" ref="D513">IF(Raw!D506="","",IFERROR(MAX(IF(Raw!$A$2:$A$26=MHT!A513,Raw!$D$2:$D$20)),""))</f>
        <v/>
      </c>
      <c r="E513" s="6" t="str">
        <f>IF(SUMIF(Raw!$A$2:$A$500, MHT!A513, Raw!$F$2:$F$500) = TIME(0,0,0), "", SUMIF(Raw!$A$2:$A$500, MHT!A513, Raw!$F$2:$F$500))</f>
        <v/>
      </c>
      <c r="F513" s="12" t="str">
        <f t="array" ref="F513">IF(A513="", "", IF(COUNTIF(Raw!$H$1:$I$500, A513) &gt; 0, "Done", IF(COUNTIF(Raw!$J$1:$J$500, A513) &gt; 0, "Pause", IF(COUNTIF(Raw!$K$1:$K$500, A513) &gt; 0, "On-Going", "Pause"))))</f>
        <v/>
      </c>
      <c r="G513" s="51"/>
      <c r="H513" s="50"/>
    </row>
    <row r="514" spans="1:8" x14ac:dyDescent="0.4">
      <c r="A514" s="61"/>
      <c r="B514" s="16" t="str">
        <f t="array" ref="B514">IFERROR(MIN(IF(Raw!$A$2:$A$26=MHT!A514,Raw!$B$2:$B$20)),"")</f>
        <v/>
      </c>
      <c r="C514" s="13" t="str">
        <f t="array" ref="C514">IFERROR(MIN(IF(Raw!$A$2:$A$26=MHT!A514,Raw!$C$2:$C$20)),"")</f>
        <v/>
      </c>
      <c r="D514" s="14" t="str">
        <f t="array" ref="D514">IF(Raw!D507="","",IFERROR(MAX(IF(Raw!$A$2:$A$26=MHT!A514,Raw!$D$2:$D$20)),""))</f>
        <v/>
      </c>
      <c r="E514" s="6" t="str">
        <f>IF(SUMIF(Raw!$A$2:$A$500, MHT!A514, Raw!$F$2:$F$500) = TIME(0,0,0), "", SUMIF(Raw!$A$2:$A$500, MHT!A514, Raw!$F$2:$F$500))</f>
        <v/>
      </c>
      <c r="F514" s="12" t="str">
        <f t="array" ref="F514">IF(A514="", "", IF(COUNTIF(Raw!$H$1:$I$500, A514) &gt; 0, "Done", IF(COUNTIF(Raw!$J$1:$J$500, A514) &gt; 0, "Pause", IF(COUNTIF(Raw!$K$1:$K$500, A514) &gt; 0, "On-Going", "Pause"))))</f>
        <v/>
      </c>
      <c r="G514" s="51"/>
      <c r="H514" s="50"/>
    </row>
    <row r="515" spans="1:8" x14ac:dyDescent="0.4">
      <c r="A515" s="61"/>
      <c r="B515" s="16" t="str">
        <f t="array" ref="B515">IFERROR(MIN(IF(Raw!$A$2:$A$26=MHT!A515,Raw!$B$2:$B$20)),"")</f>
        <v/>
      </c>
      <c r="C515" s="13" t="str">
        <f t="array" ref="C515">IFERROR(MIN(IF(Raw!$A$2:$A$26=MHT!A515,Raw!$C$2:$C$20)),"")</f>
        <v/>
      </c>
      <c r="D515" s="14" t="str">
        <f t="array" ref="D515">IF(Raw!D508="","",IFERROR(MAX(IF(Raw!$A$2:$A$26=MHT!A515,Raw!$D$2:$D$20)),""))</f>
        <v/>
      </c>
      <c r="E515" s="6" t="str">
        <f>IF(SUMIF(Raw!$A$2:$A$500, MHT!A515, Raw!$F$2:$F$500) = TIME(0,0,0), "", SUMIF(Raw!$A$2:$A$500, MHT!A515, Raw!$F$2:$F$500))</f>
        <v/>
      </c>
      <c r="F515" s="12" t="str">
        <f t="array" ref="F515">IF(A515="", "", IF(COUNTIF(Raw!$H$1:$I$500, A515) &gt; 0, "Done", IF(COUNTIF(Raw!$J$1:$J$500, A515) &gt; 0, "Pause", IF(COUNTIF(Raw!$K$1:$K$500, A515) &gt; 0, "On-Going", "Pause"))))</f>
        <v/>
      </c>
      <c r="G515" s="51"/>
      <c r="H515" s="50"/>
    </row>
    <row r="516" spans="1:8" x14ac:dyDescent="0.4">
      <c r="A516" s="61"/>
      <c r="B516" s="16" t="str">
        <f t="array" ref="B516">IFERROR(MIN(IF(Raw!$A$2:$A$26=MHT!A516,Raw!$B$2:$B$20)),"")</f>
        <v/>
      </c>
      <c r="C516" s="13" t="str">
        <f t="array" ref="C516">IFERROR(MIN(IF(Raw!$A$2:$A$26=MHT!A516,Raw!$C$2:$C$20)),"")</f>
        <v/>
      </c>
      <c r="D516" s="14" t="str">
        <f t="array" ref="D516">IF(Raw!D509="","",IFERROR(MAX(IF(Raw!$A$2:$A$26=MHT!A516,Raw!$D$2:$D$20)),""))</f>
        <v/>
      </c>
      <c r="E516" s="6" t="str">
        <f>IF(SUMIF(Raw!$A$2:$A$500, MHT!A516, Raw!$F$2:$F$500) = TIME(0,0,0), "", SUMIF(Raw!$A$2:$A$500, MHT!A516, Raw!$F$2:$F$500))</f>
        <v/>
      </c>
      <c r="F516" s="12" t="str">
        <f t="array" ref="F516">IF(A516="", "", IF(COUNTIF(Raw!$H$1:$I$500, A516) &gt; 0, "Done", IF(COUNTIF(Raw!$J$1:$J$500, A516) &gt; 0, "Pause", IF(COUNTIF(Raw!$K$1:$K$500, A516) &gt; 0, "On-Going", "Pause"))))</f>
        <v/>
      </c>
      <c r="G516" s="51"/>
      <c r="H516" s="50"/>
    </row>
    <row r="517" spans="1:8" x14ac:dyDescent="0.4">
      <c r="A517" s="61"/>
      <c r="B517" s="16" t="str">
        <f t="array" ref="B517">IFERROR(MIN(IF(Raw!$A$2:$A$26=MHT!A517,Raw!$B$2:$B$20)),"")</f>
        <v/>
      </c>
      <c r="C517" s="13" t="str">
        <f t="array" ref="C517">IFERROR(MIN(IF(Raw!$A$2:$A$26=MHT!A517,Raw!$C$2:$C$20)),"")</f>
        <v/>
      </c>
      <c r="D517" s="14" t="str">
        <f t="array" ref="D517">IF(Raw!D510="","",IFERROR(MAX(IF(Raw!$A$2:$A$26=MHT!A517,Raw!$D$2:$D$20)),""))</f>
        <v/>
      </c>
      <c r="E517" s="6" t="str">
        <f>IF(SUMIF(Raw!$A$2:$A$500, MHT!A517, Raw!$F$2:$F$500) = TIME(0,0,0), "", SUMIF(Raw!$A$2:$A$500, MHT!A517, Raw!$F$2:$F$500))</f>
        <v/>
      </c>
      <c r="F517" s="12" t="str">
        <f t="array" ref="F517">IF(A517="", "", IF(COUNTIF(Raw!$H$1:$I$500, A517) &gt; 0, "Done", IF(COUNTIF(Raw!$J$1:$J$500, A517) &gt; 0, "Pause", IF(COUNTIF(Raw!$K$1:$K$500, A517) &gt; 0, "On-Going", "Pause"))))</f>
        <v/>
      </c>
      <c r="G517" s="51"/>
      <c r="H517" s="50"/>
    </row>
    <row r="518" spans="1:8" x14ac:dyDescent="0.4">
      <c r="A518" s="61"/>
      <c r="B518" s="16" t="str">
        <f t="array" ref="B518">IFERROR(MIN(IF(Raw!$A$2:$A$26=MHT!A518,Raw!$B$2:$B$20)),"")</f>
        <v/>
      </c>
      <c r="C518" s="13" t="str">
        <f t="array" ref="C518">IFERROR(MIN(IF(Raw!$A$2:$A$26=MHT!A518,Raw!$C$2:$C$20)),"")</f>
        <v/>
      </c>
      <c r="D518" s="14" t="str">
        <f t="array" ref="D518">IF(Raw!D511="","",IFERROR(MAX(IF(Raw!$A$2:$A$26=MHT!A518,Raw!$D$2:$D$20)),""))</f>
        <v/>
      </c>
      <c r="E518" s="6" t="str">
        <f>IF(SUMIF(Raw!$A$2:$A$500, MHT!A518, Raw!$F$2:$F$500) = TIME(0,0,0), "", SUMIF(Raw!$A$2:$A$500, MHT!A518, Raw!$F$2:$F$500))</f>
        <v/>
      </c>
      <c r="F518" s="12" t="str">
        <f t="array" ref="F518">IF(A518="", "", IF(COUNTIF(Raw!$H$1:$I$500, A518) &gt; 0, "Done", IF(COUNTIF(Raw!$J$1:$J$500, A518) &gt; 0, "Pause", IF(COUNTIF(Raw!$K$1:$K$500, A518) &gt; 0, "On-Going", "Pause"))))</f>
        <v/>
      </c>
      <c r="G518" s="51"/>
      <c r="H518" s="50"/>
    </row>
    <row r="519" spans="1:8" x14ac:dyDescent="0.4">
      <c r="A519" s="61"/>
      <c r="B519" s="16" t="str">
        <f t="array" ref="B519">IFERROR(MIN(IF(Raw!$A$2:$A$26=MHT!A519,Raw!$B$2:$B$20)),"")</f>
        <v/>
      </c>
      <c r="C519" s="13" t="str">
        <f t="array" ref="C519">IFERROR(MIN(IF(Raw!$A$2:$A$26=MHT!A519,Raw!$C$2:$C$20)),"")</f>
        <v/>
      </c>
      <c r="D519" s="14" t="str">
        <f t="array" ref="D519">IF(Raw!D512="","",IFERROR(MAX(IF(Raw!$A$2:$A$26=MHT!A519,Raw!$D$2:$D$20)),""))</f>
        <v/>
      </c>
      <c r="E519" s="6" t="str">
        <f>IF(SUMIF(Raw!$A$2:$A$500, MHT!A519, Raw!$F$2:$F$500) = TIME(0,0,0), "", SUMIF(Raw!$A$2:$A$500, MHT!A519, Raw!$F$2:$F$500))</f>
        <v/>
      </c>
      <c r="F519" s="12" t="str">
        <f t="array" ref="F519">IF(A519="", "", IF(COUNTIF(Raw!$H$1:$I$500, A519) &gt; 0, "Done", IF(COUNTIF(Raw!$J$1:$J$500, A519) &gt; 0, "Pause", IF(COUNTIF(Raw!$K$1:$K$500, A519) &gt; 0, "On-Going", "Pause"))))</f>
        <v/>
      </c>
      <c r="G519" s="51"/>
      <c r="H519" s="50"/>
    </row>
    <row r="520" spans="1:8" x14ac:dyDescent="0.4">
      <c r="A520" s="61"/>
      <c r="B520" s="16" t="str">
        <f t="array" ref="B520">IFERROR(MIN(IF(Raw!$A$2:$A$26=MHT!A520,Raw!$B$2:$B$20)),"")</f>
        <v/>
      </c>
      <c r="C520" s="13" t="str">
        <f t="array" ref="C520">IFERROR(MIN(IF(Raw!$A$2:$A$26=MHT!A520,Raw!$C$2:$C$20)),"")</f>
        <v/>
      </c>
      <c r="D520" s="14" t="str">
        <f t="array" ref="D520">IF(Raw!D513="","",IFERROR(MAX(IF(Raw!$A$2:$A$26=MHT!A520,Raw!$D$2:$D$20)),""))</f>
        <v/>
      </c>
      <c r="E520" s="6" t="str">
        <f>IF(SUMIF(Raw!$A$2:$A$500, MHT!A520, Raw!$F$2:$F$500) = TIME(0,0,0), "", SUMIF(Raw!$A$2:$A$500, MHT!A520, Raw!$F$2:$F$500))</f>
        <v/>
      </c>
      <c r="F520" s="12" t="str">
        <f t="array" ref="F520">IF(A520="", "", IF(COUNTIF(Raw!$H$1:$I$500, A520) &gt; 0, "Done", IF(COUNTIF(Raw!$J$1:$J$500, A520) &gt; 0, "Pause", IF(COUNTIF(Raw!$K$1:$K$500, A520) &gt; 0, "On-Going", "Pause"))))</f>
        <v/>
      </c>
      <c r="G520" s="51"/>
      <c r="H520" s="50"/>
    </row>
    <row r="521" spans="1:8" x14ac:dyDescent="0.4">
      <c r="A521" s="61"/>
      <c r="B521" s="16" t="str">
        <f t="array" ref="B521">IFERROR(MIN(IF(Raw!$A$2:$A$26=MHT!A521,Raw!$B$2:$B$20)),"")</f>
        <v/>
      </c>
      <c r="C521" s="13" t="str">
        <f t="array" ref="C521">IFERROR(MIN(IF(Raw!$A$2:$A$26=MHT!A521,Raw!$C$2:$C$20)),"")</f>
        <v/>
      </c>
      <c r="D521" s="14" t="str">
        <f t="array" ref="D521">IF(Raw!D514="","",IFERROR(MAX(IF(Raw!$A$2:$A$26=MHT!A521,Raw!$D$2:$D$20)),""))</f>
        <v/>
      </c>
      <c r="E521" s="6" t="str">
        <f>IF(SUMIF(Raw!$A$2:$A$500, MHT!A521, Raw!$F$2:$F$500) = TIME(0,0,0), "", SUMIF(Raw!$A$2:$A$500, MHT!A521, Raw!$F$2:$F$500))</f>
        <v/>
      </c>
      <c r="F521" s="12" t="str">
        <f t="array" ref="F521">IF(A521="", "", IF(COUNTIF(Raw!$H$1:$I$500, A521) &gt; 0, "Done", IF(COUNTIF(Raw!$J$1:$J$500, A521) &gt; 0, "Pause", IF(COUNTIF(Raw!$K$1:$K$500, A521) &gt; 0, "On-Going", "Pause"))))</f>
        <v/>
      </c>
      <c r="G521" s="51"/>
      <c r="H521" s="50"/>
    </row>
    <row r="522" spans="1:8" x14ac:dyDescent="0.4">
      <c r="A522" s="61"/>
      <c r="B522" s="16" t="str">
        <f t="array" ref="B522">IFERROR(MIN(IF(Raw!$A$2:$A$26=MHT!A522,Raw!$B$2:$B$20)),"")</f>
        <v/>
      </c>
      <c r="C522" s="13" t="str">
        <f t="array" ref="C522">IFERROR(MIN(IF(Raw!$A$2:$A$26=MHT!A522,Raw!$C$2:$C$20)),"")</f>
        <v/>
      </c>
      <c r="D522" s="14" t="str">
        <f t="array" ref="D522">IF(Raw!D515="","",IFERROR(MAX(IF(Raw!$A$2:$A$26=MHT!A522,Raw!$D$2:$D$20)),""))</f>
        <v/>
      </c>
      <c r="E522" s="6" t="str">
        <f>IF(SUMIF(Raw!$A$2:$A$500, MHT!A522, Raw!$F$2:$F$500) = TIME(0,0,0), "", SUMIF(Raw!$A$2:$A$500, MHT!A522, Raw!$F$2:$F$500))</f>
        <v/>
      </c>
      <c r="F522" s="12" t="str">
        <f t="array" ref="F522">IF(A522="", "", IF(COUNTIF(Raw!$H$1:$I$500, A522) &gt; 0, "Done", IF(COUNTIF(Raw!$J$1:$J$500, A522) &gt; 0, "Pause", IF(COUNTIF(Raw!$K$1:$K$500, A522) &gt; 0, "On-Going", "Pause"))))</f>
        <v/>
      </c>
      <c r="G522" s="51"/>
      <c r="H522" s="50"/>
    </row>
    <row r="523" spans="1:8" x14ac:dyDescent="0.4">
      <c r="A523" s="61"/>
      <c r="B523" s="16" t="str">
        <f t="array" ref="B523">IFERROR(MIN(IF(Raw!$A$2:$A$26=MHT!A523,Raw!$B$2:$B$20)),"")</f>
        <v/>
      </c>
      <c r="C523" s="13" t="str">
        <f t="array" ref="C523">IFERROR(MIN(IF(Raw!$A$2:$A$26=MHT!A523,Raw!$C$2:$C$20)),"")</f>
        <v/>
      </c>
      <c r="D523" s="14" t="str">
        <f t="array" ref="D523">IF(Raw!D516="","",IFERROR(MAX(IF(Raw!$A$2:$A$26=MHT!A523,Raw!$D$2:$D$20)),""))</f>
        <v/>
      </c>
      <c r="E523" s="6" t="str">
        <f>IF(SUMIF(Raw!$A$2:$A$500, MHT!A523, Raw!$F$2:$F$500) = TIME(0,0,0), "", SUMIF(Raw!$A$2:$A$500, MHT!A523, Raw!$F$2:$F$500))</f>
        <v/>
      </c>
      <c r="F523" s="12" t="str">
        <f t="array" ref="F523">IF(A523="", "", IF(COUNTIF(Raw!$H$1:$I$500, A523) &gt; 0, "Done", IF(COUNTIF(Raw!$J$1:$J$500, A523) &gt; 0, "Pause", IF(COUNTIF(Raw!$K$1:$K$500, A523) &gt; 0, "On-Going", "Pause"))))</f>
        <v/>
      </c>
      <c r="G523" s="51"/>
      <c r="H523" s="50"/>
    </row>
    <row r="524" spans="1:8" x14ac:dyDescent="0.4">
      <c r="A524" s="61"/>
      <c r="B524" s="16" t="str">
        <f t="array" ref="B524">IFERROR(MIN(IF(Raw!$A$2:$A$26=MHT!A524,Raw!$B$2:$B$20)),"")</f>
        <v/>
      </c>
      <c r="C524" s="13" t="str">
        <f t="array" ref="C524">IFERROR(MIN(IF(Raw!$A$2:$A$26=MHT!A524,Raw!$C$2:$C$20)),"")</f>
        <v/>
      </c>
      <c r="D524" s="14" t="str">
        <f t="array" ref="D524">IF(Raw!D517="","",IFERROR(MAX(IF(Raw!$A$2:$A$26=MHT!A524,Raw!$D$2:$D$20)),""))</f>
        <v/>
      </c>
      <c r="E524" s="6" t="str">
        <f>IF(SUMIF(Raw!$A$2:$A$500, MHT!A524, Raw!$F$2:$F$500) = TIME(0,0,0), "", SUMIF(Raw!$A$2:$A$500, MHT!A524, Raw!$F$2:$F$500))</f>
        <v/>
      </c>
      <c r="F524" s="12" t="str">
        <f t="array" ref="F524">IF(A524="", "", IF(COUNTIF(Raw!$H$1:$I$500, A524) &gt; 0, "Done", IF(COUNTIF(Raw!$J$1:$J$500, A524) &gt; 0, "Pause", IF(COUNTIF(Raw!$K$1:$K$500, A524) &gt; 0, "On-Going", "Pause"))))</f>
        <v/>
      </c>
      <c r="G524" s="51"/>
      <c r="H524" s="50"/>
    </row>
    <row r="525" spans="1:8" x14ac:dyDescent="0.4">
      <c r="A525" s="61"/>
      <c r="B525" s="16" t="str">
        <f t="array" ref="B525">IFERROR(MIN(IF(Raw!$A$2:$A$26=MHT!A525,Raw!$B$2:$B$20)),"")</f>
        <v/>
      </c>
      <c r="C525" s="13" t="str">
        <f t="array" ref="C525">IFERROR(MIN(IF(Raw!$A$2:$A$26=MHT!A525,Raw!$C$2:$C$20)),"")</f>
        <v/>
      </c>
      <c r="D525" s="14" t="str">
        <f t="array" ref="D525">IF(Raw!D518="","",IFERROR(MAX(IF(Raw!$A$2:$A$26=MHT!A525,Raw!$D$2:$D$20)),""))</f>
        <v/>
      </c>
      <c r="E525" s="6" t="str">
        <f>IF(SUMIF(Raw!$A$2:$A$500, MHT!A525, Raw!$F$2:$F$500) = TIME(0,0,0), "", SUMIF(Raw!$A$2:$A$500, MHT!A525, Raw!$F$2:$F$500))</f>
        <v/>
      </c>
      <c r="F525" s="12" t="str">
        <f t="array" ref="F525">IF(A525="", "", IF(COUNTIF(Raw!$H$1:$I$500, A525) &gt; 0, "Done", IF(COUNTIF(Raw!$J$1:$J$500, A525) &gt; 0, "Pause", IF(COUNTIF(Raw!$K$1:$K$500, A525) &gt; 0, "On-Going", "Pause"))))</f>
        <v/>
      </c>
      <c r="G525" s="51"/>
      <c r="H525" s="50"/>
    </row>
    <row r="526" spans="1:8" x14ac:dyDescent="0.4">
      <c r="A526" s="61"/>
      <c r="B526" s="16" t="str">
        <f t="array" ref="B526">IFERROR(MIN(IF(Raw!$A$2:$A$26=MHT!A526,Raw!$B$2:$B$20)),"")</f>
        <v/>
      </c>
      <c r="C526" s="13" t="str">
        <f t="array" ref="C526">IFERROR(MIN(IF(Raw!$A$2:$A$26=MHT!A526,Raw!$C$2:$C$20)),"")</f>
        <v/>
      </c>
      <c r="D526" s="14" t="str">
        <f t="array" ref="D526">IF(Raw!D519="","",IFERROR(MAX(IF(Raw!$A$2:$A$26=MHT!A526,Raw!$D$2:$D$20)),""))</f>
        <v/>
      </c>
      <c r="E526" s="6" t="str">
        <f>IF(SUMIF(Raw!$A$2:$A$500, MHT!A526, Raw!$F$2:$F$500) = TIME(0,0,0), "", SUMIF(Raw!$A$2:$A$500, MHT!A526, Raw!$F$2:$F$500))</f>
        <v/>
      </c>
      <c r="F526" s="12" t="str">
        <f t="array" ref="F526">IF(A526="", "", IF(COUNTIF(Raw!$H$1:$I$500, A526) &gt; 0, "Done", IF(COUNTIF(Raw!$J$1:$J$500, A526) &gt; 0, "Pause", IF(COUNTIF(Raw!$K$1:$K$500, A526) &gt; 0, "On-Going", "Pause"))))</f>
        <v/>
      </c>
      <c r="G526" s="51"/>
      <c r="H526" s="50"/>
    </row>
    <row r="527" spans="1:8" x14ac:dyDescent="0.4">
      <c r="A527" s="61"/>
      <c r="B527" s="16" t="str">
        <f t="array" ref="B527">IFERROR(MIN(IF(Raw!$A$2:$A$26=MHT!A527,Raw!$B$2:$B$20)),"")</f>
        <v/>
      </c>
      <c r="C527" s="13" t="str">
        <f t="array" ref="C527">IFERROR(MIN(IF(Raw!$A$2:$A$26=MHT!A527,Raw!$C$2:$C$20)),"")</f>
        <v/>
      </c>
      <c r="D527" s="14" t="str">
        <f t="array" ref="D527">IF(Raw!D520="","",IFERROR(MAX(IF(Raw!$A$2:$A$26=MHT!A527,Raw!$D$2:$D$20)),""))</f>
        <v/>
      </c>
      <c r="E527" s="6" t="str">
        <f>IF(SUMIF(Raw!$A$2:$A$500, MHT!A527, Raw!$F$2:$F$500) = TIME(0,0,0), "", SUMIF(Raw!$A$2:$A$500, MHT!A527, Raw!$F$2:$F$500))</f>
        <v/>
      </c>
      <c r="F527" s="12" t="str">
        <f t="array" ref="F527">IF(A527="", "", IF(COUNTIF(Raw!$H$1:$I$500, A527) &gt; 0, "Done", IF(COUNTIF(Raw!$J$1:$J$500, A527) &gt; 0, "Pause", IF(COUNTIF(Raw!$K$1:$K$500, A527) &gt; 0, "On-Going", "Pause"))))</f>
        <v/>
      </c>
      <c r="G527" s="51"/>
      <c r="H527" s="50"/>
    </row>
    <row r="528" spans="1:8" x14ac:dyDescent="0.4">
      <c r="A528" s="61"/>
      <c r="B528" s="16" t="str">
        <f t="array" ref="B528">IFERROR(MIN(IF(Raw!$A$2:$A$26=MHT!A528,Raw!$B$2:$B$20)),"")</f>
        <v/>
      </c>
      <c r="C528" s="13" t="str">
        <f t="array" ref="C528">IFERROR(MIN(IF(Raw!$A$2:$A$26=MHT!A528,Raw!$C$2:$C$20)),"")</f>
        <v/>
      </c>
      <c r="D528" s="14" t="str">
        <f t="array" ref="D528">IF(Raw!D521="","",IFERROR(MAX(IF(Raw!$A$2:$A$26=MHT!A528,Raw!$D$2:$D$20)),""))</f>
        <v/>
      </c>
      <c r="E528" s="6" t="str">
        <f>IF(SUMIF(Raw!$A$2:$A$500, MHT!A528, Raw!$F$2:$F$500) = TIME(0,0,0), "", SUMIF(Raw!$A$2:$A$500, MHT!A528, Raw!$F$2:$F$500))</f>
        <v/>
      </c>
      <c r="F528" s="12" t="str">
        <f t="array" ref="F528">IF(A528="", "", IF(COUNTIF(Raw!$H$1:$I$500, A528) &gt; 0, "Done", IF(COUNTIF(Raw!$J$1:$J$500, A528) &gt; 0, "Pause", IF(COUNTIF(Raw!$K$1:$K$500, A528) &gt; 0, "On-Going", "Pause"))))</f>
        <v/>
      </c>
      <c r="G528" s="51"/>
      <c r="H528" s="50"/>
    </row>
    <row r="529" spans="1:8" x14ac:dyDescent="0.4">
      <c r="A529" s="61"/>
      <c r="B529" s="16" t="str">
        <f t="array" ref="B529">IFERROR(MIN(IF(Raw!$A$2:$A$26=MHT!A529,Raw!$B$2:$B$20)),"")</f>
        <v/>
      </c>
      <c r="C529" s="13" t="str">
        <f t="array" ref="C529">IFERROR(MIN(IF(Raw!$A$2:$A$26=MHT!A529,Raw!$C$2:$C$20)),"")</f>
        <v/>
      </c>
      <c r="D529" s="14" t="str">
        <f t="array" ref="D529">IF(Raw!D522="","",IFERROR(MAX(IF(Raw!$A$2:$A$26=MHT!A529,Raw!$D$2:$D$20)),""))</f>
        <v/>
      </c>
      <c r="E529" s="6" t="str">
        <f>IF(SUMIF(Raw!$A$2:$A$500, MHT!A529, Raw!$F$2:$F$500) = TIME(0,0,0), "", SUMIF(Raw!$A$2:$A$500, MHT!A529, Raw!$F$2:$F$500))</f>
        <v/>
      </c>
      <c r="F529" s="12" t="str">
        <f t="array" ref="F529">IF(A529="", "", IF(COUNTIF(Raw!$H$1:$I$500, A529) &gt; 0, "Done", IF(COUNTIF(Raw!$J$1:$J$500, A529) &gt; 0, "Pause", IF(COUNTIF(Raw!$K$1:$K$500, A529) &gt; 0, "On-Going", "Pause"))))</f>
        <v/>
      </c>
      <c r="G529" s="51"/>
      <c r="H529" s="50"/>
    </row>
    <row r="530" spans="1:8" x14ac:dyDescent="0.4">
      <c r="A530" s="61"/>
      <c r="B530" s="16" t="str">
        <f t="array" ref="B530">IFERROR(MIN(IF(Raw!$A$2:$A$26=MHT!A530,Raw!$B$2:$B$20)),"")</f>
        <v/>
      </c>
      <c r="C530" s="13" t="str">
        <f t="array" ref="C530">IFERROR(MIN(IF(Raw!$A$2:$A$26=MHT!A530,Raw!$C$2:$C$20)),"")</f>
        <v/>
      </c>
      <c r="D530" s="14" t="str">
        <f t="array" ref="D530">IF(Raw!D523="","",IFERROR(MAX(IF(Raw!$A$2:$A$26=MHT!A530,Raw!$D$2:$D$20)),""))</f>
        <v/>
      </c>
      <c r="E530" s="6" t="str">
        <f>IF(SUMIF(Raw!$A$2:$A$500, MHT!A530, Raw!$F$2:$F$500) = TIME(0,0,0), "", SUMIF(Raw!$A$2:$A$500, MHT!A530, Raw!$F$2:$F$500))</f>
        <v/>
      </c>
      <c r="F530" s="12" t="str">
        <f t="array" ref="F530">IF(A530="", "", IF(COUNTIF(Raw!$H$1:$I$500, A530) &gt; 0, "Done", IF(COUNTIF(Raw!$J$1:$J$500, A530) &gt; 0, "Pause", IF(COUNTIF(Raw!$K$1:$K$500, A530) &gt; 0, "On-Going", "Pause"))))</f>
        <v/>
      </c>
      <c r="G530" s="51"/>
      <c r="H530" s="50"/>
    </row>
    <row r="531" spans="1:8" x14ac:dyDescent="0.4">
      <c r="A531" s="61"/>
      <c r="B531" s="16" t="str">
        <f t="array" ref="B531">IFERROR(MIN(IF(Raw!$A$2:$A$26=MHT!A531,Raw!$B$2:$B$20)),"")</f>
        <v/>
      </c>
      <c r="C531" s="13" t="str">
        <f t="array" ref="C531">IFERROR(MIN(IF(Raw!$A$2:$A$26=MHT!A531,Raw!$C$2:$C$20)),"")</f>
        <v/>
      </c>
      <c r="D531" s="14" t="str">
        <f t="array" ref="D531">IF(Raw!D524="","",IFERROR(MAX(IF(Raw!$A$2:$A$26=MHT!A531,Raw!$D$2:$D$20)),""))</f>
        <v/>
      </c>
      <c r="E531" s="6" t="str">
        <f>IF(SUMIF(Raw!$A$2:$A$500, MHT!A531, Raw!$F$2:$F$500) = TIME(0,0,0), "", SUMIF(Raw!$A$2:$A$500, MHT!A531, Raw!$F$2:$F$500))</f>
        <v/>
      </c>
      <c r="F531" s="12" t="str">
        <f t="array" ref="F531">IF(A531="", "", IF(COUNTIF(Raw!$H$1:$I$500, A531) &gt; 0, "Done", IF(COUNTIF(Raw!$J$1:$J$500, A531) &gt; 0, "Pause", IF(COUNTIF(Raw!$K$1:$K$500, A531) &gt; 0, "On-Going", "Pause"))))</f>
        <v/>
      </c>
      <c r="G531" s="51"/>
      <c r="H531" s="50"/>
    </row>
    <row r="532" spans="1:8" x14ac:dyDescent="0.4">
      <c r="A532" s="61"/>
      <c r="B532" s="16" t="str">
        <f t="array" ref="B532">IFERROR(MIN(IF(Raw!$A$2:$A$26=MHT!A532,Raw!$B$2:$B$20)),"")</f>
        <v/>
      </c>
      <c r="C532" s="13" t="str">
        <f t="array" ref="C532">IFERROR(MIN(IF(Raw!$A$2:$A$26=MHT!A532,Raw!$C$2:$C$20)),"")</f>
        <v/>
      </c>
      <c r="D532" s="14" t="str">
        <f t="array" ref="D532">IF(Raw!D525="","",IFERROR(MAX(IF(Raw!$A$2:$A$26=MHT!A532,Raw!$D$2:$D$20)),""))</f>
        <v/>
      </c>
      <c r="E532" s="6" t="str">
        <f>IF(SUMIF(Raw!$A$2:$A$500, MHT!A532, Raw!$F$2:$F$500) = TIME(0,0,0), "", SUMIF(Raw!$A$2:$A$500, MHT!A532, Raw!$F$2:$F$500))</f>
        <v/>
      </c>
      <c r="F532" s="12" t="str">
        <f t="array" ref="F532">IF(A532="", "", IF(COUNTIF(Raw!$H$1:$I$500, A532) &gt; 0, "Done", IF(COUNTIF(Raw!$J$1:$J$500, A532) &gt; 0, "Pause", IF(COUNTIF(Raw!$K$1:$K$500, A532) &gt; 0, "On-Going", "Pause"))))</f>
        <v/>
      </c>
      <c r="G532" s="51"/>
      <c r="H532" s="50"/>
    </row>
    <row r="533" spans="1:8" x14ac:dyDescent="0.4">
      <c r="A533" s="61"/>
      <c r="B533" s="16" t="str">
        <f t="array" ref="B533">IFERROR(MIN(IF(Raw!$A$2:$A$26=MHT!A533,Raw!$B$2:$B$20)),"")</f>
        <v/>
      </c>
      <c r="C533" s="13" t="str">
        <f t="array" ref="C533">IFERROR(MIN(IF(Raw!$A$2:$A$26=MHT!A533,Raw!$C$2:$C$20)),"")</f>
        <v/>
      </c>
      <c r="D533" s="14" t="str">
        <f t="array" ref="D533">IF(Raw!D526="","",IFERROR(MAX(IF(Raw!$A$2:$A$26=MHT!A533,Raw!$D$2:$D$20)),""))</f>
        <v/>
      </c>
      <c r="E533" s="6" t="str">
        <f>IF(SUMIF(Raw!$A$2:$A$500, MHT!A533, Raw!$F$2:$F$500) = TIME(0,0,0), "", SUMIF(Raw!$A$2:$A$500, MHT!A533, Raw!$F$2:$F$500))</f>
        <v/>
      </c>
      <c r="F533" s="12" t="str">
        <f t="array" ref="F533">IF(A533="", "", IF(COUNTIF(Raw!$H$1:$I$500, A533) &gt; 0, "Done", IF(COUNTIF(Raw!$J$1:$J$500, A533) &gt; 0, "Pause", IF(COUNTIF(Raw!$K$1:$K$500, A533) &gt; 0, "On-Going", "Pause"))))</f>
        <v/>
      </c>
      <c r="G533" s="51"/>
      <c r="H533" s="50"/>
    </row>
    <row r="534" spans="1:8" x14ac:dyDescent="0.4">
      <c r="A534" s="61"/>
      <c r="B534" s="16" t="str">
        <f t="array" ref="B534">IFERROR(MIN(IF(Raw!$A$2:$A$26=MHT!A534,Raw!$B$2:$B$20)),"")</f>
        <v/>
      </c>
      <c r="C534" s="13" t="str">
        <f t="array" ref="C534">IFERROR(MIN(IF(Raw!$A$2:$A$26=MHT!A534,Raw!$C$2:$C$20)),"")</f>
        <v/>
      </c>
      <c r="D534" s="14" t="str">
        <f t="array" ref="D534">IF(Raw!D527="","",IFERROR(MAX(IF(Raw!$A$2:$A$26=MHT!A534,Raw!$D$2:$D$20)),""))</f>
        <v/>
      </c>
      <c r="E534" s="6" t="str">
        <f>IF(SUMIF(Raw!$A$2:$A$500, MHT!A534, Raw!$F$2:$F$500) = TIME(0,0,0), "", SUMIF(Raw!$A$2:$A$500, MHT!A534, Raw!$F$2:$F$500))</f>
        <v/>
      </c>
      <c r="F534" s="12" t="str">
        <f t="array" ref="F534">IF(A534="", "", IF(COUNTIF(Raw!$H$1:$I$500, A534) &gt; 0, "Done", IF(COUNTIF(Raw!$J$1:$J$500, A534) &gt; 0, "Pause", IF(COUNTIF(Raw!$K$1:$K$500, A534) &gt; 0, "On-Going", "Pause"))))</f>
        <v/>
      </c>
      <c r="G534" s="51"/>
      <c r="H534" s="50"/>
    </row>
    <row r="535" spans="1:8" x14ac:dyDescent="0.4">
      <c r="A535" s="61"/>
      <c r="B535" s="16" t="str">
        <f t="array" ref="B535">IFERROR(MIN(IF(Raw!$A$2:$A$26=MHT!A535,Raw!$B$2:$B$20)),"")</f>
        <v/>
      </c>
      <c r="C535" s="13" t="str">
        <f t="array" ref="C535">IFERROR(MIN(IF(Raw!$A$2:$A$26=MHT!A535,Raw!$C$2:$C$20)),"")</f>
        <v/>
      </c>
      <c r="D535" s="14" t="str">
        <f t="array" ref="D535">IF(Raw!D528="","",IFERROR(MAX(IF(Raw!$A$2:$A$26=MHT!A535,Raw!$D$2:$D$20)),""))</f>
        <v/>
      </c>
      <c r="E535" s="6" t="str">
        <f>IF(SUMIF(Raw!$A$2:$A$500, MHT!A535, Raw!$F$2:$F$500) = TIME(0,0,0), "", SUMIF(Raw!$A$2:$A$500, MHT!A535, Raw!$F$2:$F$500))</f>
        <v/>
      </c>
      <c r="F535" s="12" t="str">
        <f t="array" ref="F535">IF(A535="", "", IF(COUNTIF(Raw!$H$1:$I$500, A535) &gt; 0, "Done", IF(COUNTIF(Raw!$J$1:$J$500, A535) &gt; 0, "Pause", IF(COUNTIF(Raw!$K$1:$K$500, A535) &gt; 0, "On-Going", "Pause"))))</f>
        <v/>
      </c>
      <c r="G535" s="51"/>
      <c r="H535" s="50"/>
    </row>
    <row r="536" spans="1:8" x14ac:dyDescent="0.4">
      <c r="A536" s="61"/>
      <c r="B536" s="16" t="str">
        <f t="array" ref="B536">IFERROR(MIN(IF(Raw!$A$2:$A$26=MHT!A536,Raw!$B$2:$B$20)),"")</f>
        <v/>
      </c>
      <c r="C536" s="13" t="str">
        <f t="array" ref="C536">IFERROR(MIN(IF(Raw!$A$2:$A$26=MHT!A536,Raw!$C$2:$C$20)),"")</f>
        <v/>
      </c>
      <c r="D536" s="14" t="str">
        <f t="array" ref="D536">IF(Raw!D529="","",IFERROR(MAX(IF(Raw!$A$2:$A$26=MHT!A536,Raw!$D$2:$D$20)),""))</f>
        <v/>
      </c>
      <c r="E536" s="6" t="str">
        <f>IF(SUMIF(Raw!$A$2:$A$500, MHT!A536, Raw!$F$2:$F$500) = TIME(0,0,0), "", SUMIF(Raw!$A$2:$A$500, MHT!A536, Raw!$F$2:$F$500))</f>
        <v/>
      </c>
      <c r="F536" s="12" t="str">
        <f t="array" ref="F536">IF(A536="", "", IF(COUNTIF(Raw!$H$1:$I$500, A536) &gt; 0, "Done", IF(COUNTIF(Raw!$J$1:$J$500, A536) &gt; 0, "Pause", IF(COUNTIF(Raw!$K$1:$K$500, A536) &gt; 0, "On-Going", "Pause"))))</f>
        <v/>
      </c>
      <c r="G536" s="51"/>
      <c r="H536" s="50"/>
    </row>
    <row r="537" spans="1:8" x14ac:dyDescent="0.4">
      <c r="A537" s="61"/>
      <c r="B537" s="16" t="str">
        <f t="array" ref="B537">IFERROR(MIN(IF(Raw!$A$2:$A$26=MHT!A537,Raw!$B$2:$B$20)),"")</f>
        <v/>
      </c>
      <c r="C537" s="13" t="str">
        <f t="array" ref="C537">IFERROR(MIN(IF(Raw!$A$2:$A$26=MHT!A537,Raw!$C$2:$C$20)),"")</f>
        <v/>
      </c>
      <c r="D537" s="14" t="str">
        <f t="array" ref="D537">IF(Raw!D530="","",IFERROR(MAX(IF(Raw!$A$2:$A$26=MHT!A537,Raw!$D$2:$D$20)),""))</f>
        <v/>
      </c>
      <c r="E537" s="6" t="str">
        <f>IF(SUMIF(Raw!$A$2:$A$500, MHT!A537, Raw!$F$2:$F$500) = TIME(0,0,0), "", SUMIF(Raw!$A$2:$A$500, MHT!A537, Raw!$F$2:$F$500))</f>
        <v/>
      </c>
      <c r="F537" s="12" t="str">
        <f t="array" ref="F537">IF(A537="", "", IF(COUNTIF(Raw!$H$1:$I$500, A537) &gt; 0, "Done", IF(COUNTIF(Raw!$J$1:$J$500, A537) &gt; 0, "Pause", IF(COUNTIF(Raw!$K$1:$K$500, A537) &gt; 0, "On-Going", "Pause"))))</f>
        <v/>
      </c>
      <c r="G537" s="51"/>
      <c r="H537" s="50"/>
    </row>
    <row r="538" spans="1:8" x14ac:dyDescent="0.4">
      <c r="A538" s="61"/>
      <c r="B538" s="16" t="str">
        <f t="array" ref="B538">IFERROR(MIN(IF(Raw!$A$2:$A$26=MHT!A538,Raw!$B$2:$B$20)),"")</f>
        <v/>
      </c>
      <c r="C538" s="13" t="str">
        <f t="array" ref="C538">IFERROR(MIN(IF(Raw!$A$2:$A$26=MHT!A538,Raw!$C$2:$C$20)),"")</f>
        <v/>
      </c>
      <c r="D538" s="14" t="str">
        <f t="array" ref="D538">IF(Raw!D531="","",IFERROR(MAX(IF(Raw!$A$2:$A$26=MHT!A538,Raw!$D$2:$D$20)),""))</f>
        <v/>
      </c>
      <c r="E538" s="6" t="str">
        <f>IF(SUMIF(Raw!$A$2:$A$500, MHT!A538, Raw!$F$2:$F$500) = TIME(0,0,0), "", SUMIF(Raw!$A$2:$A$500, MHT!A538, Raw!$F$2:$F$500))</f>
        <v/>
      </c>
      <c r="F538" s="12" t="str">
        <f t="array" ref="F538">IF(A538="", "", IF(COUNTIF(Raw!$H$1:$I$500, A538) &gt; 0, "Done", IF(COUNTIF(Raw!$J$1:$J$500, A538) &gt; 0, "Pause", IF(COUNTIF(Raw!$K$1:$K$500, A538) &gt; 0, "On-Going", "Pause"))))</f>
        <v/>
      </c>
      <c r="G538" s="51"/>
      <c r="H538" s="50"/>
    </row>
    <row r="539" spans="1:8" x14ac:dyDescent="0.4">
      <c r="A539" s="61"/>
      <c r="B539" s="16" t="str">
        <f t="array" ref="B539">IFERROR(MIN(IF(Raw!$A$2:$A$26=MHT!A539,Raw!$B$2:$B$20)),"")</f>
        <v/>
      </c>
      <c r="C539" s="13" t="str">
        <f t="array" ref="C539">IFERROR(MIN(IF(Raw!$A$2:$A$26=MHT!A539,Raw!$C$2:$C$20)),"")</f>
        <v/>
      </c>
      <c r="D539" s="14" t="str">
        <f t="array" ref="D539">IF(Raw!D532="","",IFERROR(MAX(IF(Raw!$A$2:$A$26=MHT!A539,Raw!$D$2:$D$20)),""))</f>
        <v/>
      </c>
      <c r="E539" s="6" t="str">
        <f>IF(SUMIF(Raw!$A$2:$A$500, MHT!A539, Raw!$F$2:$F$500) = TIME(0,0,0), "", SUMIF(Raw!$A$2:$A$500, MHT!A539, Raw!$F$2:$F$500))</f>
        <v/>
      </c>
      <c r="F539" s="12" t="str">
        <f t="array" ref="F539">IF(A539="", "", IF(COUNTIF(Raw!$H$1:$I$500, A539) &gt; 0, "Done", IF(COUNTIF(Raw!$J$1:$J$500, A539) &gt; 0, "Pause", IF(COUNTIF(Raw!$K$1:$K$500, A539) &gt; 0, "On-Going", "Pause"))))</f>
        <v/>
      </c>
      <c r="G539" s="51"/>
      <c r="H539" s="50"/>
    </row>
    <row r="540" spans="1:8" x14ac:dyDescent="0.4">
      <c r="A540" s="61"/>
      <c r="B540" s="16" t="str">
        <f t="array" ref="B540">IFERROR(MIN(IF(Raw!$A$2:$A$26=MHT!A540,Raw!$B$2:$B$20)),"")</f>
        <v/>
      </c>
      <c r="C540" s="13" t="str">
        <f t="array" ref="C540">IFERROR(MIN(IF(Raw!$A$2:$A$26=MHT!A540,Raw!$C$2:$C$20)),"")</f>
        <v/>
      </c>
      <c r="D540" s="14" t="str">
        <f t="array" ref="D540">IF(Raw!D533="","",IFERROR(MAX(IF(Raw!$A$2:$A$26=MHT!A540,Raw!$D$2:$D$20)),""))</f>
        <v/>
      </c>
      <c r="E540" s="6" t="str">
        <f>IF(SUMIF(Raw!$A$2:$A$500, MHT!A540, Raw!$F$2:$F$500) = TIME(0,0,0), "", SUMIF(Raw!$A$2:$A$500, MHT!A540, Raw!$F$2:$F$500))</f>
        <v/>
      </c>
      <c r="F540" s="12" t="str">
        <f t="array" ref="F540">IF(A540="", "", IF(COUNTIF(Raw!$H$1:$I$500, A540) &gt; 0, "Done", IF(COUNTIF(Raw!$J$1:$J$500, A540) &gt; 0, "Pause", IF(COUNTIF(Raw!$K$1:$K$500, A540) &gt; 0, "On-Going", "Pause"))))</f>
        <v/>
      </c>
      <c r="G540" s="51"/>
      <c r="H540" s="50"/>
    </row>
    <row r="541" spans="1:8" x14ac:dyDescent="0.4">
      <c r="A541" s="61"/>
      <c r="B541" s="16" t="str">
        <f t="array" ref="B541">IFERROR(MIN(IF(Raw!$A$2:$A$26=MHT!A541,Raw!$B$2:$B$20)),"")</f>
        <v/>
      </c>
      <c r="C541" s="13" t="str">
        <f t="array" ref="C541">IFERROR(MIN(IF(Raw!$A$2:$A$26=MHT!A541,Raw!$C$2:$C$20)),"")</f>
        <v/>
      </c>
      <c r="D541" s="14" t="str">
        <f t="array" ref="D541">IF(Raw!D534="","",IFERROR(MAX(IF(Raw!$A$2:$A$26=MHT!A541,Raw!$D$2:$D$20)),""))</f>
        <v/>
      </c>
      <c r="E541" s="6" t="str">
        <f>IF(SUMIF(Raw!$A$2:$A$500, MHT!A541, Raw!$F$2:$F$500) = TIME(0,0,0), "", SUMIF(Raw!$A$2:$A$500, MHT!A541, Raw!$F$2:$F$500))</f>
        <v/>
      </c>
      <c r="F541" s="12" t="str">
        <f t="array" ref="F541">IF(A541="", "", IF(COUNTIF(Raw!$H$1:$I$500, A541) &gt; 0, "Done", IF(COUNTIF(Raw!$J$1:$J$500, A541) &gt; 0, "Pause", IF(COUNTIF(Raw!$K$1:$K$500, A541) &gt; 0, "On-Going", "Pause"))))</f>
        <v/>
      </c>
      <c r="G541" s="51"/>
      <c r="H541" s="50"/>
    </row>
    <row r="542" spans="1:8" x14ac:dyDescent="0.4">
      <c r="A542" s="61"/>
      <c r="B542" s="16" t="str">
        <f t="array" ref="B542">IFERROR(MIN(IF(Raw!$A$2:$A$26=MHT!A542,Raw!$B$2:$B$20)),"")</f>
        <v/>
      </c>
      <c r="C542" s="13" t="str">
        <f t="array" ref="C542">IFERROR(MIN(IF(Raw!$A$2:$A$26=MHT!A542,Raw!$C$2:$C$20)),"")</f>
        <v/>
      </c>
      <c r="D542" s="14" t="str">
        <f t="array" ref="D542">IF(Raw!D535="","",IFERROR(MAX(IF(Raw!$A$2:$A$26=MHT!A542,Raw!$D$2:$D$20)),""))</f>
        <v/>
      </c>
      <c r="E542" s="6" t="str">
        <f>IF(SUMIF(Raw!$A$2:$A$500, MHT!A542, Raw!$F$2:$F$500) = TIME(0,0,0), "", SUMIF(Raw!$A$2:$A$500, MHT!A542, Raw!$F$2:$F$500))</f>
        <v/>
      </c>
      <c r="F542" s="12" t="str">
        <f t="array" ref="F542">IF(A542="", "", IF(COUNTIF(Raw!$H$1:$I$500, A542) &gt; 0, "Done", IF(COUNTIF(Raw!$J$1:$J$500, A542) &gt; 0, "Pause", IF(COUNTIF(Raw!$K$1:$K$500, A542) &gt; 0, "On-Going", "Pause"))))</f>
        <v/>
      </c>
      <c r="G542" s="51"/>
      <c r="H542" s="50"/>
    </row>
    <row r="543" spans="1:8" x14ac:dyDescent="0.4">
      <c r="A543" s="61"/>
      <c r="B543" s="16" t="str">
        <f t="array" ref="B543">IFERROR(MIN(IF(Raw!$A$2:$A$26=MHT!A543,Raw!$B$2:$B$20)),"")</f>
        <v/>
      </c>
      <c r="C543" s="13" t="str">
        <f t="array" ref="C543">IFERROR(MIN(IF(Raw!$A$2:$A$26=MHT!A543,Raw!$C$2:$C$20)),"")</f>
        <v/>
      </c>
      <c r="D543" s="14" t="str">
        <f t="array" ref="D543">IF(Raw!D536="","",IFERROR(MAX(IF(Raw!$A$2:$A$26=MHT!A543,Raw!$D$2:$D$20)),""))</f>
        <v/>
      </c>
      <c r="E543" s="6" t="str">
        <f>IF(SUMIF(Raw!$A$2:$A$500, MHT!A543, Raw!$F$2:$F$500) = TIME(0,0,0), "", SUMIF(Raw!$A$2:$A$500, MHT!A543, Raw!$F$2:$F$500))</f>
        <v/>
      </c>
      <c r="F543" s="12" t="str">
        <f t="array" ref="F543">IF(A543="", "", IF(COUNTIF(Raw!$H$1:$I$500, A543) &gt; 0, "Done", IF(COUNTIF(Raw!$J$1:$J$500, A543) &gt; 0, "Pause", IF(COUNTIF(Raw!$K$1:$K$500, A543) &gt; 0, "On-Going", "Pause"))))</f>
        <v/>
      </c>
      <c r="G543" s="51"/>
      <c r="H543" s="50"/>
    </row>
    <row r="544" spans="1:8" x14ac:dyDescent="0.4">
      <c r="A544" s="61"/>
      <c r="B544" s="16" t="str">
        <f t="array" ref="B544">IFERROR(MIN(IF(Raw!$A$2:$A$26=MHT!A544,Raw!$B$2:$B$20)),"")</f>
        <v/>
      </c>
      <c r="C544" s="13" t="str">
        <f t="array" ref="C544">IFERROR(MIN(IF(Raw!$A$2:$A$26=MHT!A544,Raw!$C$2:$C$20)),"")</f>
        <v/>
      </c>
      <c r="D544" s="14" t="str">
        <f t="array" ref="D544">IF(Raw!D537="","",IFERROR(MAX(IF(Raw!$A$2:$A$26=MHT!A544,Raw!$D$2:$D$20)),""))</f>
        <v/>
      </c>
      <c r="E544" s="6" t="str">
        <f>IF(SUMIF(Raw!$A$2:$A$500, MHT!A544, Raw!$F$2:$F$500) = TIME(0,0,0), "", SUMIF(Raw!$A$2:$A$500, MHT!A544, Raw!$F$2:$F$500))</f>
        <v/>
      </c>
      <c r="F544" s="12" t="str">
        <f t="array" ref="F544">IF(A544="", "", IF(COUNTIF(Raw!$H$1:$I$500, A544) &gt; 0, "Done", IF(COUNTIF(Raw!$J$1:$J$500, A544) &gt; 0, "Pause", IF(COUNTIF(Raw!$K$1:$K$500, A544) &gt; 0, "On-Going", "Pause"))))</f>
        <v/>
      </c>
      <c r="G544" s="51"/>
      <c r="H544" s="50"/>
    </row>
    <row r="545" spans="1:8" x14ac:dyDescent="0.4">
      <c r="A545" s="61"/>
      <c r="B545" s="16" t="str">
        <f t="array" ref="B545">IFERROR(MIN(IF(Raw!$A$2:$A$26=MHT!A545,Raw!$B$2:$B$20)),"")</f>
        <v/>
      </c>
      <c r="C545" s="13" t="str">
        <f t="array" ref="C545">IFERROR(MIN(IF(Raw!$A$2:$A$26=MHT!A545,Raw!$C$2:$C$20)),"")</f>
        <v/>
      </c>
      <c r="D545" s="14" t="str">
        <f t="array" ref="D545">IF(Raw!D538="","",IFERROR(MAX(IF(Raw!$A$2:$A$26=MHT!A545,Raw!$D$2:$D$20)),""))</f>
        <v/>
      </c>
      <c r="E545" s="6" t="str">
        <f>IF(SUMIF(Raw!$A$2:$A$500, MHT!A545, Raw!$F$2:$F$500) = TIME(0,0,0), "", SUMIF(Raw!$A$2:$A$500, MHT!A545, Raw!$F$2:$F$500))</f>
        <v/>
      </c>
      <c r="F545" s="12" t="str">
        <f t="array" ref="F545">IF(A545="", "", IF(COUNTIF(Raw!$H$1:$I$500, A545) &gt; 0, "Done", IF(COUNTIF(Raw!$J$1:$J$500, A545) &gt; 0, "Pause", IF(COUNTIF(Raw!$K$1:$K$500, A545) &gt; 0, "On-Going", "Pause"))))</f>
        <v/>
      </c>
      <c r="G545" s="51"/>
      <c r="H545" s="50"/>
    </row>
    <row r="546" spans="1:8" x14ac:dyDescent="0.4">
      <c r="A546" s="61"/>
      <c r="B546" s="16" t="str">
        <f t="array" ref="B546">IFERROR(MIN(IF(Raw!$A$2:$A$26=MHT!A546,Raw!$B$2:$B$20)),"")</f>
        <v/>
      </c>
      <c r="C546" s="13" t="str">
        <f t="array" ref="C546">IFERROR(MIN(IF(Raw!$A$2:$A$26=MHT!A546,Raw!$C$2:$C$20)),"")</f>
        <v/>
      </c>
      <c r="D546" s="14" t="str">
        <f t="array" ref="D546">IF(Raw!D539="","",IFERROR(MAX(IF(Raw!$A$2:$A$26=MHT!A546,Raw!$D$2:$D$20)),""))</f>
        <v/>
      </c>
      <c r="E546" s="6" t="str">
        <f>IF(SUMIF(Raw!$A$2:$A$500, MHT!A546, Raw!$F$2:$F$500) = TIME(0,0,0), "", SUMIF(Raw!$A$2:$A$500, MHT!A546, Raw!$F$2:$F$500))</f>
        <v/>
      </c>
      <c r="F546" s="12" t="str">
        <f t="array" ref="F546">IF(A546="", "", IF(COUNTIF(Raw!$H$1:$I$500, A546) &gt; 0, "Done", IF(COUNTIF(Raw!$J$1:$J$500, A546) &gt; 0, "Pause", IF(COUNTIF(Raw!$K$1:$K$500, A546) &gt; 0, "On-Going", "Pause"))))</f>
        <v/>
      </c>
      <c r="G546" s="51"/>
      <c r="H546" s="50"/>
    </row>
    <row r="547" spans="1:8" x14ac:dyDescent="0.4">
      <c r="A547" s="61"/>
      <c r="B547" s="16" t="str">
        <f t="array" ref="B547">IFERROR(MIN(IF(Raw!$A$2:$A$26=MHT!A547,Raw!$B$2:$B$20)),"")</f>
        <v/>
      </c>
      <c r="C547" s="13" t="str">
        <f t="array" ref="C547">IFERROR(MIN(IF(Raw!$A$2:$A$26=MHT!A547,Raw!$C$2:$C$20)),"")</f>
        <v/>
      </c>
      <c r="D547" s="14" t="str">
        <f t="array" ref="D547">IF(Raw!D540="","",IFERROR(MAX(IF(Raw!$A$2:$A$26=MHT!A547,Raw!$D$2:$D$20)),""))</f>
        <v/>
      </c>
      <c r="E547" s="6" t="str">
        <f>IF(SUMIF(Raw!$A$2:$A$500, MHT!A547, Raw!$F$2:$F$500) = TIME(0,0,0), "", SUMIF(Raw!$A$2:$A$500, MHT!A547, Raw!$F$2:$F$500))</f>
        <v/>
      </c>
      <c r="F547" s="12" t="str">
        <f t="array" ref="F547">IF(A547="", "", IF(COUNTIF(Raw!$H$1:$I$500, A547) &gt; 0, "Done", IF(COUNTIF(Raw!$J$1:$J$500, A547) &gt; 0, "Pause", IF(COUNTIF(Raw!$K$1:$K$500, A547) &gt; 0, "On-Going", "Pause"))))</f>
        <v/>
      </c>
      <c r="G547" s="51"/>
      <c r="H547" s="50"/>
    </row>
    <row r="548" spans="1:8" x14ac:dyDescent="0.4">
      <c r="A548" s="61"/>
      <c r="B548" s="16" t="str">
        <f t="array" ref="B548">IFERROR(MIN(IF(Raw!$A$2:$A$26=MHT!A548,Raw!$B$2:$B$20)),"")</f>
        <v/>
      </c>
      <c r="C548" s="13" t="str">
        <f t="array" ref="C548">IFERROR(MIN(IF(Raw!$A$2:$A$26=MHT!A548,Raw!$C$2:$C$20)),"")</f>
        <v/>
      </c>
      <c r="D548" s="14" t="str">
        <f t="array" ref="D548">IF(Raw!D541="","",IFERROR(MAX(IF(Raw!$A$2:$A$26=MHT!A548,Raw!$D$2:$D$20)),""))</f>
        <v/>
      </c>
      <c r="E548" s="6" t="str">
        <f>IF(SUMIF(Raw!$A$2:$A$500, MHT!A548, Raw!$F$2:$F$500) = TIME(0,0,0), "", SUMIF(Raw!$A$2:$A$500, MHT!A548, Raw!$F$2:$F$500))</f>
        <v/>
      </c>
      <c r="F548" s="12" t="str">
        <f t="array" ref="F548">IF(A548="", "", IF(COUNTIF(Raw!$H$1:$I$500, A548) &gt; 0, "Done", IF(COUNTIF(Raw!$J$1:$J$500, A548) &gt; 0, "Pause", IF(COUNTIF(Raw!$K$1:$K$500, A548) &gt; 0, "On-Going", "Pause"))))</f>
        <v/>
      </c>
      <c r="G548" s="51"/>
      <c r="H548" s="50"/>
    </row>
    <row r="549" spans="1:8" x14ac:dyDescent="0.4">
      <c r="A549" s="61"/>
      <c r="B549" s="16" t="str">
        <f t="array" ref="B549">IFERROR(MIN(IF(Raw!$A$2:$A$26=MHT!A549,Raw!$B$2:$B$20)),"")</f>
        <v/>
      </c>
      <c r="C549" s="13" t="str">
        <f t="array" ref="C549">IFERROR(MIN(IF(Raw!$A$2:$A$26=MHT!A549,Raw!$C$2:$C$20)),"")</f>
        <v/>
      </c>
      <c r="D549" s="14" t="str">
        <f t="array" ref="D549">IF(Raw!D542="","",IFERROR(MAX(IF(Raw!$A$2:$A$26=MHT!A549,Raw!$D$2:$D$20)),""))</f>
        <v/>
      </c>
      <c r="E549" s="6" t="str">
        <f>IF(SUMIF(Raw!$A$2:$A$500, MHT!A549, Raw!$F$2:$F$500) = TIME(0,0,0), "", SUMIF(Raw!$A$2:$A$500, MHT!A549, Raw!$F$2:$F$500))</f>
        <v/>
      </c>
      <c r="F549" s="12" t="str">
        <f t="array" ref="F549">IF(A549="", "", IF(COUNTIF(Raw!$H$1:$I$500, A549) &gt; 0, "Done", IF(COUNTIF(Raw!$J$1:$J$500, A549) &gt; 0, "Pause", IF(COUNTIF(Raw!$K$1:$K$500, A549) &gt; 0, "On-Going", "Pause"))))</f>
        <v/>
      </c>
      <c r="G549" s="51"/>
      <c r="H549" s="50"/>
    </row>
    <row r="550" spans="1:8" x14ac:dyDescent="0.4">
      <c r="A550" s="61"/>
      <c r="B550" s="16" t="str">
        <f t="array" ref="B550">IFERROR(MIN(IF(Raw!$A$2:$A$26=MHT!A550,Raw!$B$2:$B$20)),"")</f>
        <v/>
      </c>
      <c r="C550" s="13" t="str">
        <f t="array" ref="C550">IFERROR(MIN(IF(Raw!$A$2:$A$26=MHT!A550,Raw!$C$2:$C$20)),"")</f>
        <v/>
      </c>
      <c r="D550" s="14" t="str">
        <f t="array" ref="D550">IF(Raw!D543="","",IFERROR(MAX(IF(Raw!$A$2:$A$26=MHT!A550,Raw!$D$2:$D$20)),""))</f>
        <v/>
      </c>
      <c r="E550" s="6" t="str">
        <f>IF(SUMIF(Raw!$A$2:$A$500, MHT!A550, Raw!$F$2:$F$500) = TIME(0,0,0), "", SUMIF(Raw!$A$2:$A$500, MHT!A550, Raw!$F$2:$F$500))</f>
        <v/>
      </c>
      <c r="F550" s="12" t="str">
        <f t="array" ref="F550">IF(A550="", "", IF(COUNTIF(Raw!$H$1:$I$500, A550) &gt; 0, "Done", IF(COUNTIF(Raw!$J$1:$J$500, A550) &gt; 0, "Pause", IF(COUNTIF(Raw!$K$1:$K$500, A550) &gt; 0, "On-Going", "Pause"))))</f>
        <v/>
      </c>
      <c r="G550" s="51"/>
      <c r="H550" s="50"/>
    </row>
    <row r="551" spans="1:8" x14ac:dyDescent="0.4">
      <c r="A551" s="61"/>
      <c r="B551" s="16" t="str">
        <f t="array" ref="B551">IFERROR(MIN(IF(Raw!$A$2:$A$26=MHT!A551,Raw!$B$2:$B$20)),"")</f>
        <v/>
      </c>
      <c r="C551" s="13" t="str">
        <f t="array" ref="C551">IFERROR(MIN(IF(Raw!$A$2:$A$26=MHT!A551,Raw!$C$2:$C$20)),"")</f>
        <v/>
      </c>
      <c r="D551" s="14" t="str">
        <f t="array" ref="D551">IF(Raw!D544="","",IFERROR(MAX(IF(Raw!$A$2:$A$26=MHT!A551,Raw!$D$2:$D$20)),""))</f>
        <v/>
      </c>
      <c r="E551" s="6" t="str">
        <f>IF(SUMIF(Raw!$A$2:$A$500, MHT!A551, Raw!$F$2:$F$500) = TIME(0,0,0), "", SUMIF(Raw!$A$2:$A$500, MHT!A551, Raw!$F$2:$F$500))</f>
        <v/>
      </c>
      <c r="F551" s="12" t="str">
        <f t="array" ref="F551">IF(A551="", "", IF(COUNTIF(Raw!$H$1:$I$500, A551) &gt; 0, "Done", IF(COUNTIF(Raw!$J$1:$J$500, A551) &gt; 0, "Pause", IF(COUNTIF(Raw!$K$1:$K$500, A551) &gt; 0, "On-Going", "Pause"))))</f>
        <v/>
      </c>
      <c r="G551" s="51"/>
      <c r="H551" s="50"/>
    </row>
    <row r="552" spans="1:8" x14ac:dyDescent="0.4">
      <c r="A552" s="61"/>
      <c r="B552" s="16" t="str">
        <f t="array" ref="B552">IFERROR(MIN(IF(Raw!$A$2:$A$26=MHT!A552,Raw!$B$2:$B$20)),"")</f>
        <v/>
      </c>
      <c r="C552" s="13" t="str">
        <f t="array" ref="C552">IFERROR(MIN(IF(Raw!$A$2:$A$26=MHT!A552,Raw!$C$2:$C$20)),"")</f>
        <v/>
      </c>
      <c r="D552" s="14" t="str">
        <f t="array" ref="D552">IF(Raw!D545="","",IFERROR(MAX(IF(Raw!$A$2:$A$26=MHT!A552,Raw!$D$2:$D$20)),""))</f>
        <v/>
      </c>
      <c r="E552" s="6" t="str">
        <f>IF(SUMIF(Raw!$A$2:$A$500, MHT!A552, Raw!$F$2:$F$500) = TIME(0,0,0), "", SUMIF(Raw!$A$2:$A$500, MHT!A552, Raw!$F$2:$F$500))</f>
        <v/>
      </c>
      <c r="F552" s="12" t="str">
        <f t="array" ref="F552">IF(A552="", "", IF(COUNTIF(Raw!$H$1:$I$500, A552) &gt; 0, "Done", IF(COUNTIF(Raw!$J$1:$J$500, A552) &gt; 0, "Pause", IF(COUNTIF(Raw!$K$1:$K$500, A552) &gt; 0, "On-Going", "Pause"))))</f>
        <v/>
      </c>
      <c r="G552" s="51"/>
      <c r="H552" s="50"/>
    </row>
    <row r="553" spans="1:8" x14ac:dyDescent="0.4">
      <c r="A553" s="61"/>
      <c r="B553" s="16" t="str">
        <f t="array" ref="B553">IFERROR(MIN(IF(Raw!$A$2:$A$26=MHT!A553,Raw!$B$2:$B$20)),"")</f>
        <v/>
      </c>
      <c r="C553" s="13" t="str">
        <f t="array" ref="C553">IFERROR(MIN(IF(Raw!$A$2:$A$26=MHT!A553,Raw!$C$2:$C$20)),"")</f>
        <v/>
      </c>
      <c r="D553" s="14" t="str">
        <f t="array" ref="D553">IF(Raw!D546="","",IFERROR(MAX(IF(Raw!$A$2:$A$26=MHT!A553,Raw!$D$2:$D$20)),""))</f>
        <v/>
      </c>
      <c r="E553" s="6" t="str">
        <f>IF(SUMIF(Raw!$A$2:$A$500, MHT!A553, Raw!$F$2:$F$500) = TIME(0,0,0), "", SUMIF(Raw!$A$2:$A$500, MHT!A553, Raw!$F$2:$F$500))</f>
        <v/>
      </c>
      <c r="F553" s="12" t="str">
        <f t="array" ref="F553">IF(A553="", "", IF(COUNTIF(Raw!$H$1:$I$500, A553) &gt; 0, "Done", IF(COUNTIF(Raw!$J$1:$J$500, A553) &gt; 0, "Pause", IF(COUNTIF(Raw!$K$1:$K$500, A553) &gt; 0, "On-Going", "Pause"))))</f>
        <v/>
      </c>
      <c r="G553" s="51"/>
      <c r="H553" s="50"/>
    </row>
    <row r="554" spans="1:8" x14ac:dyDescent="0.4">
      <c r="A554" s="61"/>
      <c r="B554" s="16" t="str">
        <f t="array" ref="B554">IFERROR(MIN(IF(Raw!$A$2:$A$26=MHT!A554,Raw!$B$2:$B$20)),"")</f>
        <v/>
      </c>
      <c r="C554" s="13" t="str">
        <f t="array" ref="C554">IFERROR(MIN(IF(Raw!$A$2:$A$26=MHT!A554,Raw!$C$2:$C$20)),"")</f>
        <v/>
      </c>
      <c r="D554" s="14" t="str">
        <f t="array" ref="D554">IF(Raw!D547="","",IFERROR(MAX(IF(Raw!$A$2:$A$26=MHT!A554,Raw!$D$2:$D$20)),""))</f>
        <v/>
      </c>
      <c r="E554" s="6" t="str">
        <f>IF(SUMIF(Raw!$A$2:$A$500, MHT!A554, Raw!$F$2:$F$500) = TIME(0,0,0), "", SUMIF(Raw!$A$2:$A$500, MHT!A554, Raw!$F$2:$F$500))</f>
        <v/>
      </c>
      <c r="F554" s="12" t="str">
        <f t="array" ref="F554">IF(A554="", "", IF(COUNTIF(Raw!$H$1:$I$500, A554) &gt; 0, "Done", IF(COUNTIF(Raw!$J$1:$J$500, A554) &gt; 0, "Pause", IF(COUNTIF(Raw!$K$1:$K$500, A554) &gt; 0, "On-Going", "Pause"))))</f>
        <v/>
      </c>
      <c r="G554" s="51"/>
      <c r="H554" s="50"/>
    </row>
    <row r="555" spans="1:8" x14ac:dyDescent="0.4">
      <c r="A555" s="61"/>
      <c r="B555" s="16" t="str">
        <f t="array" ref="B555">IFERROR(MIN(IF(Raw!$A$2:$A$26=MHT!A555,Raw!$B$2:$B$20)),"")</f>
        <v/>
      </c>
      <c r="C555" s="13" t="str">
        <f t="array" ref="C555">IFERROR(MIN(IF(Raw!$A$2:$A$26=MHT!A555,Raw!$C$2:$C$20)),"")</f>
        <v/>
      </c>
      <c r="D555" s="14" t="str">
        <f t="array" ref="D555">IF(Raw!D548="","",IFERROR(MAX(IF(Raw!$A$2:$A$26=MHT!A555,Raw!$D$2:$D$20)),""))</f>
        <v/>
      </c>
      <c r="E555" s="6" t="str">
        <f>IF(SUMIF(Raw!$A$2:$A$500, MHT!A555, Raw!$F$2:$F$500) = TIME(0,0,0), "", SUMIF(Raw!$A$2:$A$500, MHT!A555, Raw!$F$2:$F$500))</f>
        <v/>
      </c>
      <c r="F555" s="12" t="str">
        <f t="array" ref="F555">IF(A555="", "", IF(COUNTIF(Raw!$H$1:$I$500, A555) &gt; 0, "Done", IF(COUNTIF(Raw!$J$1:$J$500, A555) &gt; 0, "Pause", IF(COUNTIF(Raw!$K$1:$K$500, A555) &gt; 0, "On-Going", "Pause"))))</f>
        <v/>
      </c>
      <c r="G555" s="51"/>
      <c r="H555" s="50"/>
    </row>
    <row r="556" spans="1:8" x14ac:dyDescent="0.4">
      <c r="A556" s="61"/>
      <c r="B556" s="16" t="str">
        <f t="array" ref="B556">IFERROR(MIN(IF(Raw!$A$2:$A$26=MHT!A556,Raw!$B$2:$B$20)),"")</f>
        <v/>
      </c>
      <c r="C556" s="13" t="str">
        <f t="array" ref="C556">IFERROR(MIN(IF(Raw!$A$2:$A$26=MHT!A556,Raw!$C$2:$C$20)),"")</f>
        <v/>
      </c>
      <c r="D556" s="14" t="str">
        <f t="array" ref="D556">IF(Raw!D549="","",IFERROR(MAX(IF(Raw!$A$2:$A$26=MHT!A556,Raw!$D$2:$D$20)),""))</f>
        <v/>
      </c>
      <c r="E556" s="6" t="str">
        <f>IF(SUMIF(Raw!$A$2:$A$500, MHT!A556, Raw!$F$2:$F$500) = TIME(0,0,0), "", SUMIF(Raw!$A$2:$A$500, MHT!A556, Raw!$F$2:$F$500))</f>
        <v/>
      </c>
      <c r="F556" s="12" t="str">
        <f t="array" ref="F556">IF(A556="", "", IF(COUNTIF(Raw!$H$1:$I$500, A556) &gt; 0, "Done", IF(COUNTIF(Raw!$J$1:$J$500, A556) &gt; 0, "Pause", IF(COUNTIF(Raw!$K$1:$K$500, A556) &gt; 0, "On-Going", "Pause"))))</f>
        <v/>
      </c>
      <c r="G556" s="51"/>
      <c r="H556" s="50"/>
    </row>
    <row r="557" spans="1:8" x14ac:dyDescent="0.4">
      <c r="A557" s="61"/>
      <c r="B557" s="16" t="str">
        <f t="array" ref="B557">IFERROR(MIN(IF(Raw!$A$2:$A$26=MHT!A557,Raw!$B$2:$B$20)),"")</f>
        <v/>
      </c>
      <c r="C557" s="13" t="str">
        <f t="array" ref="C557">IFERROR(MIN(IF(Raw!$A$2:$A$26=MHT!A557,Raw!$C$2:$C$20)),"")</f>
        <v/>
      </c>
      <c r="D557" s="14" t="str">
        <f t="array" ref="D557">IF(Raw!D550="","",IFERROR(MAX(IF(Raw!$A$2:$A$26=MHT!A557,Raw!$D$2:$D$20)),""))</f>
        <v/>
      </c>
      <c r="E557" s="6" t="str">
        <f>IF(SUMIF(Raw!$A$2:$A$500, MHT!A557, Raw!$F$2:$F$500) = TIME(0,0,0), "", SUMIF(Raw!$A$2:$A$500, MHT!A557, Raw!$F$2:$F$500))</f>
        <v/>
      </c>
      <c r="F557" s="12" t="str">
        <f t="array" ref="F557">IF(A557="", "", IF(COUNTIF(Raw!$H$1:$I$500, A557) &gt; 0, "Done", IF(COUNTIF(Raw!$J$1:$J$500, A557) &gt; 0, "Pause", IF(COUNTIF(Raw!$K$1:$K$500, A557) &gt; 0, "On-Going", "Pause"))))</f>
        <v/>
      </c>
      <c r="G557" s="51"/>
      <c r="H557" s="50"/>
    </row>
    <row r="558" spans="1:8" x14ac:dyDescent="0.4">
      <c r="A558" s="61"/>
      <c r="B558" s="16" t="str">
        <f t="array" ref="B558">IFERROR(MIN(IF(Raw!$A$2:$A$26=MHT!A558,Raw!$B$2:$B$20)),"")</f>
        <v/>
      </c>
      <c r="C558" s="13" t="str">
        <f t="array" ref="C558">IFERROR(MIN(IF(Raw!$A$2:$A$26=MHT!A558,Raw!$C$2:$C$20)),"")</f>
        <v/>
      </c>
      <c r="D558" s="14" t="str">
        <f t="array" ref="D558">IF(Raw!D551="","",IFERROR(MAX(IF(Raw!$A$2:$A$26=MHT!A558,Raw!$D$2:$D$20)),""))</f>
        <v/>
      </c>
      <c r="E558" s="6" t="str">
        <f>IF(SUMIF(Raw!$A$2:$A$500, MHT!A558, Raw!$F$2:$F$500) = TIME(0,0,0), "", SUMIF(Raw!$A$2:$A$500, MHT!A558, Raw!$F$2:$F$500))</f>
        <v/>
      </c>
      <c r="F558" s="12" t="str">
        <f t="array" ref="F558">IF(A558="", "", IF(COUNTIF(Raw!$H$1:$I$500, A558) &gt; 0, "Done", IF(COUNTIF(Raw!$J$1:$J$500, A558) &gt; 0, "Pause", IF(COUNTIF(Raw!$K$1:$K$500, A558) &gt; 0, "On-Going", "Pause"))))</f>
        <v/>
      </c>
      <c r="G558" s="51"/>
      <c r="H558" s="50"/>
    </row>
    <row r="559" spans="1:8" x14ac:dyDescent="0.4">
      <c r="A559" s="61"/>
      <c r="B559" s="16" t="str">
        <f t="array" ref="B559">IFERROR(MIN(IF(Raw!$A$2:$A$26=MHT!A559,Raw!$B$2:$B$20)),"")</f>
        <v/>
      </c>
      <c r="C559" s="13" t="str">
        <f t="array" ref="C559">IFERROR(MIN(IF(Raw!$A$2:$A$26=MHT!A559,Raw!$C$2:$C$20)),"")</f>
        <v/>
      </c>
      <c r="D559" s="14" t="str">
        <f t="array" ref="D559">IF(Raw!D552="","",IFERROR(MAX(IF(Raw!$A$2:$A$26=MHT!A559,Raw!$D$2:$D$20)),""))</f>
        <v/>
      </c>
      <c r="E559" s="6" t="str">
        <f>IF(SUMIF(Raw!$A$2:$A$500, MHT!A559, Raw!$F$2:$F$500) = TIME(0,0,0), "", SUMIF(Raw!$A$2:$A$500, MHT!A559, Raw!$F$2:$F$500))</f>
        <v/>
      </c>
      <c r="F559" s="12" t="str">
        <f t="array" ref="F559">IF(A559="", "", IF(COUNTIF(Raw!$H$1:$I$500, A559) &gt; 0, "Done", IF(COUNTIF(Raw!$J$1:$J$500, A559) &gt; 0, "Pause", IF(COUNTIF(Raw!$K$1:$K$500, A559) &gt; 0, "On-Going", "Pause"))))</f>
        <v/>
      </c>
      <c r="G559" s="51"/>
      <c r="H559" s="50"/>
    </row>
    <row r="560" spans="1:8" x14ac:dyDescent="0.4">
      <c r="A560" s="61"/>
      <c r="B560" s="16" t="str">
        <f t="array" ref="B560">IFERROR(MIN(IF(Raw!$A$2:$A$26=MHT!A560,Raw!$B$2:$B$20)),"")</f>
        <v/>
      </c>
      <c r="C560" s="13" t="str">
        <f t="array" ref="C560">IFERROR(MIN(IF(Raw!$A$2:$A$26=MHT!A560,Raw!$C$2:$C$20)),"")</f>
        <v/>
      </c>
      <c r="D560" s="14" t="str">
        <f t="array" ref="D560">IF(Raw!D553="","",IFERROR(MAX(IF(Raw!$A$2:$A$26=MHT!A560,Raw!$D$2:$D$20)),""))</f>
        <v/>
      </c>
      <c r="E560" s="6" t="str">
        <f>IF(SUMIF(Raw!$A$2:$A$500, MHT!A560, Raw!$F$2:$F$500) = TIME(0,0,0), "", SUMIF(Raw!$A$2:$A$500, MHT!A560, Raw!$F$2:$F$500))</f>
        <v/>
      </c>
      <c r="F560" s="12" t="str">
        <f t="array" ref="F560">IF(A560="", "", IF(COUNTIF(Raw!$H$1:$I$500, A560) &gt; 0, "Done", IF(COUNTIF(Raw!$J$1:$J$500, A560) &gt; 0, "Pause", IF(COUNTIF(Raw!$K$1:$K$500, A560) &gt; 0, "On-Going", "Pause"))))</f>
        <v/>
      </c>
      <c r="G560" s="51"/>
      <c r="H560" s="50"/>
    </row>
    <row r="561" spans="1:8" x14ac:dyDescent="0.4">
      <c r="A561" s="61"/>
      <c r="B561" s="16" t="str">
        <f t="array" ref="B561">IFERROR(MIN(IF(Raw!$A$2:$A$26=MHT!A561,Raw!$B$2:$B$20)),"")</f>
        <v/>
      </c>
      <c r="C561" s="13" t="str">
        <f t="array" ref="C561">IFERROR(MIN(IF(Raw!$A$2:$A$26=MHT!A561,Raw!$C$2:$C$20)),"")</f>
        <v/>
      </c>
      <c r="D561" s="14" t="str">
        <f t="array" ref="D561">IF(Raw!D554="","",IFERROR(MAX(IF(Raw!$A$2:$A$26=MHT!A561,Raw!$D$2:$D$20)),""))</f>
        <v/>
      </c>
      <c r="E561" s="6" t="str">
        <f>IF(SUMIF(Raw!$A$2:$A$500, MHT!A561, Raw!$F$2:$F$500) = TIME(0,0,0), "", SUMIF(Raw!$A$2:$A$500, MHT!A561, Raw!$F$2:$F$500))</f>
        <v/>
      </c>
      <c r="F561" s="12" t="str">
        <f t="array" ref="F561">IF(A561="", "", IF(COUNTIF(Raw!$H$1:$I$500, A561) &gt; 0, "Done", IF(COUNTIF(Raw!$J$1:$J$500, A561) &gt; 0, "Pause", IF(COUNTIF(Raw!$K$1:$K$500, A561) &gt; 0, "On-Going", "Pause"))))</f>
        <v/>
      </c>
      <c r="G561" s="51"/>
      <c r="H561" s="50"/>
    </row>
    <row r="562" spans="1:8" x14ac:dyDescent="0.4">
      <c r="A562" s="61"/>
      <c r="B562" s="16" t="str">
        <f t="array" ref="B562">IFERROR(MIN(IF(Raw!$A$2:$A$26=MHT!A562,Raw!$B$2:$B$20)),"")</f>
        <v/>
      </c>
      <c r="C562" s="13" t="str">
        <f t="array" ref="C562">IFERROR(MIN(IF(Raw!$A$2:$A$26=MHT!A562,Raw!$C$2:$C$20)),"")</f>
        <v/>
      </c>
      <c r="D562" s="14" t="str">
        <f t="array" ref="D562">IF(Raw!D555="","",IFERROR(MAX(IF(Raw!$A$2:$A$26=MHT!A562,Raw!$D$2:$D$20)),""))</f>
        <v/>
      </c>
      <c r="E562" s="6" t="str">
        <f>IF(SUMIF(Raw!$A$2:$A$500, MHT!A562, Raw!$F$2:$F$500) = TIME(0,0,0), "", SUMIF(Raw!$A$2:$A$500, MHT!A562, Raw!$F$2:$F$500))</f>
        <v/>
      </c>
      <c r="F562" s="12" t="str">
        <f t="array" ref="F562">IF(A562="", "", IF(COUNTIF(Raw!$H$1:$I$500, A562) &gt; 0, "Done", IF(COUNTIF(Raw!$J$1:$J$500, A562) &gt; 0, "Pause", IF(COUNTIF(Raw!$K$1:$K$500, A562) &gt; 0, "On-Going", "Pause"))))</f>
        <v/>
      </c>
      <c r="G562" s="51"/>
      <c r="H562" s="50"/>
    </row>
    <row r="563" spans="1:8" x14ac:dyDescent="0.4">
      <c r="A563" s="61"/>
      <c r="B563" s="16" t="str">
        <f t="array" ref="B563">IFERROR(MIN(IF(Raw!$A$2:$A$26=MHT!A563,Raw!$B$2:$B$20)),"")</f>
        <v/>
      </c>
      <c r="C563" s="13" t="str">
        <f t="array" ref="C563">IFERROR(MIN(IF(Raw!$A$2:$A$26=MHT!A563,Raw!$C$2:$C$20)),"")</f>
        <v/>
      </c>
      <c r="D563" s="14" t="str">
        <f t="array" ref="D563">IF(Raw!D556="","",IFERROR(MAX(IF(Raw!$A$2:$A$26=MHT!A563,Raw!$D$2:$D$20)),""))</f>
        <v/>
      </c>
      <c r="E563" s="6" t="str">
        <f>IF(SUMIF(Raw!$A$2:$A$500, MHT!A563, Raw!$F$2:$F$500) = TIME(0,0,0), "", SUMIF(Raw!$A$2:$A$500, MHT!A563, Raw!$F$2:$F$500))</f>
        <v/>
      </c>
      <c r="F563" s="12" t="str">
        <f t="array" ref="F563">IF(A563="", "", IF(COUNTIF(Raw!$H$1:$I$500, A563) &gt; 0, "Done", IF(COUNTIF(Raw!$J$1:$J$500, A563) &gt; 0, "Pause", IF(COUNTIF(Raw!$K$1:$K$500, A563) &gt; 0, "On-Going", "Pause"))))</f>
        <v/>
      </c>
      <c r="G563" s="51"/>
      <c r="H563" s="50"/>
    </row>
    <row r="564" spans="1:8" x14ac:dyDescent="0.4">
      <c r="A564" s="61"/>
      <c r="B564" s="16" t="str">
        <f t="array" ref="B564">IFERROR(MIN(IF(Raw!$A$2:$A$26=MHT!A564,Raw!$B$2:$B$20)),"")</f>
        <v/>
      </c>
      <c r="C564" s="13" t="str">
        <f t="array" ref="C564">IFERROR(MIN(IF(Raw!$A$2:$A$26=MHT!A564,Raw!$C$2:$C$20)),"")</f>
        <v/>
      </c>
      <c r="D564" s="14" t="str">
        <f t="array" ref="D564">IF(Raw!D557="","",IFERROR(MAX(IF(Raw!$A$2:$A$26=MHT!A564,Raw!$D$2:$D$20)),""))</f>
        <v/>
      </c>
      <c r="E564" s="6" t="str">
        <f>IF(SUMIF(Raw!$A$2:$A$500, MHT!A564, Raw!$F$2:$F$500) = TIME(0,0,0), "", SUMIF(Raw!$A$2:$A$500, MHT!A564, Raw!$F$2:$F$500))</f>
        <v/>
      </c>
      <c r="F564" s="12" t="str">
        <f t="array" ref="F564">IF(A564="", "", IF(COUNTIF(Raw!$H$1:$I$500, A564) &gt; 0, "Done", IF(COUNTIF(Raw!$J$1:$J$500, A564) &gt; 0, "Pause", IF(COUNTIF(Raw!$K$1:$K$500, A564) &gt; 0, "On-Going", "Pause"))))</f>
        <v/>
      </c>
      <c r="G564" s="51"/>
      <c r="H564" s="50"/>
    </row>
    <row r="565" spans="1:8" x14ac:dyDescent="0.4">
      <c r="A565" s="61"/>
      <c r="B565" s="16" t="str">
        <f t="array" ref="B565">IFERROR(MIN(IF(Raw!$A$2:$A$26=MHT!A565,Raw!$B$2:$B$20)),"")</f>
        <v/>
      </c>
      <c r="C565" s="13" t="str">
        <f t="array" ref="C565">IFERROR(MIN(IF(Raw!$A$2:$A$26=MHT!A565,Raw!$C$2:$C$20)),"")</f>
        <v/>
      </c>
      <c r="D565" s="14" t="str">
        <f t="array" ref="D565">IF(Raw!D558="","",IFERROR(MAX(IF(Raw!$A$2:$A$26=MHT!A565,Raw!$D$2:$D$20)),""))</f>
        <v/>
      </c>
      <c r="E565" s="6" t="str">
        <f>IF(SUMIF(Raw!$A$2:$A$500, MHT!A565, Raw!$F$2:$F$500) = TIME(0,0,0), "", SUMIF(Raw!$A$2:$A$500, MHT!A565, Raw!$F$2:$F$500))</f>
        <v/>
      </c>
      <c r="F565" s="12" t="str">
        <f t="array" ref="F565">IF(A565="", "", IF(COUNTIF(Raw!$H$1:$I$500, A565) &gt; 0, "Done", IF(COUNTIF(Raw!$J$1:$J$500, A565) &gt; 0, "Pause", IF(COUNTIF(Raw!$K$1:$K$500, A565) &gt; 0, "On-Going", "Pause"))))</f>
        <v/>
      </c>
      <c r="G565" s="51"/>
      <c r="H565" s="50"/>
    </row>
    <row r="566" spans="1:8" x14ac:dyDescent="0.4">
      <c r="A566" s="61"/>
      <c r="B566" s="16" t="str">
        <f t="array" ref="B566">IFERROR(MIN(IF(Raw!$A$2:$A$26=MHT!A566,Raw!$B$2:$B$20)),"")</f>
        <v/>
      </c>
      <c r="C566" s="13" t="str">
        <f t="array" ref="C566">IFERROR(MIN(IF(Raw!$A$2:$A$26=MHT!A566,Raw!$C$2:$C$20)),"")</f>
        <v/>
      </c>
      <c r="D566" s="14" t="str">
        <f t="array" ref="D566">IF(Raw!D559="","",IFERROR(MAX(IF(Raw!$A$2:$A$26=MHT!A566,Raw!$D$2:$D$20)),""))</f>
        <v/>
      </c>
      <c r="E566" s="6" t="str">
        <f>IF(SUMIF(Raw!$A$2:$A$500, MHT!A566, Raw!$F$2:$F$500) = TIME(0,0,0), "", SUMIF(Raw!$A$2:$A$500, MHT!A566, Raw!$F$2:$F$500))</f>
        <v/>
      </c>
      <c r="F566" s="12" t="str">
        <f t="array" ref="F566">IF(A566="", "", IF(COUNTIF(Raw!$H$1:$I$500, A566) &gt; 0, "Done", IF(COUNTIF(Raw!$J$1:$J$500, A566) &gt; 0, "Pause", IF(COUNTIF(Raw!$K$1:$K$500, A566) &gt; 0, "On-Going", "Pause"))))</f>
        <v/>
      </c>
      <c r="G566" s="51"/>
      <c r="H566" s="50"/>
    </row>
    <row r="567" spans="1:8" x14ac:dyDescent="0.4">
      <c r="A567" s="61"/>
      <c r="B567" s="16" t="str">
        <f t="array" ref="B567">IFERROR(MIN(IF(Raw!$A$2:$A$26=MHT!A567,Raw!$B$2:$B$20)),"")</f>
        <v/>
      </c>
      <c r="C567" s="13" t="str">
        <f t="array" ref="C567">IFERROR(MIN(IF(Raw!$A$2:$A$26=MHT!A567,Raw!$C$2:$C$20)),"")</f>
        <v/>
      </c>
      <c r="D567" s="14" t="str">
        <f t="array" ref="D567">IF(Raw!D560="","",IFERROR(MAX(IF(Raw!$A$2:$A$26=MHT!A567,Raw!$D$2:$D$20)),""))</f>
        <v/>
      </c>
      <c r="E567" s="6" t="str">
        <f>IF(SUMIF(Raw!$A$2:$A$500, MHT!A567, Raw!$F$2:$F$500) = TIME(0,0,0), "", SUMIF(Raw!$A$2:$A$500, MHT!A567, Raw!$F$2:$F$500))</f>
        <v/>
      </c>
      <c r="F567" s="12" t="str">
        <f t="array" ref="F567">IF(A567="", "", IF(COUNTIF(Raw!$H$1:$I$500, A567) &gt; 0, "Done", IF(COUNTIF(Raw!$J$1:$J$500, A567) &gt; 0, "Pause", IF(COUNTIF(Raw!$K$1:$K$500, A567) &gt; 0, "On-Going", "Pause"))))</f>
        <v/>
      </c>
      <c r="G567" s="51"/>
      <c r="H567" s="50"/>
    </row>
    <row r="568" spans="1:8" x14ac:dyDescent="0.4">
      <c r="A568" s="61"/>
      <c r="B568" s="16" t="str">
        <f t="array" ref="B568">IFERROR(MIN(IF(Raw!$A$2:$A$26=MHT!A568,Raw!$B$2:$B$20)),"")</f>
        <v/>
      </c>
      <c r="C568" s="13" t="str">
        <f t="array" ref="C568">IFERROR(MIN(IF(Raw!$A$2:$A$26=MHT!A568,Raw!$C$2:$C$20)),"")</f>
        <v/>
      </c>
      <c r="D568" s="14" t="str">
        <f t="array" ref="D568">IF(Raw!D561="","",IFERROR(MAX(IF(Raw!$A$2:$A$26=MHT!A568,Raw!$D$2:$D$20)),""))</f>
        <v/>
      </c>
      <c r="E568" s="6" t="str">
        <f>IF(SUMIF(Raw!$A$2:$A$500, MHT!A568, Raw!$F$2:$F$500) = TIME(0,0,0), "", SUMIF(Raw!$A$2:$A$500, MHT!A568, Raw!$F$2:$F$500))</f>
        <v/>
      </c>
      <c r="F568" s="12" t="str">
        <f t="array" ref="F568">IF(A568="", "", IF(COUNTIF(Raw!$H$1:$I$500, A568) &gt; 0, "Done", IF(COUNTIF(Raw!$J$1:$J$500, A568) &gt; 0, "Pause", IF(COUNTIF(Raw!$K$1:$K$500, A568) &gt; 0, "On-Going", "Pause"))))</f>
        <v/>
      </c>
      <c r="G568" s="51"/>
      <c r="H568" s="50"/>
    </row>
    <row r="569" spans="1:8" x14ac:dyDescent="0.4">
      <c r="A569" s="61"/>
      <c r="B569" s="16" t="str">
        <f t="array" ref="B569">IFERROR(MIN(IF(Raw!$A$2:$A$26=MHT!A569,Raw!$B$2:$B$20)),"")</f>
        <v/>
      </c>
      <c r="C569" s="13" t="str">
        <f t="array" ref="C569">IFERROR(MIN(IF(Raw!$A$2:$A$26=MHT!A569,Raw!$C$2:$C$20)),"")</f>
        <v/>
      </c>
      <c r="D569" s="14" t="str">
        <f t="array" ref="D569">IF(Raw!D562="","",IFERROR(MAX(IF(Raw!$A$2:$A$26=MHT!A569,Raw!$D$2:$D$20)),""))</f>
        <v/>
      </c>
      <c r="E569" s="6" t="str">
        <f>IF(SUMIF(Raw!$A$2:$A$500, MHT!A569, Raw!$F$2:$F$500) = TIME(0,0,0), "", SUMIF(Raw!$A$2:$A$500, MHT!A569, Raw!$F$2:$F$500))</f>
        <v/>
      </c>
      <c r="F569" s="12" t="str">
        <f t="array" ref="F569">IF(A569="", "", IF(COUNTIF(Raw!$H$1:$I$500, A569) &gt; 0, "Done", IF(COUNTIF(Raw!$J$1:$J$500, A569) &gt; 0, "Pause", IF(COUNTIF(Raw!$K$1:$K$500, A569) &gt; 0, "On-Going", "Pause"))))</f>
        <v/>
      </c>
      <c r="G569" s="51"/>
      <c r="H569" s="50"/>
    </row>
    <row r="570" spans="1:8" x14ac:dyDescent="0.4">
      <c r="A570" s="61"/>
      <c r="B570" s="16" t="str">
        <f t="array" ref="B570">IFERROR(MIN(IF(Raw!$A$2:$A$26=MHT!A570,Raw!$B$2:$B$20)),"")</f>
        <v/>
      </c>
      <c r="C570" s="13" t="str">
        <f t="array" ref="C570">IFERROR(MIN(IF(Raw!$A$2:$A$26=MHT!A570,Raw!$C$2:$C$20)),"")</f>
        <v/>
      </c>
      <c r="D570" s="14" t="str">
        <f t="array" ref="D570">IF(Raw!D563="","",IFERROR(MAX(IF(Raw!$A$2:$A$26=MHT!A570,Raw!$D$2:$D$20)),""))</f>
        <v/>
      </c>
      <c r="E570" s="6" t="str">
        <f>IF(SUMIF(Raw!$A$2:$A$500, MHT!A570, Raw!$F$2:$F$500) = TIME(0,0,0), "", SUMIF(Raw!$A$2:$A$500, MHT!A570, Raw!$F$2:$F$500))</f>
        <v/>
      </c>
      <c r="F570" s="12" t="str">
        <f t="array" ref="F570">IF(A570="", "", IF(COUNTIF(Raw!$H$1:$I$500, A570) &gt; 0, "Done", IF(COUNTIF(Raw!$J$1:$J$500, A570) &gt; 0, "Pause", IF(COUNTIF(Raw!$K$1:$K$500, A570) &gt; 0, "On-Going", "Pause"))))</f>
        <v/>
      </c>
      <c r="G570" s="51"/>
      <c r="H570" s="50"/>
    </row>
    <row r="571" spans="1:8" x14ac:dyDescent="0.4">
      <c r="A571" s="61"/>
      <c r="B571" s="16" t="str">
        <f t="array" ref="B571">IFERROR(MIN(IF(Raw!$A$2:$A$26=MHT!A571,Raw!$B$2:$B$20)),"")</f>
        <v/>
      </c>
      <c r="C571" s="13" t="str">
        <f t="array" ref="C571">IFERROR(MIN(IF(Raw!$A$2:$A$26=MHT!A571,Raw!$C$2:$C$20)),"")</f>
        <v/>
      </c>
      <c r="D571" s="14" t="str">
        <f t="array" ref="D571">IF(Raw!D564="","",IFERROR(MAX(IF(Raw!$A$2:$A$26=MHT!A571,Raw!$D$2:$D$20)),""))</f>
        <v/>
      </c>
      <c r="E571" s="6" t="str">
        <f>IF(SUMIF(Raw!$A$2:$A$500, MHT!A571, Raw!$F$2:$F$500) = TIME(0,0,0), "", SUMIF(Raw!$A$2:$A$500, MHT!A571, Raw!$F$2:$F$500))</f>
        <v/>
      </c>
      <c r="F571" s="12" t="str">
        <f t="array" ref="F571">IF(A571="", "", IF(COUNTIF(Raw!$H$1:$I$500, A571) &gt; 0, "Done", IF(COUNTIF(Raw!$J$1:$J$500, A571) &gt; 0, "Pause", IF(COUNTIF(Raw!$K$1:$K$500, A571) &gt; 0, "On-Going", "Pause"))))</f>
        <v/>
      </c>
      <c r="G571" s="51"/>
      <c r="H571" s="50"/>
    </row>
    <row r="572" spans="1:8" x14ac:dyDescent="0.4">
      <c r="A572" s="61"/>
      <c r="B572" s="16" t="str">
        <f t="array" ref="B572">IFERROR(MIN(IF(Raw!$A$2:$A$26=MHT!A572,Raw!$B$2:$B$20)),"")</f>
        <v/>
      </c>
      <c r="C572" s="13" t="str">
        <f t="array" ref="C572">IFERROR(MIN(IF(Raw!$A$2:$A$26=MHT!A572,Raw!$C$2:$C$20)),"")</f>
        <v/>
      </c>
      <c r="D572" s="14" t="str">
        <f t="array" ref="D572">IF(Raw!D565="","",IFERROR(MAX(IF(Raw!$A$2:$A$26=MHT!A572,Raw!$D$2:$D$20)),""))</f>
        <v/>
      </c>
      <c r="E572" s="6" t="str">
        <f>IF(SUMIF(Raw!$A$2:$A$500, MHT!A572, Raw!$F$2:$F$500) = TIME(0,0,0), "", SUMIF(Raw!$A$2:$A$500, MHT!A572, Raw!$F$2:$F$500))</f>
        <v/>
      </c>
      <c r="F572" s="12" t="str">
        <f t="array" ref="F572">IF(A572="", "", IF(COUNTIF(Raw!$H$1:$I$500, A572) &gt; 0, "Done", IF(COUNTIF(Raw!$J$1:$J$500, A572) &gt; 0, "Pause", IF(COUNTIF(Raw!$K$1:$K$500, A572) &gt; 0, "On-Going", "Pause"))))</f>
        <v/>
      </c>
      <c r="G572" s="51"/>
      <c r="H572" s="50"/>
    </row>
    <row r="573" spans="1:8" x14ac:dyDescent="0.4">
      <c r="A573" s="61"/>
      <c r="B573" s="16" t="str">
        <f t="array" ref="B573">IFERROR(MIN(IF(Raw!$A$2:$A$26=MHT!A573,Raw!$B$2:$B$20)),"")</f>
        <v/>
      </c>
      <c r="C573" s="13" t="str">
        <f t="array" ref="C573">IFERROR(MIN(IF(Raw!$A$2:$A$26=MHT!A573,Raw!$C$2:$C$20)),"")</f>
        <v/>
      </c>
      <c r="D573" s="14" t="str">
        <f t="array" ref="D573">IF(Raw!D566="","",IFERROR(MAX(IF(Raw!$A$2:$A$26=MHT!A573,Raw!$D$2:$D$20)),""))</f>
        <v/>
      </c>
      <c r="E573" s="6" t="str">
        <f>IF(SUMIF(Raw!$A$2:$A$500, MHT!A573, Raw!$F$2:$F$500) = TIME(0,0,0), "", SUMIF(Raw!$A$2:$A$500, MHT!A573, Raw!$F$2:$F$500))</f>
        <v/>
      </c>
      <c r="F573" s="12" t="str">
        <f t="array" ref="F573">IF(A573="", "", IF(COUNTIF(Raw!$H$1:$I$500, A573) &gt; 0, "Done", IF(COUNTIF(Raw!$J$1:$J$500, A573) &gt; 0, "Pause", IF(COUNTIF(Raw!$K$1:$K$500, A573) &gt; 0, "On-Going", "Pause"))))</f>
        <v/>
      </c>
      <c r="G573" s="51"/>
      <c r="H573" s="50"/>
    </row>
    <row r="574" spans="1:8" x14ac:dyDescent="0.4">
      <c r="A574" s="61"/>
      <c r="B574" s="16" t="str">
        <f t="array" ref="B574">IFERROR(MIN(IF(Raw!$A$2:$A$26=MHT!A574,Raw!$B$2:$B$20)),"")</f>
        <v/>
      </c>
      <c r="C574" s="13" t="str">
        <f t="array" ref="C574">IFERROR(MIN(IF(Raw!$A$2:$A$26=MHT!A574,Raw!$C$2:$C$20)),"")</f>
        <v/>
      </c>
      <c r="D574" s="14" t="str">
        <f t="array" ref="D574">IF(Raw!D567="","",IFERROR(MAX(IF(Raw!$A$2:$A$26=MHT!A574,Raw!$D$2:$D$20)),""))</f>
        <v/>
      </c>
      <c r="E574" s="6" t="str">
        <f>IF(SUMIF(Raw!$A$2:$A$500, MHT!A574, Raw!$F$2:$F$500) = TIME(0,0,0), "", SUMIF(Raw!$A$2:$A$500, MHT!A574, Raw!$F$2:$F$500))</f>
        <v/>
      </c>
      <c r="F574" s="12" t="str">
        <f t="array" ref="F574">IF(A574="", "", IF(COUNTIF(Raw!$H$1:$I$500, A574) &gt; 0, "Done", IF(COUNTIF(Raw!$J$1:$J$500, A574) &gt; 0, "Pause", IF(COUNTIF(Raw!$K$1:$K$500, A574) &gt; 0, "On-Going", "Pause"))))</f>
        <v/>
      </c>
      <c r="G574" s="51"/>
      <c r="H574" s="50"/>
    </row>
    <row r="575" spans="1:8" x14ac:dyDescent="0.4">
      <c r="A575" s="61"/>
      <c r="B575" s="16" t="str">
        <f t="array" ref="B575">IFERROR(MIN(IF(Raw!$A$2:$A$26=MHT!A575,Raw!$B$2:$B$20)),"")</f>
        <v/>
      </c>
      <c r="C575" s="13" t="str">
        <f t="array" ref="C575">IFERROR(MIN(IF(Raw!$A$2:$A$26=MHT!A575,Raw!$C$2:$C$20)),"")</f>
        <v/>
      </c>
      <c r="D575" s="14" t="str">
        <f t="array" ref="D575">IF(Raw!D568="","",IFERROR(MAX(IF(Raw!$A$2:$A$26=MHT!A575,Raw!$D$2:$D$20)),""))</f>
        <v/>
      </c>
      <c r="E575" s="6" t="str">
        <f>IF(SUMIF(Raw!$A$2:$A$500, MHT!A575, Raw!$F$2:$F$500) = TIME(0,0,0), "", SUMIF(Raw!$A$2:$A$500, MHT!A575, Raw!$F$2:$F$500))</f>
        <v/>
      </c>
      <c r="F575" s="12" t="str">
        <f t="array" ref="F575">IF(A575="", "", IF(COUNTIF(Raw!$H$1:$I$500, A575) &gt; 0, "Done", IF(COUNTIF(Raw!$J$1:$J$500, A575) &gt; 0, "Pause", IF(COUNTIF(Raw!$K$1:$K$500, A575) &gt; 0, "On-Going", "Pause"))))</f>
        <v/>
      </c>
      <c r="G575" s="51"/>
      <c r="H575" s="50"/>
    </row>
    <row r="576" spans="1:8" x14ac:dyDescent="0.4">
      <c r="A576" s="61"/>
      <c r="B576" s="16" t="str">
        <f t="array" ref="B576">IFERROR(MIN(IF(Raw!$A$2:$A$26=MHT!A576,Raw!$B$2:$B$20)),"")</f>
        <v/>
      </c>
      <c r="C576" s="13" t="str">
        <f t="array" ref="C576">IFERROR(MIN(IF(Raw!$A$2:$A$26=MHT!A576,Raw!$C$2:$C$20)),"")</f>
        <v/>
      </c>
      <c r="D576" s="14" t="str">
        <f t="array" ref="D576">IF(Raw!D569="","",IFERROR(MAX(IF(Raw!$A$2:$A$26=MHT!A576,Raw!$D$2:$D$20)),""))</f>
        <v/>
      </c>
      <c r="E576" s="6" t="str">
        <f>IF(SUMIF(Raw!$A$2:$A$500, MHT!A576, Raw!$F$2:$F$500) = TIME(0,0,0), "", SUMIF(Raw!$A$2:$A$500, MHT!A576, Raw!$F$2:$F$500))</f>
        <v/>
      </c>
      <c r="F576" s="12" t="str">
        <f t="array" ref="F576">IF(A576="", "", IF(COUNTIF(Raw!$H$1:$I$500, A576) &gt; 0, "Done", IF(COUNTIF(Raw!$J$1:$J$500, A576) &gt; 0, "Pause", IF(COUNTIF(Raw!$K$1:$K$500, A576) &gt; 0, "On-Going", "Pause"))))</f>
        <v/>
      </c>
      <c r="G576" s="51"/>
      <c r="H576" s="50"/>
    </row>
    <row r="577" spans="1:8" x14ac:dyDescent="0.4">
      <c r="A577" s="61"/>
      <c r="B577" s="16" t="str">
        <f t="array" ref="B577">IFERROR(MIN(IF(Raw!$A$2:$A$26=MHT!A577,Raw!$B$2:$B$20)),"")</f>
        <v/>
      </c>
      <c r="C577" s="13" t="str">
        <f t="array" ref="C577">IFERROR(MIN(IF(Raw!$A$2:$A$26=MHT!A577,Raw!$C$2:$C$20)),"")</f>
        <v/>
      </c>
      <c r="D577" s="14" t="str">
        <f t="array" ref="D577">IF(Raw!D570="","",IFERROR(MAX(IF(Raw!$A$2:$A$26=MHT!A577,Raw!$D$2:$D$20)),""))</f>
        <v/>
      </c>
      <c r="E577" s="6" t="str">
        <f>IF(SUMIF(Raw!$A$2:$A$500, MHT!A577, Raw!$F$2:$F$500) = TIME(0,0,0), "", SUMIF(Raw!$A$2:$A$500, MHT!A577, Raw!$F$2:$F$500))</f>
        <v/>
      </c>
      <c r="F577" s="12" t="str">
        <f t="array" ref="F577">IF(A577="", "", IF(COUNTIF(Raw!$H$1:$I$500, A577) &gt; 0, "Done", IF(COUNTIF(Raw!$J$1:$J$500, A577) &gt; 0, "Pause", IF(COUNTIF(Raw!$K$1:$K$500, A577) &gt; 0, "On-Going", "Pause"))))</f>
        <v/>
      </c>
      <c r="G577" s="51"/>
      <c r="H577" s="50"/>
    </row>
    <row r="578" spans="1:8" x14ac:dyDescent="0.4">
      <c r="A578" s="61"/>
      <c r="B578" s="16" t="str">
        <f t="array" ref="B578">IFERROR(MIN(IF(Raw!$A$2:$A$26=MHT!A578,Raw!$B$2:$B$20)),"")</f>
        <v/>
      </c>
      <c r="C578" s="13" t="str">
        <f t="array" ref="C578">IFERROR(MIN(IF(Raw!$A$2:$A$26=MHT!A578,Raw!$C$2:$C$20)),"")</f>
        <v/>
      </c>
      <c r="D578" s="14" t="str">
        <f t="array" ref="D578">IF(Raw!D571="","",IFERROR(MAX(IF(Raw!$A$2:$A$26=MHT!A578,Raw!$D$2:$D$20)),""))</f>
        <v/>
      </c>
      <c r="E578" s="6" t="str">
        <f>IF(SUMIF(Raw!$A$2:$A$500, MHT!A578, Raw!$F$2:$F$500) = TIME(0,0,0), "", SUMIF(Raw!$A$2:$A$500, MHT!A578, Raw!$F$2:$F$500))</f>
        <v/>
      </c>
      <c r="F578" s="12" t="str">
        <f t="array" ref="F578">IF(A578="", "", IF(COUNTIF(Raw!$H$1:$I$500, A578) &gt; 0, "Done", IF(COUNTIF(Raw!$J$1:$J$500, A578) &gt; 0, "Pause", IF(COUNTIF(Raw!$K$1:$K$500, A578) &gt; 0, "On-Going", "Pause"))))</f>
        <v/>
      </c>
      <c r="G578" s="51"/>
      <c r="H578" s="50"/>
    </row>
    <row r="579" spans="1:8" x14ac:dyDescent="0.4">
      <c r="A579" s="61"/>
      <c r="B579" s="16" t="str">
        <f t="array" ref="B579">IFERROR(MIN(IF(Raw!$A$2:$A$26=MHT!A579,Raw!$B$2:$B$20)),"")</f>
        <v/>
      </c>
      <c r="C579" s="13" t="str">
        <f t="array" ref="C579">IFERROR(MIN(IF(Raw!$A$2:$A$26=MHT!A579,Raw!$C$2:$C$20)),"")</f>
        <v/>
      </c>
      <c r="D579" s="14" t="str">
        <f t="array" ref="D579">IF(Raw!D572="","",IFERROR(MAX(IF(Raw!$A$2:$A$26=MHT!A579,Raw!$D$2:$D$20)),""))</f>
        <v/>
      </c>
      <c r="E579" s="6" t="str">
        <f>IF(SUMIF(Raw!$A$2:$A$500, MHT!A579, Raw!$F$2:$F$500) = TIME(0,0,0), "", SUMIF(Raw!$A$2:$A$500, MHT!A579, Raw!$F$2:$F$500))</f>
        <v/>
      </c>
      <c r="F579" s="12" t="str">
        <f t="array" ref="F579">IF(A579="", "", IF(COUNTIF(Raw!$H$1:$I$500, A579) &gt; 0, "Done", IF(COUNTIF(Raw!$J$1:$J$500, A579) &gt; 0, "Pause", IF(COUNTIF(Raw!$K$1:$K$500, A579) &gt; 0, "On-Going", "Pause"))))</f>
        <v/>
      </c>
      <c r="G579" s="51"/>
      <c r="H579" s="50"/>
    </row>
    <row r="580" spans="1:8" x14ac:dyDescent="0.4">
      <c r="A580" s="61"/>
      <c r="B580" s="16" t="str">
        <f t="array" ref="B580">IFERROR(MIN(IF(Raw!$A$2:$A$26=MHT!A580,Raw!$B$2:$B$20)),"")</f>
        <v/>
      </c>
      <c r="C580" s="13" t="str">
        <f t="array" ref="C580">IFERROR(MIN(IF(Raw!$A$2:$A$26=MHT!A580,Raw!$C$2:$C$20)),"")</f>
        <v/>
      </c>
      <c r="D580" s="14" t="str">
        <f t="array" ref="D580">IF(Raw!D573="","",IFERROR(MAX(IF(Raw!$A$2:$A$26=MHT!A580,Raw!$D$2:$D$20)),""))</f>
        <v/>
      </c>
      <c r="E580" s="6" t="str">
        <f>IF(SUMIF(Raw!$A$2:$A$500, MHT!A580, Raw!$F$2:$F$500) = TIME(0,0,0), "", SUMIF(Raw!$A$2:$A$500, MHT!A580, Raw!$F$2:$F$500))</f>
        <v/>
      </c>
      <c r="F580" s="12" t="str">
        <f t="array" ref="F580">IF(A580="", "", IF(COUNTIF(Raw!$H$1:$I$500, A580) &gt; 0, "Done", IF(COUNTIF(Raw!$J$1:$J$500, A580) &gt; 0, "Pause", IF(COUNTIF(Raw!$K$1:$K$500, A580) &gt; 0, "On-Going", "Pause"))))</f>
        <v/>
      </c>
      <c r="G580" s="51"/>
      <c r="H580" s="50"/>
    </row>
    <row r="581" spans="1:8" x14ac:dyDescent="0.4">
      <c r="A581" s="61"/>
      <c r="B581" s="16" t="str">
        <f t="array" ref="B581">IFERROR(MIN(IF(Raw!$A$2:$A$26=MHT!A581,Raw!$B$2:$B$20)),"")</f>
        <v/>
      </c>
      <c r="C581" s="13" t="str">
        <f t="array" ref="C581">IFERROR(MIN(IF(Raw!$A$2:$A$26=MHT!A581,Raw!$C$2:$C$20)),"")</f>
        <v/>
      </c>
      <c r="D581" s="14" t="str">
        <f t="array" ref="D581">IF(Raw!D574="","",IFERROR(MAX(IF(Raw!$A$2:$A$26=MHT!A581,Raw!$D$2:$D$20)),""))</f>
        <v/>
      </c>
      <c r="E581" s="6" t="str">
        <f>IF(SUMIF(Raw!$A$2:$A$500, MHT!A581, Raw!$F$2:$F$500) = TIME(0,0,0), "", SUMIF(Raw!$A$2:$A$500, MHT!A581, Raw!$F$2:$F$500))</f>
        <v/>
      </c>
      <c r="F581" s="12" t="str">
        <f t="array" ref="F581">IF(A581="", "", IF(COUNTIF(Raw!$H$1:$I$500, A581) &gt; 0, "Done", IF(COUNTIF(Raw!$J$1:$J$500, A581) &gt; 0, "Pause", IF(COUNTIF(Raw!$K$1:$K$500, A581) &gt; 0, "On-Going", "Pause"))))</f>
        <v/>
      </c>
      <c r="G581" s="51"/>
      <c r="H581" s="50"/>
    </row>
    <row r="582" spans="1:8" x14ac:dyDescent="0.4">
      <c r="A582" s="61"/>
      <c r="B582" s="16" t="str">
        <f t="array" ref="B582">IFERROR(MIN(IF(Raw!$A$2:$A$26=MHT!A582,Raw!$B$2:$B$20)),"")</f>
        <v/>
      </c>
      <c r="C582" s="13" t="str">
        <f t="array" ref="C582">IFERROR(MIN(IF(Raw!$A$2:$A$26=MHT!A582,Raw!$C$2:$C$20)),"")</f>
        <v/>
      </c>
      <c r="D582" s="14" t="str">
        <f t="array" ref="D582">IF(Raw!D575="","",IFERROR(MAX(IF(Raw!$A$2:$A$26=MHT!A582,Raw!$D$2:$D$20)),""))</f>
        <v/>
      </c>
      <c r="E582" s="6" t="str">
        <f>IF(SUMIF(Raw!$A$2:$A$500, MHT!A582, Raw!$F$2:$F$500) = TIME(0,0,0), "", SUMIF(Raw!$A$2:$A$500, MHT!A582, Raw!$F$2:$F$500))</f>
        <v/>
      </c>
      <c r="F582" s="12" t="str">
        <f t="array" ref="F582">IF(A582="", "", IF(COUNTIF(Raw!$H$1:$I$500, A582) &gt; 0, "Done", IF(COUNTIF(Raw!$J$1:$J$500, A582) &gt; 0, "Pause", IF(COUNTIF(Raw!$K$1:$K$500, A582) &gt; 0, "On-Going", "Pause"))))</f>
        <v/>
      </c>
      <c r="G582" s="51"/>
      <c r="H582" s="50"/>
    </row>
    <row r="583" spans="1:8" x14ac:dyDescent="0.4">
      <c r="A583" s="61"/>
      <c r="B583" s="16" t="str">
        <f t="array" ref="B583">IFERROR(MIN(IF(Raw!$A$2:$A$26=MHT!A583,Raw!$B$2:$B$20)),"")</f>
        <v/>
      </c>
      <c r="C583" s="13" t="str">
        <f t="array" ref="C583">IFERROR(MIN(IF(Raw!$A$2:$A$26=MHT!A583,Raw!$C$2:$C$20)),"")</f>
        <v/>
      </c>
      <c r="D583" s="14" t="str">
        <f t="array" ref="D583">IF(Raw!D576="","",IFERROR(MAX(IF(Raw!$A$2:$A$26=MHT!A583,Raw!$D$2:$D$20)),""))</f>
        <v/>
      </c>
      <c r="E583" s="6" t="str">
        <f>IF(SUMIF(Raw!$A$2:$A$500, MHT!A583, Raw!$F$2:$F$500) = TIME(0,0,0), "", SUMIF(Raw!$A$2:$A$500, MHT!A583, Raw!$F$2:$F$500))</f>
        <v/>
      </c>
      <c r="F583" s="12" t="str">
        <f t="array" ref="F583">IF(A583="", "", IF(COUNTIF(Raw!$H$1:$I$500, A583) &gt; 0, "Done", IF(COUNTIF(Raw!$J$1:$J$500, A583) &gt; 0, "Pause", IF(COUNTIF(Raw!$K$1:$K$500, A583) &gt; 0, "On-Going", "Pause"))))</f>
        <v/>
      </c>
      <c r="G583" s="51"/>
      <c r="H583" s="50"/>
    </row>
    <row r="584" spans="1:8" x14ac:dyDescent="0.4">
      <c r="A584" s="61"/>
      <c r="B584" s="16" t="str">
        <f t="array" ref="B584">IFERROR(MIN(IF(Raw!$A$2:$A$26=MHT!A584,Raw!$B$2:$B$20)),"")</f>
        <v/>
      </c>
      <c r="C584" s="13" t="str">
        <f t="array" ref="C584">IFERROR(MIN(IF(Raw!$A$2:$A$26=MHT!A584,Raw!$C$2:$C$20)),"")</f>
        <v/>
      </c>
      <c r="D584" s="14" t="str">
        <f t="array" ref="D584">IF(Raw!D577="","",IFERROR(MAX(IF(Raw!$A$2:$A$26=MHT!A584,Raw!$D$2:$D$20)),""))</f>
        <v/>
      </c>
      <c r="E584" s="6" t="str">
        <f>IF(SUMIF(Raw!$A$2:$A$500, MHT!A584, Raw!$F$2:$F$500) = TIME(0,0,0), "", SUMIF(Raw!$A$2:$A$500, MHT!A584, Raw!$F$2:$F$500))</f>
        <v/>
      </c>
      <c r="F584" s="12" t="str">
        <f t="array" ref="F584">IF(A584="", "", IF(COUNTIF(Raw!$H$1:$I$500, A584) &gt; 0, "Done", IF(COUNTIF(Raw!$J$1:$J$500, A584) &gt; 0, "Pause", IF(COUNTIF(Raw!$K$1:$K$500, A584) &gt; 0, "On-Going", "Pause"))))</f>
        <v/>
      </c>
      <c r="G584" s="51"/>
      <c r="H584" s="50"/>
    </row>
    <row r="585" spans="1:8" x14ac:dyDescent="0.4">
      <c r="A585" s="61"/>
      <c r="B585" s="16" t="str">
        <f t="array" ref="B585">IFERROR(MIN(IF(Raw!$A$2:$A$26=MHT!A585,Raw!$B$2:$B$20)),"")</f>
        <v/>
      </c>
      <c r="C585" s="13" t="str">
        <f t="array" ref="C585">IFERROR(MIN(IF(Raw!$A$2:$A$26=MHT!A585,Raw!$C$2:$C$20)),"")</f>
        <v/>
      </c>
      <c r="D585" s="14" t="str">
        <f t="array" ref="D585">IF(Raw!D578="","",IFERROR(MAX(IF(Raw!$A$2:$A$26=MHT!A585,Raw!$D$2:$D$20)),""))</f>
        <v/>
      </c>
      <c r="E585" s="6" t="str">
        <f>IF(SUMIF(Raw!$A$2:$A$500, MHT!A585, Raw!$F$2:$F$500) = TIME(0,0,0), "", SUMIF(Raw!$A$2:$A$500, MHT!A585, Raw!$F$2:$F$500))</f>
        <v/>
      </c>
      <c r="F585" s="12" t="str">
        <f t="array" ref="F585">IF(A585="", "", IF(COUNTIF(Raw!$H$1:$I$500, A585) &gt; 0, "Done", IF(COUNTIF(Raw!$J$1:$J$500, A585) &gt; 0, "Pause", IF(COUNTIF(Raw!$K$1:$K$500, A585) &gt; 0, "On-Going", "Pause"))))</f>
        <v/>
      </c>
      <c r="G585" s="51"/>
      <c r="H585" s="50"/>
    </row>
    <row r="586" spans="1:8" x14ac:dyDescent="0.4">
      <c r="A586" s="61"/>
      <c r="B586" s="16" t="str">
        <f t="array" ref="B586">IFERROR(MIN(IF(Raw!$A$2:$A$26=MHT!A586,Raw!$B$2:$B$20)),"")</f>
        <v/>
      </c>
      <c r="C586" s="13" t="str">
        <f t="array" ref="C586">IFERROR(MIN(IF(Raw!$A$2:$A$26=MHT!A586,Raw!$C$2:$C$20)),"")</f>
        <v/>
      </c>
      <c r="D586" s="14" t="str">
        <f t="array" ref="D586">IF(Raw!D579="","",IFERROR(MAX(IF(Raw!$A$2:$A$26=MHT!A586,Raw!$D$2:$D$20)),""))</f>
        <v/>
      </c>
      <c r="E586" s="6" t="str">
        <f>IF(SUMIF(Raw!$A$2:$A$500, MHT!A586, Raw!$F$2:$F$500) = TIME(0,0,0), "", SUMIF(Raw!$A$2:$A$500, MHT!A586, Raw!$F$2:$F$500))</f>
        <v/>
      </c>
      <c r="F586" s="12" t="str">
        <f t="array" ref="F586">IF(A586="", "", IF(COUNTIF(Raw!$H$1:$I$500, A586) &gt; 0, "Done", IF(COUNTIF(Raw!$J$1:$J$500, A586) &gt; 0, "Pause", IF(COUNTIF(Raw!$K$1:$K$500, A586) &gt; 0, "On-Going", "Pause"))))</f>
        <v/>
      </c>
      <c r="G586" s="51"/>
      <c r="H586" s="50"/>
    </row>
    <row r="587" spans="1:8" x14ac:dyDescent="0.4">
      <c r="A587" s="61"/>
      <c r="B587" s="16" t="str">
        <f t="array" ref="B587">IFERROR(MIN(IF(Raw!$A$2:$A$26=MHT!A587,Raw!$B$2:$B$20)),"")</f>
        <v/>
      </c>
      <c r="C587" s="13" t="str">
        <f t="array" ref="C587">IFERROR(MIN(IF(Raw!$A$2:$A$26=MHT!A587,Raw!$C$2:$C$20)),"")</f>
        <v/>
      </c>
      <c r="D587" s="14" t="str">
        <f t="array" ref="D587">IF(Raw!D580="","",IFERROR(MAX(IF(Raw!$A$2:$A$26=MHT!A587,Raw!$D$2:$D$20)),""))</f>
        <v/>
      </c>
      <c r="E587" s="6" t="str">
        <f>IF(SUMIF(Raw!$A$2:$A$500, MHT!A587, Raw!$F$2:$F$500) = TIME(0,0,0), "", SUMIF(Raw!$A$2:$A$500, MHT!A587, Raw!$F$2:$F$500))</f>
        <v/>
      </c>
      <c r="F587" s="12" t="str">
        <f t="array" ref="F587">IF(A587="", "", IF(COUNTIF(Raw!$H$1:$I$500, A587) &gt; 0, "Done", IF(COUNTIF(Raw!$J$1:$J$500, A587) &gt; 0, "Pause", IF(COUNTIF(Raw!$K$1:$K$500, A587) &gt; 0, "On-Going", "Pause"))))</f>
        <v/>
      </c>
      <c r="G587" s="51"/>
      <c r="H587" s="50"/>
    </row>
    <row r="588" spans="1:8" x14ac:dyDescent="0.4">
      <c r="A588" s="61"/>
      <c r="B588" s="16" t="str">
        <f t="array" ref="B588">IFERROR(MIN(IF(Raw!$A$2:$A$26=MHT!A588,Raw!$B$2:$B$20)),"")</f>
        <v/>
      </c>
      <c r="C588" s="13" t="str">
        <f t="array" ref="C588">IFERROR(MIN(IF(Raw!$A$2:$A$26=MHT!A588,Raw!$C$2:$C$20)),"")</f>
        <v/>
      </c>
      <c r="D588" s="14" t="str">
        <f t="array" ref="D588">IF(Raw!D581="","",IFERROR(MAX(IF(Raw!$A$2:$A$26=MHT!A588,Raw!$D$2:$D$20)),""))</f>
        <v/>
      </c>
      <c r="E588" s="6" t="str">
        <f>IF(SUMIF(Raw!$A$2:$A$500, MHT!A588, Raw!$F$2:$F$500) = TIME(0,0,0), "", SUMIF(Raw!$A$2:$A$500, MHT!A588, Raw!$F$2:$F$500))</f>
        <v/>
      </c>
      <c r="F588" s="12" t="str">
        <f t="array" ref="F588">IF(A588="", "", IF(COUNTIF(Raw!$H$1:$I$500, A588) &gt; 0, "Done", IF(COUNTIF(Raw!$J$1:$J$500, A588) &gt; 0, "Pause", IF(COUNTIF(Raw!$K$1:$K$500, A588) &gt; 0, "On-Going", "Pause"))))</f>
        <v/>
      </c>
      <c r="G588" s="51"/>
      <c r="H588" s="50"/>
    </row>
    <row r="589" spans="1:8" x14ac:dyDescent="0.4">
      <c r="A589" s="61"/>
      <c r="B589" s="16" t="str">
        <f t="array" ref="B589">IFERROR(MIN(IF(Raw!$A$2:$A$26=MHT!A589,Raw!$B$2:$B$20)),"")</f>
        <v/>
      </c>
      <c r="C589" s="13" t="str">
        <f t="array" ref="C589">IFERROR(MIN(IF(Raw!$A$2:$A$26=MHT!A589,Raw!$C$2:$C$20)),"")</f>
        <v/>
      </c>
      <c r="D589" s="14" t="str">
        <f t="array" ref="D589">IF(Raw!D582="","",IFERROR(MAX(IF(Raw!$A$2:$A$26=MHT!A589,Raw!$D$2:$D$20)),""))</f>
        <v/>
      </c>
      <c r="E589" s="6" t="str">
        <f>IF(SUMIF(Raw!$A$2:$A$500, MHT!A589, Raw!$F$2:$F$500) = TIME(0,0,0), "", SUMIF(Raw!$A$2:$A$500, MHT!A589, Raw!$F$2:$F$500))</f>
        <v/>
      </c>
      <c r="F589" s="12" t="str">
        <f t="array" ref="F589">IF(A589="", "", IF(COUNTIF(Raw!$H$1:$I$500, A589) &gt; 0, "Done", IF(COUNTIF(Raw!$J$1:$J$500, A589) &gt; 0, "Pause", IF(COUNTIF(Raw!$K$1:$K$500, A589) &gt; 0, "On-Going", "Pause"))))</f>
        <v/>
      </c>
      <c r="G589" s="51"/>
      <c r="H589" s="50"/>
    </row>
    <row r="590" spans="1:8" x14ac:dyDescent="0.4">
      <c r="A590" s="61"/>
      <c r="B590" s="16" t="str">
        <f t="array" ref="B590">IFERROR(MIN(IF(Raw!$A$2:$A$26=MHT!A590,Raw!$B$2:$B$20)),"")</f>
        <v/>
      </c>
      <c r="C590" s="13" t="str">
        <f t="array" ref="C590">IFERROR(MIN(IF(Raw!$A$2:$A$26=MHT!A590,Raw!$C$2:$C$20)),"")</f>
        <v/>
      </c>
      <c r="D590" s="14" t="str">
        <f t="array" ref="D590">IF(Raw!D583="","",IFERROR(MAX(IF(Raw!$A$2:$A$26=MHT!A590,Raw!$D$2:$D$20)),""))</f>
        <v/>
      </c>
      <c r="E590" s="6" t="str">
        <f>IF(SUMIF(Raw!$A$2:$A$500, MHT!A590, Raw!$F$2:$F$500) = TIME(0,0,0), "", SUMIF(Raw!$A$2:$A$500, MHT!A590, Raw!$F$2:$F$500))</f>
        <v/>
      </c>
      <c r="F590" s="12" t="str">
        <f t="array" ref="F590">IF(A590="", "", IF(COUNTIF(Raw!$H$1:$I$500, A590) &gt; 0, "Done", IF(COUNTIF(Raw!$J$1:$J$500, A590) &gt; 0, "Pause", IF(COUNTIF(Raw!$K$1:$K$500, A590) &gt; 0, "On-Going", "Pause"))))</f>
        <v/>
      </c>
      <c r="G590" s="51"/>
      <c r="H590" s="50"/>
    </row>
    <row r="591" spans="1:8" x14ac:dyDescent="0.4">
      <c r="A591" s="61"/>
      <c r="B591" s="16" t="str">
        <f t="array" ref="B591">IFERROR(MIN(IF(Raw!$A$2:$A$26=MHT!A591,Raw!$B$2:$B$20)),"")</f>
        <v/>
      </c>
      <c r="C591" s="13" t="str">
        <f t="array" ref="C591">IFERROR(MIN(IF(Raw!$A$2:$A$26=MHT!A591,Raw!$C$2:$C$20)),"")</f>
        <v/>
      </c>
      <c r="D591" s="14" t="str">
        <f t="array" ref="D591">IF(Raw!D584="","",IFERROR(MAX(IF(Raw!$A$2:$A$26=MHT!A591,Raw!$D$2:$D$20)),""))</f>
        <v/>
      </c>
      <c r="E591" s="6" t="str">
        <f>IF(SUMIF(Raw!$A$2:$A$500, MHT!A591, Raw!$F$2:$F$500) = TIME(0,0,0), "", SUMIF(Raw!$A$2:$A$500, MHT!A591, Raw!$F$2:$F$500))</f>
        <v/>
      </c>
      <c r="F591" s="12" t="str">
        <f t="array" ref="F591">IF(A591="", "", IF(COUNTIF(Raw!$H$1:$I$500, A591) &gt; 0, "Done", IF(COUNTIF(Raw!$J$1:$J$500, A591) &gt; 0, "Pause", IF(COUNTIF(Raw!$K$1:$K$500, A591) &gt; 0, "On-Going", "Pause"))))</f>
        <v/>
      </c>
      <c r="G591" s="51"/>
      <c r="H591" s="50"/>
    </row>
    <row r="592" spans="1:8" x14ac:dyDescent="0.4">
      <c r="A592" s="61"/>
      <c r="B592" s="16" t="str">
        <f t="array" ref="B592">IFERROR(MIN(IF(Raw!$A$2:$A$26=MHT!A592,Raw!$B$2:$B$20)),"")</f>
        <v/>
      </c>
      <c r="C592" s="13" t="str">
        <f t="array" ref="C592">IFERROR(MIN(IF(Raw!$A$2:$A$26=MHT!A592,Raw!$C$2:$C$20)),"")</f>
        <v/>
      </c>
      <c r="D592" s="14" t="str">
        <f t="array" ref="D592">IF(Raw!D585="","",IFERROR(MAX(IF(Raw!$A$2:$A$26=MHT!A592,Raw!$D$2:$D$20)),""))</f>
        <v/>
      </c>
      <c r="E592" s="6" t="str">
        <f>IF(SUMIF(Raw!$A$2:$A$500, MHT!A592, Raw!$F$2:$F$500) = TIME(0,0,0), "", SUMIF(Raw!$A$2:$A$500, MHT!A592, Raw!$F$2:$F$500))</f>
        <v/>
      </c>
      <c r="F592" s="12" t="str">
        <f t="array" ref="F592">IF(A592="", "", IF(COUNTIF(Raw!$H$1:$I$500, A592) &gt; 0, "Done", IF(COUNTIF(Raw!$J$1:$J$500, A592) &gt; 0, "Pause", IF(COUNTIF(Raw!$K$1:$K$500, A592) &gt; 0, "On-Going", "Pause"))))</f>
        <v/>
      </c>
      <c r="G592" s="51"/>
      <c r="H592" s="50"/>
    </row>
    <row r="593" spans="1:8" x14ac:dyDescent="0.4">
      <c r="A593" s="61"/>
      <c r="B593" s="16" t="str">
        <f t="array" ref="B593">IFERROR(MIN(IF(Raw!$A$2:$A$26=MHT!A593,Raw!$B$2:$B$20)),"")</f>
        <v/>
      </c>
      <c r="C593" s="13" t="str">
        <f t="array" ref="C593">IFERROR(MIN(IF(Raw!$A$2:$A$26=MHT!A593,Raw!$C$2:$C$20)),"")</f>
        <v/>
      </c>
      <c r="D593" s="14" t="str">
        <f t="array" ref="D593">IF(Raw!D586="","",IFERROR(MAX(IF(Raw!$A$2:$A$26=MHT!A593,Raw!$D$2:$D$20)),""))</f>
        <v/>
      </c>
      <c r="E593" s="6" t="str">
        <f>IF(SUMIF(Raw!$A$2:$A$500, MHT!A593, Raw!$F$2:$F$500) = TIME(0,0,0), "", SUMIF(Raw!$A$2:$A$500, MHT!A593, Raw!$F$2:$F$500))</f>
        <v/>
      </c>
      <c r="F593" s="12" t="str">
        <f t="array" ref="F593">IF(A593="", "", IF(COUNTIF(Raw!$H$1:$I$500, A593) &gt; 0, "Done", IF(COUNTIF(Raw!$J$1:$J$500, A593) &gt; 0, "Pause", IF(COUNTIF(Raw!$K$1:$K$500, A593) &gt; 0, "On-Going", "Pause"))))</f>
        <v/>
      </c>
      <c r="G593" s="51"/>
      <c r="H593" s="50"/>
    </row>
    <row r="594" spans="1:8" x14ac:dyDescent="0.4">
      <c r="A594" s="61"/>
      <c r="B594" s="16" t="str">
        <f t="array" ref="B594">IFERROR(MIN(IF(Raw!$A$2:$A$26=MHT!A594,Raw!$B$2:$B$20)),"")</f>
        <v/>
      </c>
      <c r="C594" s="13" t="str">
        <f t="array" ref="C594">IFERROR(MIN(IF(Raw!$A$2:$A$26=MHT!A594,Raw!$C$2:$C$20)),"")</f>
        <v/>
      </c>
      <c r="D594" s="14" t="str">
        <f t="array" ref="D594">IF(Raw!D587="","",IFERROR(MAX(IF(Raw!$A$2:$A$26=MHT!A594,Raw!$D$2:$D$20)),""))</f>
        <v/>
      </c>
      <c r="E594" s="6" t="str">
        <f>IF(SUMIF(Raw!$A$2:$A$500, MHT!A594, Raw!$F$2:$F$500) = TIME(0,0,0), "", SUMIF(Raw!$A$2:$A$500, MHT!A594, Raw!$F$2:$F$500))</f>
        <v/>
      </c>
      <c r="F594" s="12" t="str">
        <f t="array" ref="F594">IF(A594="", "", IF(COUNTIF(Raw!$H$1:$I$500, A594) &gt; 0, "Done", IF(COUNTIF(Raw!$J$1:$J$500, A594) &gt; 0, "Pause", IF(COUNTIF(Raw!$K$1:$K$500, A594) &gt; 0, "On-Going", "Pause"))))</f>
        <v/>
      </c>
      <c r="G594" s="51"/>
      <c r="H594" s="50"/>
    </row>
    <row r="595" spans="1:8" x14ac:dyDescent="0.4">
      <c r="A595" s="61"/>
      <c r="B595" s="16" t="str">
        <f t="array" ref="B595">IFERROR(MIN(IF(Raw!$A$2:$A$26=MHT!A595,Raw!$B$2:$B$20)),"")</f>
        <v/>
      </c>
      <c r="C595" s="13" t="str">
        <f t="array" ref="C595">IFERROR(MIN(IF(Raw!$A$2:$A$26=MHT!A595,Raw!$C$2:$C$20)),"")</f>
        <v/>
      </c>
      <c r="D595" s="14" t="str">
        <f t="array" ref="D595">IF(Raw!D588="","",IFERROR(MAX(IF(Raw!$A$2:$A$26=MHT!A595,Raw!$D$2:$D$20)),""))</f>
        <v/>
      </c>
      <c r="E595" s="6" t="str">
        <f>IF(SUMIF(Raw!$A$2:$A$500, MHT!A595, Raw!$F$2:$F$500) = TIME(0,0,0), "", SUMIF(Raw!$A$2:$A$500, MHT!A595, Raw!$F$2:$F$500))</f>
        <v/>
      </c>
      <c r="F595" s="12" t="str">
        <f t="array" ref="F595">IF(A595="", "", IF(COUNTIF(Raw!$H$1:$I$500, A595) &gt; 0, "Done", IF(COUNTIF(Raw!$J$1:$J$500, A595) &gt; 0, "Pause", IF(COUNTIF(Raw!$K$1:$K$500, A595) &gt; 0, "On-Going", "Pause"))))</f>
        <v/>
      </c>
      <c r="G595" s="51"/>
      <c r="H595" s="50"/>
    </row>
    <row r="596" spans="1:8" x14ac:dyDescent="0.4">
      <c r="A596" s="61"/>
      <c r="B596" s="16" t="str">
        <f t="array" ref="B596">IFERROR(MIN(IF(Raw!$A$2:$A$26=MHT!A596,Raw!$B$2:$B$20)),"")</f>
        <v/>
      </c>
      <c r="C596" s="13" t="str">
        <f t="array" ref="C596">IFERROR(MIN(IF(Raw!$A$2:$A$26=MHT!A596,Raw!$C$2:$C$20)),"")</f>
        <v/>
      </c>
      <c r="D596" s="14" t="str">
        <f t="array" ref="D596">IF(Raw!D589="","",IFERROR(MAX(IF(Raw!$A$2:$A$26=MHT!A596,Raw!$D$2:$D$20)),""))</f>
        <v/>
      </c>
      <c r="E596" s="6" t="str">
        <f>IF(SUMIF(Raw!$A$2:$A$500, MHT!A596, Raw!$F$2:$F$500) = TIME(0,0,0), "", SUMIF(Raw!$A$2:$A$500, MHT!A596, Raw!$F$2:$F$500))</f>
        <v/>
      </c>
      <c r="F596" s="12" t="str">
        <f t="array" ref="F596">IF(A596="", "", IF(COUNTIF(Raw!$H$1:$I$500, A596) &gt; 0, "Done", IF(COUNTIF(Raw!$J$1:$J$500, A596) &gt; 0, "Pause", IF(COUNTIF(Raw!$K$1:$K$500, A596) &gt; 0, "On-Going", "Pause"))))</f>
        <v/>
      </c>
      <c r="G596" s="51"/>
      <c r="H596" s="50"/>
    </row>
    <row r="597" spans="1:8" x14ac:dyDescent="0.4">
      <c r="A597" s="61"/>
      <c r="B597" s="16" t="str">
        <f t="array" ref="B597">IFERROR(MIN(IF(Raw!$A$2:$A$26=MHT!A597,Raw!$B$2:$B$20)),"")</f>
        <v/>
      </c>
      <c r="C597" s="13" t="str">
        <f t="array" ref="C597">IFERROR(MIN(IF(Raw!$A$2:$A$26=MHT!A597,Raw!$C$2:$C$20)),"")</f>
        <v/>
      </c>
      <c r="D597" s="14" t="str">
        <f t="array" ref="D597">IF(Raw!D590="","",IFERROR(MAX(IF(Raw!$A$2:$A$26=MHT!A597,Raw!$D$2:$D$20)),""))</f>
        <v/>
      </c>
      <c r="E597" s="6" t="str">
        <f>IF(SUMIF(Raw!$A$2:$A$500, MHT!A597, Raw!$F$2:$F$500) = TIME(0,0,0), "", SUMIF(Raw!$A$2:$A$500, MHT!A597, Raw!$F$2:$F$500))</f>
        <v/>
      </c>
      <c r="F597" s="12" t="str">
        <f t="array" ref="F597">IF(A597="", "", IF(COUNTIF(Raw!$H$1:$I$500, A597) &gt; 0, "Done", IF(COUNTIF(Raw!$J$1:$J$500, A597) &gt; 0, "Pause", IF(COUNTIF(Raw!$K$1:$K$500, A597) &gt; 0, "On-Going", "Pause"))))</f>
        <v/>
      </c>
      <c r="G597" s="51"/>
      <c r="H597" s="50"/>
    </row>
    <row r="598" spans="1:8" x14ac:dyDescent="0.4">
      <c r="A598" s="61"/>
      <c r="B598" s="16" t="str">
        <f t="array" ref="B598">IFERROR(MIN(IF(Raw!$A$2:$A$26=MHT!A598,Raw!$B$2:$B$20)),"")</f>
        <v/>
      </c>
      <c r="C598" s="13" t="str">
        <f t="array" ref="C598">IFERROR(MIN(IF(Raw!$A$2:$A$26=MHT!A598,Raw!$C$2:$C$20)),"")</f>
        <v/>
      </c>
      <c r="D598" s="14" t="str">
        <f t="array" ref="D598">IF(Raw!D591="","",IFERROR(MAX(IF(Raw!$A$2:$A$26=MHT!A598,Raw!$D$2:$D$20)),""))</f>
        <v/>
      </c>
      <c r="E598" s="6" t="str">
        <f>IF(SUMIF(Raw!$A$2:$A$500, MHT!A598, Raw!$F$2:$F$500) = TIME(0,0,0), "", SUMIF(Raw!$A$2:$A$500, MHT!A598, Raw!$F$2:$F$500))</f>
        <v/>
      </c>
      <c r="F598" s="12" t="str">
        <f t="array" ref="F598">IF(A598="", "", IF(COUNTIF(Raw!$H$1:$I$500, A598) &gt; 0, "Done", IF(COUNTIF(Raw!$J$1:$J$500, A598) &gt; 0, "Pause", IF(COUNTIF(Raw!$K$1:$K$500, A598) &gt; 0, "On-Going", "Pause"))))</f>
        <v/>
      </c>
      <c r="G598" s="51"/>
      <c r="H598" s="50"/>
    </row>
    <row r="599" spans="1:8" x14ac:dyDescent="0.4">
      <c r="A599" s="61"/>
      <c r="B599" s="16" t="str">
        <f t="array" ref="B599">IFERROR(MIN(IF(Raw!$A$2:$A$26=MHT!A599,Raw!$B$2:$B$20)),"")</f>
        <v/>
      </c>
      <c r="C599" s="13" t="str">
        <f t="array" ref="C599">IFERROR(MIN(IF(Raw!$A$2:$A$26=MHT!A599,Raw!$C$2:$C$20)),"")</f>
        <v/>
      </c>
      <c r="D599" s="14" t="str">
        <f t="array" ref="D599">IF(Raw!D592="","",IFERROR(MAX(IF(Raw!$A$2:$A$26=MHT!A599,Raw!$D$2:$D$20)),""))</f>
        <v/>
      </c>
      <c r="E599" s="6" t="str">
        <f>IF(SUMIF(Raw!$A$2:$A$500, MHT!A599, Raw!$F$2:$F$500) = TIME(0,0,0), "", SUMIF(Raw!$A$2:$A$500, MHT!A599, Raw!$F$2:$F$500))</f>
        <v/>
      </c>
      <c r="F599" s="12" t="str">
        <f t="array" ref="F599">IF(A599="", "", IF(COUNTIF(Raw!$H$1:$I$500, A599) &gt; 0, "Done", IF(COUNTIF(Raw!$J$1:$J$500, A599) &gt; 0, "Pause", IF(COUNTIF(Raw!$K$1:$K$500, A599) &gt; 0, "On-Going", "Pause"))))</f>
        <v/>
      </c>
      <c r="G599" s="51"/>
      <c r="H599" s="50"/>
    </row>
    <row r="600" spans="1:8" x14ac:dyDescent="0.4">
      <c r="A600" s="61"/>
      <c r="B600" s="16" t="str">
        <f t="array" ref="B600">IFERROR(MIN(IF(Raw!$A$2:$A$26=MHT!A600,Raw!$B$2:$B$20)),"")</f>
        <v/>
      </c>
      <c r="C600" s="13" t="str">
        <f t="array" ref="C600">IFERROR(MIN(IF(Raw!$A$2:$A$26=MHT!A600,Raw!$C$2:$C$20)),"")</f>
        <v/>
      </c>
      <c r="D600" s="14" t="str">
        <f t="array" ref="D600">IF(Raw!D593="","",IFERROR(MAX(IF(Raw!$A$2:$A$26=MHT!A600,Raw!$D$2:$D$20)),""))</f>
        <v/>
      </c>
      <c r="E600" s="6" t="str">
        <f>IF(SUMIF(Raw!$A$2:$A$500, MHT!A600, Raw!$F$2:$F$500) = TIME(0,0,0), "", SUMIF(Raw!$A$2:$A$500, MHT!A600, Raw!$F$2:$F$500))</f>
        <v/>
      </c>
      <c r="F600" s="12" t="str">
        <f t="array" ref="F600">IF(A600="", "", IF(COUNTIF(Raw!$H$1:$I$500, A600) &gt; 0, "Done", IF(COUNTIF(Raw!$J$1:$J$500, A600) &gt; 0, "Pause", IF(COUNTIF(Raw!$K$1:$K$500, A600) &gt; 0, "On-Going", "Pause"))))</f>
        <v/>
      </c>
      <c r="G600" s="51"/>
      <c r="H600" s="50"/>
    </row>
    <row r="601" spans="1:8" x14ac:dyDescent="0.4">
      <c r="A601" s="61"/>
      <c r="B601" s="16" t="str">
        <f t="array" ref="B601">IFERROR(MIN(IF(Raw!$A$2:$A$26=MHT!A601,Raw!$B$2:$B$20)),"")</f>
        <v/>
      </c>
      <c r="C601" s="13" t="str">
        <f t="array" ref="C601">IFERROR(MIN(IF(Raw!$A$2:$A$26=MHT!A601,Raw!$C$2:$C$20)),"")</f>
        <v/>
      </c>
      <c r="D601" s="14" t="str">
        <f t="array" ref="D601">IF(Raw!D594="","",IFERROR(MAX(IF(Raw!$A$2:$A$26=MHT!A601,Raw!$D$2:$D$20)),""))</f>
        <v/>
      </c>
      <c r="E601" s="6" t="str">
        <f>IF(SUMIF(Raw!$A$2:$A$500, MHT!A601, Raw!$F$2:$F$500) = TIME(0,0,0), "", SUMIF(Raw!$A$2:$A$500, MHT!A601, Raw!$F$2:$F$500))</f>
        <v/>
      </c>
      <c r="F601" s="12" t="str">
        <f t="array" ref="F601">IF(A601="", "", IF(COUNTIF(Raw!$H$1:$I$500, A601) &gt; 0, "Done", IF(COUNTIF(Raw!$J$1:$J$500, A601) &gt; 0, "Pause", IF(COUNTIF(Raw!$K$1:$K$500, A601) &gt; 0, "On-Going", "Pause"))))</f>
        <v/>
      </c>
      <c r="G601" s="51"/>
      <c r="H601" s="50"/>
    </row>
    <row r="602" spans="1:8" x14ac:dyDescent="0.4">
      <c r="A602" s="61"/>
      <c r="B602" s="16" t="str">
        <f t="array" ref="B602">IFERROR(MIN(IF(Raw!$A$2:$A$26=MHT!A602,Raw!$B$2:$B$20)),"")</f>
        <v/>
      </c>
      <c r="C602" s="13" t="str">
        <f t="array" ref="C602">IFERROR(MIN(IF(Raw!$A$2:$A$26=MHT!A602,Raw!$C$2:$C$20)),"")</f>
        <v/>
      </c>
      <c r="D602" s="14" t="str">
        <f t="array" ref="D602">IF(Raw!D595="","",IFERROR(MAX(IF(Raw!$A$2:$A$26=MHT!A602,Raw!$D$2:$D$20)),""))</f>
        <v/>
      </c>
      <c r="E602" s="6" t="str">
        <f>IF(SUMIF(Raw!$A$2:$A$500, MHT!A602, Raw!$F$2:$F$500) = TIME(0,0,0), "", SUMIF(Raw!$A$2:$A$500, MHT!A602, Raw!$F$2:$F$500))</f>
        <v/>
      </c>
      <c r="F602" s="12" t="str">
        <f t="array" ref="F602">IF(A602="", "", IF(COUNTIF(Raw!$H$1:$I$500, A602) &gt; 0, "Done", IF(COUNTIF(Raw!$J$1:$J$500, A602) &gt; 0, "Pause", IF(COUNTIF(Raw!$K$1:$K$500, A602) &gt; 0, "On-Going", "Pause"))))</f>
        <v/>
      </c>
      <c r="G602" s="51"/>
      <c r="H602" s="50"/>
    </row>
    <row r="603" spans="1:8" x14ac:dyDescent="0.4">
      <c r="A603" s="61"/>
      <c r="B603" s="16" t="str">
        <f t="array" ref="B603">IFERROR(MIN(IF(Raw!$A$2:$A$26=MHT!A603,Raw!$B$2:$B$20)),"")</f>
        <v/>
      </c>
      <c r="C603" s="13" t="str">
        <f t="array" ref="C603">IFERROR(MIN(IF(Raw!$A$2:$A$26=MHT!A603,Raw!$C$2:$C$20)),"")</f>
        <v/>
      </c>
      <c r="D603" s="14" t="str">
        <f t="array" ref="D603">IF(Raw!D596="","",IFERROR(MAX(IF(Raw!$A$2:$A$26=MHT!A603,Raw!$D$2:$D$20)),""))</f>
        <v/>
      </c>
      <c r="E603" s="6" t="str">
        <f>IF(SUMIF(Raw!$A$2:$A$500, MHT!A603, Raw!$F$2:$F$500) = TIME(0,0,0), "", SUMIF(Raw!$A$2:$A$500, MHT!A603, Raw!$F$2:$F$500))</f>
        <v/>
      </c>
      <c r="F603" s="12" t="str">
        <f t="array" ref="F603">IF(A603="", "", IF(COUNTIF(Raw!$H$1:$I$500, A603) &gt; 0, "Done", IF(COUNTIF(Raw!$J$1:$J$500, A603) &gt; 0, "Pause", IF(COUNTIF(Raw!$K$1:$K$500, A603) &gt; 0, "On-Going", "Pause"))))</f>
        <v/>
      </c>
      <c r="G603" s="51"/>
      <c r="H603" s="50"/>
    </row>
    <row r="604" spans="1:8" x14ac:dyDescent="0.4">
      <c r="A604" s="61"/>
      <c r="B604" s="16" t="str">
        <f t="array" ref="B604">IFERROR(MIN(IF(Raw!$A$2:$A$26=MHT!A604,Raw!$B$2:$B$20)),"")</f>
        <v/>
      </c>
      <c r="C604" s="13" t="str">
        <f t="array" ref="C604">IFERROR(MIN(IF(Raw!$A$2:$A$26=MHT!A604,Raw!$C$2:$C$20)),"")</f>
        <v/>
      </c>
      <c r="D604" s="14" t="str">
        <f t="array" ref="D604">IF(Raw!D597="","",IFERROR(MAX(IF(Raw!$A$2:$A$26=MHT!A604,Raw!$D$2:$D$20)),""))</f>
        <v/>
      </c>
      <c r="E604" s="6" t="str">
        <f>IF(SUMIF(Raw!$A$2:$A$500, MHT!A604, Raw!$F$2:$F$500) = TIME(0,0,0), "", SUMIF(Raw!$A$2:$A$500, MHT!A604, Raw!$F$2:$F$500))</f>
        <v/>
      </c>
      <c r="F604" s="12" t="str">
        <f t="array" ref="F604">IF(A604="", "", IF(COUNTIF(Raw!$H$1:$I$500, A604) &gt; 0, "Done", IF(COUNTIF(Raw!$J$1:$J$500, A604) &gt; 0, "Pause", IF(COUNTIF(Raw!$K$1:$K$500, A604) &gt; 0, "On-Going", "Pause"))))</f>
        <v/>
      </c>
      <c r="G604" s="51"/>
      <c r="H604" s="50"/>
    </row>
    <row r="605" spans="1:8" x14ac:dyDescent="0.4">
      <c r="A605" s="61"/>
      <c r="B605" s="16" t="str">
        <f t="array" ref="B605">IFERROR(MIN(IF(Raw!$A$2:$A$26=MHT!A605,Raw!$B$2:$B$20)),"")</f>
        <v/>
      </c>
      <c r="C605" s="13" t="str">
        <f t="array" ref="C605">IFERROR(MIN(IF(Raw!$A$2:$A$26=MHT!A605,Raw!$C$2:$C$20)),"")</f>
        <v/>
      </c>
      <c r="D605" s="14" t="str">
        <f t="array" ref="D605">IF(Raw!D598="","",IFERROR(MAX(IF(Raw!$A$2:$A$26=MHT!A605,Raw!$D$2:$D$20)),""))</f>
        <v/>
      </c>
      <c r="E605" s="6" t="str">
        <f>IF(SUMIF(Raw!$A$2:$A$500, MHT!A605, Raw!$F$2:$F$500) = TIME(0,0,0), "", SUMIF(Raw!$A$2:$A$500, MHT!A605, Raw!$F$2:$F$500))</f>
        <v/>
      </c>
      <c r="F605" s="12" t="str">
        <f t="array" ref="F605">IF(A605="", "", IF(COUNTIF(Raw!$H$1:$I$500, A605) &gt; 0, "Done", IF(COUNTIF(Raw!$J$1:$J$500, A605) &gt; 0, "Pause", IF(COUNTIF(Raw!$K$1:$K$500, A605) &gt; 0, "On-Going", "Pause"))))</f>
        <v/>
      </c>
      <c r="G605" s="51"/>
      <c r="H605" s="50"/>
    </row>
    <row r="606" spans="1:8" x14ac:dyDescent="0.4">
      <c r="A606" s="61"/>
      <c r="B606" s="16" t="str">
        <f t="array" ref="B606">IFERROR(MIN(IF(Raw!$A$2:$A$26=MHT!A606,Raw!$B$2:$B$20)),"")</f>
        <v/>
      </c>
      <c r="C606" s="13" t="str">
        <f t="array" ref="C606">IFERROR(MIN(IF(Raw!$A$2:$A$26=MHT!A606,Raw!$C$2:$C$20)),"")</f>
        <v/>
      </c>
      <c r="D606" s="14" t="str">
        <f t="array" ref="D606">IF(Raw!D599="","",IFERROR(MAX(IF(Raw!$A$2:$A$26=MHT!A606,Raw!$D$2:$D$20)),""))</f>
        <v/>
      </c>
      <c r="E606" s="6" t="str">
        <f>IF(SUMIF(Raw!$A$2:$A$500, MHT!A606, Raw!$F$2:$F$500) = TIME(0,0,0), "", SUMIF(Raw!$A$2:$A$500, MHT!A606, Raw!$F$2:$F$500))</f>
        <v/>
      </c>
      <c r="F606" s="12" t="str">
        <f t="array" ref="F606">IF(A606="", "", IF(COUNTIF(Raw!$H$1:$I$500, A606) &gt; 0, "Done", IF(COUNTIF(Raw!$J$1:$J$500, A606) &gt; 0, "Pause", IF(COUNTIF(Raw!$K$1:$K$500, A606) &gt; 0, "On-Going", "Pause"))))</f>
        <v/>
      </c>
      <c r="G606" s="51"/>
      <c r="H606" s="50"/>
    </row>
    <row r="607" spans="1:8" x14ac:dyDescent="0.4">
      <c r="A607" s="61"/>
      <c r="B607" s="16" t="str">
        <f t="array" ref="B607">IFERROR(MIN(IF(Raw!$A$2:$A$26=MHT!A607,Raw!$B$2:$B$20)),"")</f>
        <v/>
      </c>
      <c r="C607" s="13" t="str">
        <f t="array" ref="C607">IFERROR(MIN(IF(Raw!$A$2:$A$26=MHT!A607,Raw!$C$2:$C$20)),"")</f>
        <v/>
      </c>
      <c r="D607" s="14" t="str">
        <f t="array" ref="D607">IF(Raw!D600="","",IFERROR(MAX(IF(Raw!$A$2:$A$26=MHT!A607,Raw!$D$2:$D$20)),""))</f>
        <v/>
      </c>
      <c r="E607" s="6" t="str">
        <f>IF(SUMIF(Raw!$A$2:$A$500, MHT!A607, Raw!$F$2:$F$500) = TIME(0,0,0), "", SUMIF(Raw!$A$2:$A$500, MHT!A607, Raw!$F$2:$F$500))</f>
        <v/>
      </c>
      <c r="F607" s="12" t="str">
        <f t="array" ref="F607">IF(A607="", "", IF(COUNTIF(Raw!$H$1:$I$500, A607) &gt; 0, "Done", IF(COUNTIF(Raw!$J$1:$J$500, A607) &gt; 0, "Pause", IF(COUNTIF(Raw!$K$1:$K$500, A607) &gt; 0, "On-Going", "Pause"))))</f>
        <v/>
      </c>
      <c r="G607" s="51"/>
      <c r="H607" s="50"/>
    </row>
    <row r="608" spans="1:8" x14ac:dyDescent="0.4">
      <c r="A608" s="61"/>
      <c r="B608" s="16" t="str">
        <f t="array" ref="B608">IFERROR(MIN(IF(Raw!$A$2:$A$26=MHT!A608,Raw!$B$2:$B$20)),"")</f>
        <v/>
      </c>
      <c r="C608" s="13" t="str">
        <f t="array" ref="C608">IFERROR(MIN(IF(Raw!$A$2:$A$26=MHT!A608,Raw!$C$2:$C$20)),"")</f>
        <v/>
      </c>
      <c r="D608" s="14" t="str">
        <f t="array" ref="D608">IF(Raw!D601="","",IFERROR(MAX(IF(Raw!$A$2:$A$26=MHT!A608,Raw!$D$2:$D$20)),""))</f>
        <v/>
      </c>
      <c r="E608" s="6" t="str">
        <f>IF(SUMIF(Raw!$A$2:$A$500, MHT!A608, Raw!$F$2:$F$500) = TIME(0,0,0), "", SUMIF(Raw!$A$2:$A$500, MHT!A608, Raw!$F$2:$F$500))</f>
        <v/>
      </c>
      <c r="F608" s="12" t="str">
        <f t="array" ref="F608">IF(A608="", "", IF(COUNTIF(Raw!$H$1:$I$500, A608) &gt; 0, "Done", IF(COUNTIF(Raw!$J$1:$J$500, A608) &gt; 0, "Pause", IF(COUNTIF(Raw!$K$1:$K$500, A608) &gt; 0, "On-Going", "Pause"))))</f>
        <v/>
      </c>
      <c r="G608" s="51"/>
      <c r="H608" s="50"/>
    </row>
    <row r="609" spans="1:8" x14ac:dyDescent="0.4">
      <c r="A609" s="61"/>
      <c r="B609" s="16" t="str">
        <f t="array" ref="B609">IFERROR(MIN(IF(Raw!$A$2:$A$26=MHT!A609,Raw!$B$2:$B$20)),"")</f>
        <v/>
      </c>
      <c r="C609" s="13" t="str">
        <f t="array" ref="C609">IFERROR(MIN(IF(Raw!$A$2:$A$26=MHT!A609,Raw!$C$2:$C$20)),"")</f>
        <v/>
      </c>
      <c r="D609" s="14" t="str">
        <f t="array" ref="D609">IF(Raw!D602="","",IFERROR(MAX(IF(Raw!$A$2:$A$26=MHT!A609,Raw!$D$2:$D$20)),""))</f>
        <v/>
      </c>
      <c r="E609" s="6" t="str">
        <f>IF(SUMIF(Raw!$A$2:$A$500, MHT!A609, Raw!$F$2:$F$500) = TIME(0,0,0), "", SUMIF(Raw!$A$2:$A$500, MHT!A609, Raw!$F$2:$F$500))</f>
        <v/>
      </c>
      <c r="F609" s="12" t="str">
        <f t="array" ref="F609">IF(A609="", "", IF(COUNTIF(Raw!$H$1:$I$500, A609) &gt; 0, "Done", IF(COUNTIF(Raw!$J$1:$J$500, A609) &gt; 0, "Pause", IF(COUNTIF(Raw!$K$1:$K$500, A609) &gt; 0, "On-Going", "Pause"))))</f>
        <v/>
      </c>
      <c r="G609" s="51"/>
      <c r="H609" s="50"/>
    </row>
    <row r="610" spans="1:8" x14ac:dyDescent="0.4">
      <c r="A610" s="61"/>
      <c r="B610" s="16" t="str">
        <f t="array" ref="B610">IFERROR(MIN(IF(Raw!$A$2:$A$26=MHT!A610,Raw!$B$2:$B$20)),"")</f>
        <v/>
      </c>
      <c r="C610" s="13" t="str">
        <f t="array" ref="C610">IFERROR(MIN(IF(Raw!$A$2:$A$26=MHT!A610,Raw!$C$2:$C$20)),"")</f>
        <v/>
      </c>
      <c r="D610" s="14" t="str">
        <f t="array" ref="D610">IF(Raw!D603="","",IFERROR(MAX(IF(Raw!$A$2:$A$26=MHT!A610,Raw!$D$2:$D$20)),""))</f>
        <v/>
      </c>
      <c r="E610" s="6" t="str">
        <f>IF(SUMIF(Raw!$A$2:$A$500, MHT!A610, Raw!$F$2:$F$500) = TIME(0,0,0), "", SUMIF(Raw!$A$2:$A$500, MHT!A610, Raw!$F$2:$F$500))</f>
        <v/>
      </c>
      <c r="F610" s="12" t="str">
        <f t="array" ref="F610">IF(A610="", "", IF(COUNTIF(Raw!$H$1:$I$500, A610) &gt; 0, "Done", IF(COUNTIF(Raw!$J$1:$J$500, A610) &gt; 0, "Pause", IF(COUNTIF(Raw!$K$1:$K$500, A610) &gt; 0, "On-Going", "Pause"))))</f>
        <v/>
      </c>
      <c r="G610" s="51"/>
      <c r="H610" s="50"/>
    </row>
    <row r="611" spans="1:8" x14ac:dyDescent="0.4">
      <c r="A611" s="61"/>
      <c r="B611" s="16" t="str">
        <f t="array" ref="B611">IFERROR(MIN(IF(Raw!$A$2:$A$26=MHT!A611,Raw!$B$2:$B$20)),"")</f>
        <v/>
      </c>
      <c r="C611" s="13" t="str">
        <f t="array" ref="C611">IFERROR(MIN(IF(Raw!$A$2:$A$26=MHT!A611,Raw!$C$2:$C$20)),"")</f>
        <v/>
      </c>
      <c r="D611" s="14" t="str">
        <f t="array" ref="D611">IF(Raw!D604="","",IFERROR(MAX(IF(Raw!$A$2:$A$26=MHT!A611,Raw!$D$2:$D$20)),""))</f>
        <v/>
      </c>
      <c r="E611" s="6" t="str">
        <f>IF(SUMIF(Raw!$A$2:$A$500, MHT!A611, Raw!$F$2:$F$500) = TIME(0,0,0), "", SUMIF(Raw!$A$2:$A$500, MHT!A611, Raw!$F$2:$F$500))</f>
        <v/>
      </c>
      <c r="F611" s="12" t="str">
        <f t="array" ref="F611">IF(A611="", "", IF(COUNTIF(Raw!$H$1:$I$500, A611) &gt; 0, "Done", IF(COUNTIF(Raw!$J$1:$J$500, A611) &gt; 0, "Pause", IF(COUNTIF(Raw!$K$1:$K$500, A611) &gt; 0, "On-Going", "Pause"))))</f>
        <v/>
      </c>
      <c r="G611" s="51"/>
      <c r="H611" s="50"/>
    </row>
    <row r="612" spans="1:8" x14ac:dyDescent="0.4">
      <c r="A612" s="61"/>
      <c r="B612" s="16" t="str">
        <f t="array" ref="B612">IFERROR(MIN(IF(Raw!$A$2:$A$26=MHT!A612,Raw!$B$2:$B$20)),"")</f>
        <v/>
      </c>
      <c r="C612" s="13" t="str">
        <f t="array" ref="C612">IFERROR(MIN(IF(Raw!$A$2:$A$26=MHT!A612,Raw!$C$2:$C$20)),"")</f>
        <v/>
      </c>
      <c r="D612" s="14" t="str">
        <f t="array" ref="D612">IF(Raw!D605="","",IFERROR(MAX(IF(Raw!$A$2:$A$26=MHT!A612,Raw!$D$2:$D$20)),""))</f>
        <v/>
      </c>
      <c r="E612" s="6" t="str">
        <f>IF(SUMIF(Raw!$A$2:$A$500, MHT!A612, Raw!$F$2:$F$500) = TIME(0,0,0), "", SUMIF(Raw!$A$2:$A$500, MHT!A612, Raw!$F$2:$F$500))</f>
        <v/>
      </c>
      <c r="F612" s="12" t="str">
        <f t="array" ref="F612">IF(A612="", "", IF(COUNTIF(Raw!$H$1:$I$500, A612) &gt; 0, "Done", IF(COUNTIF(Raw!$J$1:$J$500, A612) &gt; 0, "Pause", IF(COUNTIF(Raw!$K$1:$K$500, A612) &gt; 0, "On-Going", "Pause"))))</f>
        <v/>
      </c>
      <c r="G612" s="51"/>
      <c r="H612" s="50"/>
    </row>
    <row r="613" spans="1:8" x14ac:dyDescent="0.4">
      <c r="A613" s="61"/>
      <c r="B613" s="16" t="str">
        <f t="array" ref="B613">IFERROR(MIN(IF(Raw!$A$2:$A$26=MHT!A613,Raw!$B$2:$B$20)),"")</f>
        <v/>
      </c>
      <c r="C613" s="13" t="str">
        <f t="array" ref="C613">IFERROR(MIN(IF(Raw!$A$2:$A$26=MHT!A613,Raw!$C$2:$C$20)),"")</f>
        <v/>
      </c>
      <c r="D613" s="14" t="str">
        <f t="array" ref="D613">IF(Raw!D606="","",IFERROR(MAX(IF(Raw!$A$2:$A$26=MHT!A613,Raw!$D$2:$D$20)),""))</f>
        <v/>
      </c>
      <c r="E613" s="6" t="str">
        <f>IF(SUMIF(Raw!$A$2:$A$500, MHT!A613, Raw!$F$2:$F$500) = TIME(0,0,0), "", SUMIF(Raw!$A$2:$A$500, MHT!A613, Raw!$F$2:$F$500))</f>
        <v/>
      </c>
      <c r="F613" s="12" t="str">
        <f t="array" ref="F613">IF(A613="", "", IF(COUNTIF(Raw!$H$1:$I$500, A613) &gt; 0, "Done", IF(COUNTIF(Raw!$J$1:$J$500, A613) &gt; 0, "Pause", IF(COUNTIF(Raw!$K$1:$K$500, A613) &gt; 0, "On-Going", "Pause"))))</f>
        <v/>
      </c>
      <c r="G613" s="51"/>
      <c r="H613" s="50"/>
    </row>
    <row r="614" spans="1:8" x14ac:dyDescent="0.4">
      <c r="A614" s="61"/>
      <c r="B614" s="16" t="str">
        <f t="array" ref="B614">IFERROR(MIN(IF(Raw!$A$2:$A$26=MHT!A614,Raw!$B$2:$B$20)),"")</f>
        <v/>
      </c>
      <c r="C614" s="13" t="str">
        <f t="array" ref="C614">IFERROR(MIN(IF(Raw!$A$2:$A$26=MHT!A614,Raw!$C$2:$C$20)),"")</f>
        <v/>
      </c>
      <c r="D614" s="14" t="str">
        <f t="array" ref="D614">IF(Raw!D607="","",IFERROR(MAX(IF(Raw!$A$2:$A$26=MHT!A614,Raw!$D$2:$D$20)),""))</f>
        <v/>
      </c>
      <c r="E614" s="6" t="str">
        <f>IF(SUMIF(Raw!$A$2:$A$500, MHT!A614, Raw!$F$2:$F$500) = TIME(0,0,0), "", SUMIF(Raw!$A$2:$A$500, MHT!A614, Raw!$F$2:$F$500))</f>
        <v/>
      </c>
      <c r="F614" s="12" t="str">
        <f t="array" ref="F614">IF(A614="", "", IF(COUNTIF(Raw!$H$1:$I$500, A614) &gt; 0, "Done", IF(COUNTIF(Raw!$J$1:$J$500, A614) &gt; 0, "Pause", IF(COUNTIF(Raw!$K$1:$K$500, A614) &gt; 0, "On-Going", "Pause"))))</f>
        <v/>
      </c>
      <c r="G614" s="51"/>
      <c r="H614" s="50"/>
    </row>
    <row r="615" spans="1:8" x14ac:dyDescent="0.4">
      <c r="A615" s="61"/>
      <c r="B615" s="16" t="str">
        <f t="array" ref="B615">IFERROR(MIN(IF(Raw!$A$2:$A$26=MHT!A615,Raw!$B$2:$B$20)),"")</f>
        <v/>
      </c>
      <c r="C615" s="13" t="str">
        <f t="array" ref="C615">IFERROR(MIN(IF(Raw!$A$2:$A$26=MHT!A615,Raw!$C$2:$C$20)),"")</f>
        <v/>
      </c>
      <c r="D615" s="14" t="str">
        <f t="array" ref="D615">IF(Raw!D608="","",IFERROR(MAX(IF(Raw!$A$2:$A$26=MHT!A615,Raw!$D$2:$D$20)),""))</f>
        <v/>
      </c>
      <c r="E615" s="6" t="str">
        <f>IF(SUMIF(Raw!$A$2:$A$500, MHT!A615, Raw!$F$2:$F$500) = TIME(0,0,0), "", SUMIF(Raw!$A$2:$A$500, MHT!A615, Raw!$F$2:$F$500))</f>
        <v/>
      </c>
      <c r="F615" s="12" t="str">
        <f t="array" ref="F615">IF(A615="", "", IF(COUNTIF(Raw!$H$1:$I$500, A615) &gt; 0, "Done", IF(COUNTIF(Raw!$J$1:$J$500, A615) &gt; 0, "Pause", IF(COUNTIF(Raw!$K$1:$K$500, A615) &gt; 0, "On-Going", "Pause"))))</f>
        <v/>
      </c>
      <c r="G615" s="51"/>
      <c r="H615" s="50"/>
    </row>
    <row r="616" spans="1:8" x14ac:dyDescent="0.4">
      <c r="A616" s="61"/>
      <c r="B616" s="16" t="str">
        <f t="array" ref="B616">IFERROR(MIN(IF(Raw!$A$2:$A$26=MHT!A616,Raw!$B$2:$B$20)),"")</f>
        <v/>
      </c>
      <c r="C616" s="13" t="str">
        <f t="array" ref="C616">IFERROR(MIN(IF(Raw!$A$2:$A$26=MHT!A616,Raw!$C$2:$C$20)),"")</f>
        <v/>
      </c>
      <c r="D616" s="14" t="str">
        <f t="array" ref="D616">IF(Raw!D609="","",IFERROR(MAX(IF(Raw!$A$2:$A$26=MHT!A616,Raw!$D$2:$D$20)),""))</f>
        <v/>
      </c>
      <c r="E616" s="6" t="str">
        <f>IF(SUMIF(Raw!$A$2:$A$500, MHT!A616, Raw!$F$2:$F$500) = TIME(0,0,0), "", SUMIF(Raw!$A$2:$A$500, MHT!A616, Raw!$F$2:$F$500))</f>
        <v/>
      </c>
      <c r="F616" s="12" t="str">
        <f t="array" ref="F616">IF(A616="", "", IF(COUNTIF(Raw!$H$1:$I$500, A616) &gt; 0, "Done", IF(COUNTIF(Raw!$J$1:$J$500, A616) &gt; 0, "Pause", IF(COUNTIF(Raw!$K$1:$K$500, A616) &gt; 0, "On-Going", "Pause"))))</f>
        <v/>
      </c>
      <c r="G616" s="51"/>
      <c r="H616" s="50"/>
    </row>
    <row r="617" spans="1:8" x14ac:dyDescent="0.4">
      <c r="A617" s="61"/>
      <c r="B617" s="16" t="str">
        <f t="array" ref="B617">IFERROR(MIN(IF(Raw!$A$2:$A$26=MHT!A617,Raw!$B$2:$B$20)),"")</f>
        <v/>
      </c>
      <c r="C617" s="13" t="str">
        <f t="array" ref="C617">IFERROR(MIN(IF(Raw!$A$2:$A$26=MHT!A617,Raw!$C$2:$C$20)),"")</f>
        <v/>
      </c>
      <c r="D617" s="14" t="str">
        <f t="array" ref="D617">IF(Raw!D610="","",IFERROR(MAX(IF(Raw!$A$2:$A$26=MHT!A617,Raw!$D$2:$D$20)),""))</f>
        <v/>
      </c>
      <c r="E617" s="6" t="str">
        <f>IF(SUMIF(Raw!$A$2:$A$500, MHT!A617, Raw!$F$2:$F$500) = TIME(0,0,0), "", SUMIF(Raw!$A$2:$A$500, MHT!A617, Raw!$F$2:$F$500))</f>
        <v/>
      </c>
      <c r="F617" s="12" t="str">
        <f t="array" ref="F617">IF(A617="", "", IF(COUNTIF(Raw!$H$1:$I$500, A617) &gt; 0, "Done", IF(COUNTIF(Raw!$J$1:$J$500, A617) &gt; 0, "Pause", IF(COUNTIF(Raw!$K$1:$K$500, A617) &gt; 0, "On-Going", "Pause"))))</f>
        <v/>
      </c>
      <c r="G617" s="51"/>
      <c r="H617" s="50"/>
    </row>
    <row r="618" spans="1:8" x14ac:dyDescent="0.4">
      <c r="A618" s="61"/>
      <c r="B618" s="16" t="str">
        <f t="array" ref="B618">IFERROR(MIN(IF(Raw!$A$2:$A$26=MHT!A618,Raw!$B$2:$B$20)),"")</f>
        <v/>
      </c>
      <c r="C618" s="13" t="str">
        <f t="array" ref="C618">IFERROR(MIN(IF(Raw!$A$2:$A$26=MHT!A618,Raw!$C$2:$C$20)),"")</f>
        <v/>
      </c>
      <c r="D618" s="14" t="str">
        <f t="array" ref="D618">IF(Raw!D611="","",IFERROR(MAX(IF(Raw!$A$2:$A$26=MHT!A618,Raw!$D$2:$D$20)),""))</f>
        <v/>
      </c>
      <c r="E618" s="6" t="str">
        <f>IF(SUMIF(Raw!$A$2:$A$500, MHT!A618, Raw!$F$2:$F$500) = TIME(0,0,0), "", SUMIF(Raw!$A$2:$A$500, MHT!A618, Raw!$F$2:$F$500))</f>
        <v/>
      </c>
      <c r="F618" s="12" t="str">
        <f t="array" ref="F618">IF(A618="", "", IF(COUNTIF(Raw!$H$1:$I$500, A618) &gt; 0, "Done", IF(COUNTIF(Raw!$J$1:$J$500, A618) &gt; 0, "Pause", IF(COUNTIF(Raw!$K$1:$K$500, A618) &gt; 0, "On-Going", "Pause"))))</f>
        <v/>
      </c>
      <c r="G618" s="51"/>
      <c r="H618" s="50"/>
    </row>
    <row r="619" spans="1:8" x14ac:dyDescent="0.4">
      <c r="A619" s="61"/>
      <c r="B619" s="16" t="str">
        <f t="array" ref="B619">IFERROR(MIN(IF(Raw!$A$2:$A$26=MHT!A619,Raw!$B$2:$B$20)),"")</f>
        <v/>
      </c>
      <c r="C619" s="13" t="str">
        <f t="array" ref="C619">IFERROR(MIN(IF(Raw!$A$2:$A$26=MHT!A619,Raw!$C$2:$C$20)),"")</f>
        <v/>
      </c>
      <c r="D619" s="14" t="str">
        <f t="array" ref="D619">IF(Raw!D612="","",IFERROR(MAX(IF(Raw!$A$2:$A$26=MHT!A619,Raw!$D$2:$D$20)),""))</f>
        <v/>
      </c>
      <c r="E619" s="6" t="str">
        <f>IF(SUMIF(Raw!$A$2:$A$500, MHT!A619, Raw!$F$2:$F$500) = TIME(0,0,0), "", SUMIF(Raw!$A$2:$A$500, MHT!A619, Raw!$F$2:$F$500))</f>
        <v/>
      </c>
      <c r="F619" s="12" t="str">
        <f t="array" ref="F619">IF(A619="", "", IF(COUNTIF(Raw!$H$1:$I$500, A619) &gt; 0, "Done", IF(COUNTIF(Raw!$J$1:$J$500, A619) &gt; 0, "Pause", IF(COUNTIF(Raw!$K$1:$K$500, A619) &gt; 0, "On-Going", "Pause"))))</f>
        <v/>
      </c>
      <c r="G619" s="51"/>
      <c r="H619" s="50"/>
    </row>
    <row r="620" spans="1:8" x14ac:dyDescent="0.4">
      <c r="A620" s="61"/>
      <c r="B620" s="16" t="str">
        <f t="array" ref="B620">IFERROR(MIN(IF(Raw!$A$2:$A$26=MHT!A620,Raw!$B$2:$B$20)),"")</f>
        <v/>
      </c>
      <c r="C620" s="13" t="str">
        <f t="array" ref="C620">IFERROR(MIN(IF(Raw!$A$2:$A$26=MHT!A620,Raw!$C$2:$C$20)),"")</f>
        <v/>
      </c>
      <c r="D620" s="14" t="str">
        <f t="array" ref="D620">IF(Raw!D613="","",IFERROR(MAX(IF(Raw!$A$2:$A$26=MHT!A620,Raw!$D$2:$D$20)),""))</f>
        <v/>
      </c>
      <c r="E620" s="6" t="str">
        <f>IF(SUMIF(Raw!$A$2:$A$500, MHT!A620, Raw!$F$2:$F$500) = TIME(0,0,0), "", SUMIF(Raw!$A$2:$A$500, MHT!A620, Raw!$F$2:$F$500))</f>
        <v/>
      </c>
      <c r="F620" s="12" t="str">
        <f t="array" ref="F620">IF(A620="", "", IF(COUNTIF(Raw!$H$1:$I$500, A620) &gt; 0, "Done", IF(COUNTIF(Raw!$J$1:$J$500, A620) &gt; 0, "Pause", IF(COUNTIF(Raw!$K$1:$K$500, A620) &gt; 0, "On-Going", "Pause"))))</f>
        <v/>
      </c>
      <c r="G620" s="51"/>
      <c r="H620" s="50"/>
    </row>
    <row r="621" spans="1:8" x14ac:dyDescent="0.4">
      <c r="A621" s="61"/>
      <c r="B621" s="16" t="str">
        <f t="array" ref="B621">IFERROR(MIN(IF(Raw!$A$2:$A$26=MHT!A621,Raw!$B$2:$B$20)),"")</f>
        <v/>
      </c>
      <c r="C621" s="13" t="str">
        <f t="array" ref="C621">IFERROR(MIN(IF(Raw!$A$2:$A$26=MHT!A621,Raw!$C$2:$C$20)),"")</f>
        <v/>
      </c>
      <c r="D621" s="14" t="str">
        <f t="array" ref="D621">IF(Raw!D614="","",IFERROR(MAX(IF(Raw!$A$2:$A$26=MHT!A621,Raw!$D$2:$D$20)),""))</f>
        <v/>
      </c>
      <c r="E621" s="6" t="str">
        <f>IF(SUMIF(Raw!$A$2:$A$500, MHT!A621, Raw!$F$2:$F$500) = TIME(0,0,0), "", SUMIF(Raw!$A$2:$A$500, MHT!A621, Raw!$F$2:$F$500))</f>
        <v/>
      </c>
      <c r="F621" s="12" t="str">
        <f t="array" ref="F621">IF(A621="", "", IF(COUNTIF(Raw!$H$1:$I$500, A621) &gt; 0, "Done", IF(COUNTIF(Raw!$J$1:$J$500, A621) &gt; 0, "Pause", IF(COUNTIF(Raw!$K$1:$K$500, A621) &gt; 0, "On-Going", "Pause"))))</f>
        <v/>
      </c>
      <c r="G621" s="51"/>
      <c r="H621" s="50"/>
    </row>
    <row r="622" spans="1:8" x14ac:dyDescent="0.4">
      <c r="A622" s="61"/>
      <c r="B622" s="16" t="str">
        <f t="array" ref="B622">IFERROR(MIN(IF(Raw!$A$2:$A$26=MHT!A622,Raw!$B$2:$B$20)),"")</f>
        <v/>
      </c>
      <c r="C622" s="13" t="str">
        <f t="array" ref="C622">IFERROR(MIN(IF(Raw!$A$2:$A$26=MHT!A622,Raw!$C$2:$C$20)),"")</f>
        <v/>
      </c>
      <c r="D622" s="14" t="str">
        <f t="array" ref="D622">IF(Raw!D615="","",IFERROR(MAX(IF(Raw!$A$2:$A$26=MHT!A622,Raw!$D$2:$D$20)),""))</f>
        <v/>
      </c>
      <c r="E622" s="6" t="str">
        <f>IF(SUMIF(Raw!$A$2:$A$500, MHT!A622, Raw!$F$2:$F$500) = TIME(0,0,0), "", SUMIF(Raw!$A$2:$A$500, MHT!A622, Raw!$F$2:$F$500))</f>
        <v/>
      </c>
      <c r="F622" s="12" t="str">
        <f t="array" ref="F622">IF(A622="", "", IF(COUNTIF(Raw!$H$1:$I$500, A622) &gt; 0, "Done", IF(COUNTIF(Raw!$J$1:$J$500, A622) &gt; 0, "Pause", IF(COUNTIF(Raw!$K$1:$K$500, A622) &gt; 0, "On-Going", "Pause"))))</f>
        <v/>
      </c>
      <c r="G622" s="51"/>
      <c r="H622" s="50"/>
    </row>
    <row r="623" spans="1:8" x14ac:dyDescent="0.4">
      <c r="A623" s="61"/>
      <c r="B623" s="16" t="str">
        <f t="array" ref="B623">IFERROR(MIN(IF(Raw!$A$2:$A$26=MHT!A623,Raw!$B$2:$B$20)),"")</f>
        <v/>
      </c>
      <c r="C623" s="13" t="str">
        <f t="array" ref="C623">IFERROR(MIN(IF(Raw!$A$2:$A$26=MHT!A623,Raw!$C$2:$C$20)),"")</f>
        <v/>
      </c>
      <c r="D623" s="14" t="str">
        <f t="array" ref="D623">IF(Raw!D616="","",IFERROR(MAX(IF(Raw!$A$2:$A$26=MHT!A623,Raw!$D$2:$D$20)),""))</f>
        <v/>
      </c>
      <c r="E623" s="6" t="str">
        <f>IF(SUMIF(Raw!$A$2:$A$500, MHT!A623, Raw!$F$2:$F$500) = TIME(0,0,0), "", SUMIF(Raw!$A$2:$A$500, MHT!A623, Raw!$F$2:$F$500))</f>
        <v/>
      </c>
      <c r="F623" s="12" t="str">
        <f t="array" ref="F623">IF(A623="", "", IF(COUNTIF(Raw!$H$1:$I$500, A623) &gt; 0, "Done", IF(COUNTIF(Raw!$J$1:$J$500, A623) &gt; 0, "Pause", IF(COUNTIF(Raw!$K$1:$K$500, A623) &gt; 0, "On-Going", "Pause"))))</f>
        <v/>
      </c>
      <c r="G623" s="51"/>
      <c r="H623" s="50"/>
    </row>
    <row r="624" spans="1:8" x14ac:dyDescent="0.4">
      <c r="A624" s="61"/>
      <c r="B624" s="16" t="str">
        <f t="array" ref="B624">IFERROR(MIN(IF(Raw!$A$2:$A$26=MHT!A624,Raw!$B$2:$B$20)),"")</f>
        <v/>
      </c>
      <c r="C624" s="13" t="str">
        <f t="array" ref="C624">IFERROR(MIN(IF(Raw!$A$2:$A$26=MHT!A624,Raw!$C$2:$C$20)),"")</f>
        <v/>
      </c>
      <c r="D624" s="14" t="str">
        <f t="array" ref="D624">IF(Raw!D617="","",IFERROR(MAX(IF(Raw!$A$2:$A$26=MHT!A624,Raw!$D$2:$D$20)),""))</f>
        <v/>
      </c>
      <c r="E624" s="6" t="str">
        <f>IF(SUMIF(Raw!$A$2:$A$500, MHT!A624, Raw!$F$2:$F$500) = TIME(0,0,0), "", SUMIF(Raw!$A$2:$A$500, MHT!A624, Raw!$F$2:$F$500))</f>
        <v/>
      </c>
      <c r="F624" s="12" t="str">
        <f t="array" ref="F624">IF(A624="", "", IF(COUNTIF(Raw!$H$1:$I$500, A624) &gt; 0, "Done", IF(COUNTIF(Raw!$J$1:$J$500, A624) &gt; 0, "Pause", IF(COUNTIF(Raw!$K$1:$K$500, A624) &gt; 0, "On-Going", "Pause"))))</f>
        <v/>
      </c>
      <c r="G624" s="51"/>
      <c r="H624" s="50"/>
    </row>
    <row r="625" spans="1:8" x14ac:dyDescent="0.4">
      <c r="A625" s="61"/>
      <c r="B625" s="16" t="str">
        <f t="array" ref="B625">IFERROR(MIN(IF(Raw!$A$2:$A$26=MHT!A625,Raw!$B$2:$B$20)),"")</f>
        <v/>
      </c>
      <c r="C625" s="13" t="str">
        <f t="array" ref="C625">IFERROR(MIN(IF(Raw!$A$2:$A$26=MHT!A625,Raw!$C$2:$C$20)),"")</f>
        <v/>
      </c>
      <c r="D625" s="14" t="str">
        <f t="array" ref="D625">IF(Raw!D618="","",IFERROR(MAX(IF(Raw!$A$2:$A$26=MHT!A625,Raw!$D$2:$D$20)),""))</f>
        <v/>
      </c>
      <c r="E625" s="6" t="str">
        <f>IF(SUMIF(Raw!$A$2:$A$500, MHT!A625, Raw!$F$2:$F$500) = TIME(0,0,0), "", SUMIF(Raw!$A$2:$A$500, MHT!A625, Raw!$F$2:$F$500))</f>
        <v/>
      </c>
      <c r="F625" s="12" t="str">
        <f t="array" ref="F625">IF(A625="", "", IF(COUNTIF(Raw!$H$1:$I$500, A625) &gt; 0, "Done", IF(COUNTIF(Raw!$J$1:$J$500, A625) &gt; 0, "Pause", IF(COUNTIF(Raw!$K$1:$K$500, A625) &gt; 0, "On-Going", "Pause"))))</f>
        <v/>
      </c>
      <c r="G625" s="51"/>
      <c r="H625" s="50"/>
    </row>
    <row r="626" spans="1:8" x14ac:dyDescent="0.4">
      <c r="A626" s="61"/>
      <c r="B626" s="16" t="str">
        <f t="array" ref="B626">IFERROR(MIN(IF(Raw!$A$2:$A$26=MHT!A626,Raw!$B$2:$B$20)),"")</f>
        <v/>
      </c>
      <c r="C626" s="13" t="str">
        <f t="array" ref="C626">IFERROR(MIN(IF(Raw!$A$2:$A$26=MHT!A626,Raw!$C$2:$C$20)),"")</f>
        <v/>
      </c>
      <c r="D626" s="14" t="str">
        <f t="array" ref="D626">IF(Raw!D619="","",IFERROR(MAX(IF(Raw!$A$2:$A$26=MHT!A626,Raw!$D$2:$D$20)),""))</f>
        <v/>
      </c>
      <c r="E626" s="6" t="str">
        <f>IF(SUMIF(Raw!$A$2:$A$500, MHT!A626, Raw!$F$2:$F$500) = TIME(0,0,0), "", SUMIF(Raw!$A$2:$A$500, MHT!A626, Raw!$F$2:$F$500))</f>
        <v/>
      </c>
      <c r="F626" s="12" t="str">
        <f t="array" ref="F626">IF(A626="", "", IF(COUNTIF(Raw!$H$1:$I$500, A626) &gt; 0, "Done", IF(COUNTIF(Raw!$J$1:$J$500, A626) &gt; 0, "Pause", IF(COUNTIF(Raw!$K$1:$K$500, A626) &gt; 0, "On-Going", "Pause"))))</f>
        <v/>
      </c>
      <c r="G626" s="51"/>
      <c r="H626" s="50"/>
    </row>
    <row r="627" spans="1:8" x14ac:dyDescent="0.4">
      <c r="A627" s="61"/>
      <c r="B627" s="16" t="str">
        <f t="array" ref="B627">IFERROR(MIN(IF(Raw!$A$2:$A$26=MHT!A627,Raw!$B$2:$B$20)),"")</f>
        <v/>
      </c>
      <c r="C627" s="13" t="str">
        <f t="array" ref="C627">IFERROR(MIN(IF(Raw!$A$2:$A$26=MHT!A627,Raw!$C$2:$C$20)),"")</f>
        <v/>
      </c>
      <c r="D627" s="14" t="str">
        <f t="array" ref="D627">IF(Raw!D620="","",IFERROR(MAX(IF(Raw!$A$2:$A$26=MHT!A627,Raw!$D$2:$D$20)),""))</f>
        <v/>
      </c>
      <c r="E627" s="6" t="str">
        <f>IF(SUMIF(Raw!$A$2:$A$500, MHT!A627, Raw!$F$2:$F$500) = TIME(0,0,0), "", SUMIF(Raw!$A$2:$A$500, MHT!A627, Raw!$F$2:$F$500))</f>
        <v/>
      </c>
      <c r="F627" s="12" t="str">
        <f t="array" ref="F627">IF(A627="", "", IF(COUNTIF(Raw!$H$1:$I$500, A627) &gt; 0, "Done", IF(COUNTIF(Raw!$J$1:$J$500, A627) &gt; 0, "Pause", IF(COUNTIF(Raw!$K$1:$K$500, A627) &gt; 0, "On-Going", "Pause"))))</f>
        <v/>
      </c>
      <c r="G627" s="51"/>
      <c r="H627" s="50"/>
    </row>
    <row r="628" spans="1:8" x14ac:dyDescent="0.4">
      <c r="A628" s="61"/>
      <c r="B628" s="16" t="str">
        <f t="array" ref="B628">IFERROR(MIN(IF(Raw!$A$2:$A$26=MHT!A628,Raw!$B$2:$B$20)),"")</f>
        <v/>
      </c>
      <c r="C628" s="13" t="str">
        <f t="array" ref="C628">IFERROR(MIN(IF(Raw!$A$2:$A$26=MHT!A628,Raw!$C$2:$C$20)),"")</f>
        <v/>
      </c>
      <c r="D628" s="14" t="str">
        <f t="array" ref="D628">IF(Raw!D621="","",IFERROR(MAX(IF(Raw!$A$2:$A$26=MHT!A628,Raw!$D$2:$D$20)),""))</f>
        <v/>
      </c>
      <c r="E628" s="6" t="str">
        <f>IF(SUMIF(Raw!$A$2:$A$500, MHT!A628, Raw!$F$2:$F$500) = TIME(0,0,0), "", SUMIF(Raw!$A$2:$A$500, MHT!A628, Raw!$F$2:$F$500))</f>
        <v/>
      </c>
      <c r="F628" s="12" t="str">
        <f t="array" ref="F628">IF(A628="", "", IF(COUNTIF(Raw!$H$1:$I$500, A628) &gt; 0, "Done", IF(COUNTIF(Raw!$J$1:$J$500, A628) &gt; 0, "Pause", IF(COUNTIF(Raw!$K$1:$K$500, A628) &gt; 0, "On-Going", "Pause"))))</f>
        <v/>
      </c>
      <c r="G628" s="51"/>
      <c r="H628" s="50"/>
    </row>
    <row r="629" spans="1:8" x14ac:dyDescent="0.4">
      <c r="A629" s="61"/>
      <c r="B629" s="16" t="str">
        <f t="array" ref="B629">IFERROR(MIN(IF(Raw!$A$2:$A$26=MHT!A629,Raw!$B$2:$B$20)),"")</f>
        <v/>
      </c>
      <c r="C629" s="13" t="str">
        <f t="array" ref="C629">IFERROR(MIN(IF(Raw!$A$2:$A$26=MHT!A629,Raw!$C$2:$C$20)),"")</f>
        <v/>
      </c>
      <c r="D629" s="14" t="str">
        <f t="array" ref="D629">IF(Raw!D622="","",IFERROR(MAX(IF(Raw!$A$2:$A$26=MHT!A629,Raw!$D$2:$D$20)),""))</f>
        <v/>
      </c>
      <c r="E629" s="6" t="str">
        <f>IF(SUMIF(Raw!$A$2:$A$500, MHT!A629, Raw!$F$2:$F$500) = TIME(0,0,0), "", SUMIF(Raw!$A$2:$A$500, MHT!A629, Raw!$F$2:$F$500))</f>
        <v/>
      </c>
      <c r="F629" s="12" t="str">
        <f t="array" ref="F629">IF(A629="", "", IF(COUNTIF(Raw!$H$1:$I$500, A629) &gt; 0, "Done", IF(COUNTIF(Raw!$J$1:$J$500, A629) &gt; 0, "Pause", IF(COUNTIF(Raw!$K$1:$K$500, A629) &gt; 0, "On-Going", "Pause"))))</f>
        <v/>
      </c>
      <c r="G629" s="51"/>
      <c r="H629" s="50"/>
    </row>
    <row r="630" spans="1:8" x14ac:dyDescent="0.4">
      <c r="A630" s="61"/>
      <c r="B630" s="16" t="str">
        <f t="array" ref="B630">IFERROR(MIN(IF(Raw!$A$2:$A$26=MHT!A630,Raw!$B$2:$B$20)),"")</f>
        <v/>
      </c>
      <c r="C630" s="13" t="str">
        <f t="array" ref="C630">IFERROR(MIN(IF(Raw!$A$2:$A$26=MHT!A630,Raw!$C$2:$C$20)),"")</f>
        <v/>
      </c>
      <c r="D630" s="14" t="str">
        <f t="array" ref="D630">IF(Raw!D623="","",IFERROR(MAX(IF(Raw!$A$2:$A$26=MHT!A630,Raw!$D$2:$D$20)),""))</f>
        <v/>
      </c>
      <c r="E630" s="6" t="str">
        <f>IF(SUMIF(Raw!$A$2:$A$500, MHT!A630, Raw!$F$2:$F$500) = TIME(0,0,0), "", SUMIF(Raw!$A$2:$A$500, MHT!A630, Raw!$F$2:$F$500))</f>
        <v/>
      </c>
      <c r="F630" s="12" t="str">
        <f t="array" ref="F630">IF(A630="", "", IF(COUNTIF(Raw!$H$1:$I$500, A630) &gt; 0, "Done", IF(COUNTIF(Raw!$J$1:$J$500, A630) &gt; 0, "Pause", IF(COUNTIF(Raw!$K$1:$K$500, A630) &gt; 0, "On-Going", "Pause"))))</f>
        <v/>
      </c>
      <c r="G630" s="51"/>
      <c r="H630" s="50"/>
    </row>
    <row r="631" spans="1:8" x14ac:dyDescent="0.4">
      <c r="A631" s="61"/>
      <c r="B631" s="16" t="str">
        <f t="array" ref="B631">IFERROR(MIN(IF(Raw!$A$2:$A$26=MHT!A631,Raw!$B$2:$B$20)),"")</f>
        <v/>
      </c>
      <c r="C631" s="13" t="str">
        <f t="array" ref="C631">IFERROR(MIN(IF(Raw!$A$2:$A$26=MHT!A631,Raw!$C$2:$C$20)),"")</f>
        <v/>
      </c>
      <c r="D631" s="14" t="str">
        <f t="array" ref="D631">IF(Raw!D624="","",IFERROR(MAX(IF(Raw!$A$2:$A$26=MHT!A631,Raw!$D$2:$D$20)),""))</f>
        <v/>
      </c>
      <c r="E631" s="6" t="str">
        <f>IF(SUMIF(Raw!$A$2:$A$500, MHT!A631, Raw!$F$2:$F$500) = TIME(0,0,0), "", SUMIF(Raw!$A$2:$A$500, MHT!A631, Raw!$F$2:$F$500))</f>
        <v/>
      </c>
      <c r="F631" s="12" t="str">
        <f t="array" ref="F631">IF(A631="", "", IF(COUNTIF(Raw!$H$1:$I$500, A631) &gt; 0, "Done", IF(COUNTIF(Raw!$J$1:$J$500, A631) &gt; 0, "Pause", IF(COUNTIF(Raw!$K$1:$K$500, A631) &gt; 0, "On-Going", "Pause"))))</f>
        <v/>
      </c>
      <c r="G631" s="51"/>
      <c r="H631" s="50"/>
    </row>
    <row r="632" spans="1:8" x14ac:dyDescent="0.4">
      <c r="A632" s="61"/>
      <c r="B632" s="16" t="str">
        <f t="array" ref="B632">IFERROR(MIN(IF(Raw!$A$2:$A$26=MHT!A632,Raw!$B$2:$B$20)),"")</f>
        <v/>
      </c>
      <c r="C632" s="13" t="str">
        <f t="array" ref="C632">IFERROR(MIN(IF(Raw!$A$2:$A$26=MHT!A632,Raw!$C$2:$C$20)),"")</f>
        <v/>
      </c>
      <c r="D632" s="14" t="str">
        <f t="array" ref="D632">IF(Raw!D625="","",IFERROR(MAX(IF(Raw!$A$2:$A$26=MHT!A632,Raw!$D$2:$D$20)),""))</f>
        <v/>
      </c>
      <c r="E632" s="6" t="str">
        <f>IF(SUMIF(Raw!$A$2:$A$500, MHT!A632, Raw!$F$2:$F$500) = TIME(0,0,0), "", SUMIF(Raw!$A$2:$A$500, MHT!A632, Raw!$F$2:$F$500))</f>
        <v/>
      </c>
      <c r="F632" s="12" t="str">
        <f t="array" ref="F632">IF(A632="", "", IF(COUNTIF(Raw!$H$1:$I$500, A632) &gt; 0, "Done", IF(COUNTIF(Raw!$J$1:$J$500, A632) &gt; 0, "Pause", IF(COUNTIF(Raw!$K$1:$K$500, A632) &gt; 0, "On-Going", "Pause"))))</f>
        <v/>
      </c>
      <c r="G632" s="51"/>
      <c r="H632" s="50"/>
    </row>
    <row r="633" spans="1:8" x14ac:dyDescent="0.4">
      <c r="A633" s="61"/>
      <c r="B633" s="16" t="str">
        <f t="array" ref="B633">IFERROR(MIN(IF(Raw!$A$2:$A$26=MHT!A633,Raw!$B$2:$B$20)),"")</f>
        <v/>
      </c>
      <c r="C633" s="13" t="str">
        <f t="array" ref="C633">IFERROR(MIN(IF(Raw!$A$2:$A$26=MHT!A633,Raw!$C$2:$C$20)),"")</f>
        <v/>
      </c>
      <c r="D633" s="14" t="str">
        <f t="array" ref="D633">IF(Raw!D626="","",IFERROR(MAX(IF(Raw!$A$2:$A$26=MHT!A633,Raw!$D$2:$D$20)),""))</f>
        <v/>
      </c>
      <c r="E633" s="6" t="str">
        <f>IF(SUMIF(Raw!$A$2:$A$500, MHT!A633, Raw!$F$2:$F$500) = TIME(0,0,0), "", SUMIF(Raw!$A$2:$A$500, MHT!A633, Raw!$F$2:$F$500))</f>
        <v/>
      </c>
      <c r="F633" s="12" t="str">
        <f t="array" ref="F633">IF(A633="", "", IF(COUNTIF(Raw!$H$1:$I$500, A633) &gt; 0, "Done", IF(COUNTIF(Raw!$J$1:$J$500, A633) &gt; 0, "Pause", IF(COUNTIF(Raw!$K$1:$K$500, A633) &gt; 0, "On-Going", "Pause"))))</f>
        <v/>
      </c>
      <c r="G633" s="51"/>
      <c r="H633" s="50"/>
    </row>
    <row r="634" spans="1:8" x14ac:dyDescent="0.4">
      <c r="A634" s="61"/>
      <c r="B634" s="16" t="str">
        <f t="array" ref="B634">IFERROR(MIN(IF(Raw!$A$2:$A$26=MHT!A634,Raw!$B$2:$B$20)),"")</f>
        <v/>
      </c>
      <c r="C634" s="13" t="str">
        <f t="array" ref="C634">IFERROR(MIN(IF(Raw!$A$2:$A$26=MHT!A634,Raw!$C$2:$C$20)),"")</f>
        <v/>
      </c>
      <c r="D634" s="14" t="str">
        <f t="array" ref="D634">IF(Raw!D627="","",IFERROR(MAX(IF(Raw!$A$2:$A$26=MHT!A634,Raw!$D$2:$D$20)),""))</f>
        <v/>
      </c>
      <c r="E634" s="6" t="str">
        <f>IF(SUMIF(Raw!$A$2:$A$500, MHT!A634, Raw!$F$2:$F$500) = TIME(0,0,0), "", SUMIF(Raw!$A$2:$A$500, MHT!A634, Raw!$F$2:$F$500))</f>
        <v/>
      </c>
      <c r="F634" s="12" t="str">
        <f t="array" ref="F634">IF(A634="", "", IF(COUNTIF(Raw!$H$1:$I$500, A634) &gt; 0, "Done", IF(COUNTIF(Raw!$J$1:$J$500, A634) &gt; 0, "Pause", IF(COUNTIF(Raw!$K$1:$K$500, A634) &gt; 0, "On-Going", "Pause"))))</f>
        <v/>
      </c>
      <c r="G634" s="51"/>
      <c r="H634" s="50"/>
    </row>
    <row r="635" spans="1:8" x14ac:dyDescent="0.4">
      <c r="A635" s="61"/>
      <c r="B635" s="16" t="str">
        <f t="array" ref="B635">IFERROR(MIN(IF(Raw!$A$2:$A$26=MHT!A635,Raw!$B$2:$B$20)),"")</f>
        <v/>
      </c>
      <c r="C635" s="13" t="str">
        <f t="array" ref="C635">IFERROR(MIN(IF(Raw!$A$2:$A$26=MHT!A635,Raw!$C$2:$C$20)),"")</f>
        <v/>
      </c>
      <c r="D635" s="14" t="str">
        <f t="array" ref="D635">IF(Raw!D628="","",IFERROR(MAX(IF(Raw!$A$2:$A$26=MHT!A635,Raw!$D$2:$D$20)),""))</f>
        <v/>
      </c>
      <c r="E635" s="6" t="str">
        <f>IF(SUMIF(Raw!$A$2:$A$500, MHT!A635, Raw!$F$2:$F$500) = TIME(0,0,0), "", SUMIF(Raw!$A$2:$A$500, MHT!A635, Raw!$F$2:$F$500))</f>
        <v/>
      </c>
      <c r="F635" s="12" t="str">
        <f t="array" ref="F635">IF(A635="", "", IF(COUNTIF(Raw!$H$1:$I$500, A635) &gt; 0, "Done", IF(COUNTIF(Raw!$J$1:$J$500, A635) &gt; 0, "Pause", IF(COUNTIF(Raw!$K$1:$K$500, A635) &gt; 0, "On-Going", "Pause"))))</f>
        <v/>
      </c>
      <c r="G635" s="51"/>
      <c r="H635" s="50"/>
    </row>
    <row r="636" spans="1:8" x14ac:dyDescent="0.4">
      <c r="A636" s="61"/>
      <c r="B636" s="16" t="str">
        <f t="array" ref="B636">IFERROR(MIN(IF(Raw!$A$2:$A$26=MHT!A636,Raw!$B$2:$B$20)),"")</f>
        <v/>
      </c>
      <c r="C636" s="13" t="str">
        <f t="array" ref="C636">IFERROR(MIN(IF(Raw!$A$2:$A$26=MHT!A636,Raw!$C$2:$C$20)),"")</f>
        <v/>
      </c>
      <c r="D636" s="14" t="str">
        <f t="array" ref="D636">IF(Raw!D629="","",IFERROR(MAX(IF(Raw!$A$2:$A$26=MHT!A636,Raw!$D$2:$D$20)),""))</f>
        <v/>
      </c>
      <c r="E636" s="6" t="str">
        <f>IF(SUMIF(Raw!$A$2:$A$500, MHT!A636, Raw!$F$2:$F$500) = TIME(0,0,0), "", SUMIF(Raw!$A$2:$A$500, MHT!A636, Raw!$F$2:$F$500))</f>
        <v/>
      </c>
      <c r="F636" s="12" t="str">
        <f t="array" ref="F636">IF(A636="", "", IF(COUNTIF(Raw!$H$1:$I$500, A636) &gt; 0, "Done", IF(COUNTIF(Raw!$J$1:$J$500, A636) &gt; 0, "Pause", IF(COUNTIF(Raw!$K$1:$K$500, A636) &gt; 0, "On-Going", "Pause"))))</f>
        <v/>
      </c>
      <c r="G636" s="51"/>
      <c r="H636" s="50"/>
    </row>
    <row r="637" spans="1:8" x14ac:dyDescent="0.4">
      <c r="A637" s="61"/>
      <c r="B637" s="16" t="str">
        <f t="array" ref="B637">IFERROR(MIN(IF(Raw!$A$2:$A$26=MHT!A637,Raw!$B$2:$B$20)),"")</f>
        <v/>
      </c>
      <c r="C637" s="13" t="str">
        <f t="array" ref="C637">IFERROR(MIN(IF(Raw!$A$2:$A$26=MHT!A637,Raw!$C$2:$C$20)),"")</f>
        <v/>
      </c>
      <c r="D637" s="14" t="str">
        <f t="array" ref="D637">IF(Raw!D630="","",IFERROR(MAX(IF(Raw!$A$2:$A$26=MHT!A637,Raw!$D$2:$D$20)),""))</f>
        <v/>
      </c>
      <c r="E637" s="6" t="str">
        <f>IF(SUMIF(Raw!$A$2:$A$500, MHT!A637, Raw!$F$2:$F$500) = TIME(0,0,0), "", SUMIF(Raw!$A$2:$A$500, MHT!A637, Raw!$F$2:$F$500))</f>
        <v/>
      </c>
      <c r="F637" s="12" t="str">
        <f t="array" ref="F637">IF(A637="", "", IF(COUNTIF(Raw!$H$1:$I$500, A637) &gt; 0, "Done", IF(COUNTIF(Raw!$J$1:$J$500, A637) &gt; 0, "Pause", IF(COUNTIF(Raw!$K$1:$K$500, A637) &gt; 0, "On-Going", "Pause"))))</f>
        <v/>
      </c>
      <c r="G637" s="51"/>
      <c r="H637" s="50"/>
    </row>
    <row r="638" spans="1:8" x14ac:dyDescent="0.4">
      <c r="A638" s="61"/>
      <c r="B638" s="16" t="str">
        <f t="array" ref="B638">IFERROR(MIN(IF(Raw!$A$2:$A$26=MHT!A638,Raw!$B$2:$B$20)),"")</f>
        <v/>
      </c>
      <c r="C638" s="13" t="str">
        <f t="array" ref="C638">IFERROR(MIN(IF(Raw!$A$2:$A$26=MHT!A638,Raw!$C$2:$C$20)),"")</f>
        <v/>
      </c>
      <c r="D638" s="14" t="str">
        <f t="array" ref="D638">IF(Raw!D631="","",IFERROR(MAX(IF(Raw!$A$2:$A$26=MHT!A638,Raw!$D$2:$D$20)),""))</f>
        <v/>
      </c>
      <c r="E638" s="6" t="str">
        <f>IF(SUMIF(Raw!$A$2:$A$500, MHT!A638, Raw!$F$2:$F$500) = TIME(0,0,0), "", SUMIF(Raw!$A$2:$A$500, MHT!A638, Raw!$F$2:$F$500))</f>
        <v/>
      </c>
      <c r="F638" s="12" t="str">
        <f t="array" ref="F638">IF(A638="", "", IF(COUNTIF(Raw!$H$1:$I$500, A638) &gt; 0, "Done", IF(COUNTIF(Raw!$J$1:$J$500, A638) &gt; 0, "Pause", IF(COUNTIF(Raw!$K$1:$K$500, A638) &gt; 0, "On-Going", "Pause"))))</f>
        <v/>
      </c>
      <c r="G638" s="51"/>
      <c r="H638" s="50"/>
    </row>
    <row r="639" spans="1:8" x14ac:dyDescent="0.4">
      <c r="A639" s="61"/>
      <c r="B639" s="16" t="str">
        <f t="array" ref="B639">IFERROR(MIN(IF(Raw!$A$2:$A$26=MHT!A639,Raw!$B$2:$B$20)),"")</f>
        <v/>
      </c>
      <c r="C639" s="13" t="str">
        <f t="array" ref="C639">IFERROR(MIN(IF(Raw!$A$2:$A$26=MHT!A639,Raw!$C$2:$C$20)),"")</f>
        <v/>
      </c>
      <c r="D639" s="14" t="str">
        <f t="array" ref="D639">IF(Raw!D632="","",IFERROR(MAX(IF(Raw!$A$2:$A$26=MHT!A639,Raw!$D$2:$D$20)),""))</f>
        <v/>
      </c>
      <c r="E639" s="6" t="str">
        <f>IF(SUMIF(Raw!$A$2:$A$500, MHT!A639, Raw!$F$2:$F$500) = TIME(0,0,0), "", SUMIF(Raw!$A$2:$A$500, MHT!A639, Raw!$F$2:$F$500))</f>
        <v/>
      </c>
      <c r="F639" s="12" t="str">
        <f t="array" ref="F639">IF(A639="", "", IF(COUNTIF(Raw!$H$1:$I$500, A639) &gt; 0, "Done", IF(COUNTIF(Raw!$J$1:$J$500, A639) &gt; 0, "Pause", IF(COUNTIF(Raw!$K$1:$K$500, A639) &gt; 0, "On-Going", "Pause"))))</f>
        <v/>
      </c>
      <c r="G639" s="51"/>
      <c r="H639" s="50"/>
    </row>
    <row r="640" spans="1:8" x14ac:dyDescent="0.4">
      <c r="A640" s="61"/>
      <c r="B640" s="16" t="str">
        <f t="array" ref="B640">IFERROR(MIN(IF(Raw!$A$2:$A$26=MHT!A640,Raw!$B$2:$B$20)),"")</f>
        <v/>
      </c>
      <c r="C640" s="13" t="str">
        <f t="array" ref="C640">IFERROR(MIN(IF(Raw!$A$2:$A$26=MHT!A640,Raw!$C$2:$C$20)),"")</f>
        <v/>
      </c>
      <c r="D640" s="14" t="str">
        <f t="array" ref="D640">IF(Raw!D633="","",IFERROR(MAX(IF(Raw!$A$2:$A$26=MHT!A640,Raw!$D$2:$D$20)),""))</f>
        <v/>
      </c>
      <c r="E640" s="6" t="str">
        <f>IF(SUMIF(Raw!$A$2:$A$500, MHT!A640, Raw!$F$2:$F$500) = TIME(0,0,0), "", SUMIF(Raw!$A$2:$A$500, MHT!A640, Raw!$F$2:$F$500))</f>
        <v/>
      </c>
      <c r="F640" s="12" t="str">
        <f t="array" ref="F640">IF(A640="", "", IF(COUNTIF(Raw!$H$1:$I$500, A640) &gt; 0, "Done", IF(COUNTIF(Raw!$J$1:$J$500, A640) &gt; 0, "Pause", IF(COUNTIF(Raw!$K$1:$K$500, A640) &gt; 0, "On-Going", "Pause"))))</f>
        <v/>
      </c>
      <c r="G640" s="51"/>
      <c r="H640" s="50"/>
    </row>
    <row r="641" spans="1:8" x14ac:dyDescent="0.4">
      <c r="A641" s="61"/>
      <c r="B641" s="16" t="str">
        <f t="array" ref="B641">IFERROR(MIN(IF(Raw!$A$2:$A$26=MHT!A641,Raw!$B$2:$B$20)),"")</f>
        <v/>
      </c>
      <c r="C641" s="13" t="str">
        <f t="array" ref="C641">IFERROR(MIN(IF(Raw!$A$2:$A$26=MHT!A641,Raw!$C$2:$C$20)),"")</f>
        <v/>
      </c>
      <c r="D641" s="14" t="str">
        <f t="array" ref="D641">IF(Raw!D634="","",IFERROR(MAX(IF(Raw!$A$2:$A$26=MHT!A641,Raw!$D$2:$D$20)),""))</f>
        <v/>
      </c>
      <c r="E641" s="6" t="str">
        <f>IF(SUMIF(Raw!$A$2:$A$500, MHT!A641, Raw!$F$2:$F$500) = TIME(0,0,0), "", SUMIF(Raw!$A$2:$A$500, MHT!A641, Raw!$F$2:$F$500))</f>
        <v/>
      </c>
      <c r="F641" s="12" t="str">
        <f t="array" ref="F641">IF(A641="", "", IF(COUNTIF(Raw!$H$1:$I$500, A641) &gt; 0, "Done", IF(COUNTIF(Raw!$J$1:$J$500, A641) &gt; 0, "Pause", IF(COUNTIF(Raw!$K$1:$K$500, A641) &gt; 0, "On-Going", "Pause"))))</f>
        <v/>
      </c>
      <c r="G641" s="51"/>
      <c r="H641" s="50"/>
    </row>
    <row r="642" spans="1:8" x14ac:dyDescent="0.4">
      <c r="A642" s="61"/>
      <c r="B642" s="16" t="str">
        <f t="array" ref="B642">IFERROR(MIN(IF(Raw!$A$2:$A$26=MHT!A642,Raw!$B$2:$B$20)),"")</f>
        <v/>
      </c>
      <c r="C642" s="13" t="str">
        <f t="array" ref="C642">IFERROR(MIN(IF(Raw!$A$2:$A$26=MHT!A642,Raw!$C$2:$C$20)),"")</f>
        <v/>
      </c>
      <c r="D642" s="14" t="str">
        <f t="array" ref="D642">IF(Raw!D635="","",IFERROR(MAX(IF(Raw!$A$2:$A$26=MHT!A642,Raw!$D$2:$D$20)),""))</f>
        <v/>
      </c>
      <c r="E642" s="6" t="str">
        <f>IF(SUMIF(Raw!$A$2:$A$500, MHT!A642, Raw!$F$2:$F$500) = TIME(0,0,0), "", SUMIF(Raw!$A$2:$A$500, MHT!A642, Raw!$F$2:$F$500))</f>
        <v/>
      </c>
      <c r="F642" s="12" t="str">
        <f t="array" ref="F642">IF(A642="", "", IF(COUNTIF(Raw!$H$1:$I$500, A642) &gt; 0, "Done", IF(COUNTIF(Raw!$J$1:$J$500, A642) &gt; 0, "Pause", IF(COUNTIF(Raw!$K$1:$K$500, A642) &gt; 0, "On-Going", "Pause"))))</f>
        <v/>
      </c>
      <c r="G642" s="51"/>
      <c r="H642" s="50"/>
    </row>
    <row r="643" spans="1:8" x14ac:dyDescent="0.4">
      <c r="A643" s="61"/>
      <c r="B643" s="16" t="str">
        <f t="array" ref="B643">IFERROR(MIN(IF(Raw!$A$2:$A$26=MHT!A643,Raw!$B$2:$B$20)),"")</f>
        <v/>
      </c>
      <c r="C643" s="13" t="str">
        <f t="array" ref="C643">IFERROR(MIN(IF(Raw!$A$2:$A$26=MHT!A643,Raw!$C$2:$C$20)),"")</f>
        <v/>
      </c>
      <c r="D643" s="14" t="str">
        <f t="array" ref="D643">IF(Raw!D636="","",IFERROR(MAX(IF(Raw!$A$2:$A$26=MHT!A643,Raw!$D$2:$D$20)),""))</f>
        <v/>
      </c>
      <c r="E643" s="6" t="str">
        <f>IF(SUMIF(Raw!$A$2:$A$500, MHT!A643, Raw!$F$2:$F$500) = TIME(0,0,0), "", SUMIF(Raw!$A$2:$A$500, MHT!A643, Raw!$F$2:$F$500))</f>
        <v/>
      </c>
      <c r="F643" s="12" t="str">
        <f t="array" ref="F643">IF(A643="", "", IF(COUNTIF(Raw!$H$1:$I$500, A643) &gt; 0, "Done", IF(COUNTIF(Raw!$J$1:$J$500, A643) &gt; 0, "Pause", IF(COUNTIF(Raw!$K$1:$K$500, A643) &gt; 0, "On-Going", "Pause"))))</f>
        <v/>
      </c>
      <c r="G643" s="51"/>
      <c r="H643" s="50"/>
    </row>
    <row r="644" spans="1:8" x14ac:dyDescent="0.4">
      <c r="A644" s="61"/>
      <c r="B644" s="16" t="str">
        <f t="array" ref="B644">IFERROR(MIN(IF(Raw!$A$2:$A$26=MHT!A644,Raw!$B$2:$B$20)),"")</f>
        <v/>
      </c>
      <c r="C644" s="13" t="str">
        <f t="array" ref="C644">IFERROR(MIN(IF(Raw!$A$2:$A$26=MHT!A644,Raw!$C$2:$C$20)),"")</f>
        <v/>
      </c>
      <c r="D644" s="14" t="str">
        <f t="array" ref="D644">IF(Raw!D637="","",IFERROR(MAX(IF(Raw!$A$2:$A$26=MHT!A644,Raw!$D$2:$D$20)),""))</f>
        <v/>
      </c>
      <c r="E644" s="6" t="str">
        <f>IF(SUMIF(Raw!$A$2:$A$500, MHT!A644, Raw!$F$2:$F$500) = TIME(0,0,0), "", SUMIF(Raw!$A$2:$A$500, MHT!A644, Raw!$F$2:$F$500))</f>
        <v/>
      </c>
      <c r="F644" s="12" t="str">
        <f t="array" ref="F644">IF(A644="", "", IF(COUNTIF(Raw!$H$1:$I$500, A644) &gt; 0, "Done", IF(COUNTIF(Raw!$J$1:$J$500, A644) &gt; 0, "Pause", IF(COUNTIF(Raw!$K$1:$K$500, A644) &gt; 0, "On-Going", "Pause"))))</f>
        <v/>
      </c>
      <c r="G644" s="51"/>
      <c r="H644" s="50"/>
    </row>
    <row r="645" spans="1:8" x14ac:dyDescent="0.4">
      <c r="A645" s="61"/>
      <c r="B645" s="16" t="str">
        <f t="array" ref="B645">IFERROR(MIN(IF(Raw!$A$2:$A$26=MHT!A645,Raw!$B$2:$B$20)),"")</f>
        <v/>
      </c>
      <c r="C645" s="13" t="str">
        <f t="array" ref="C645">IFERROR(MIN(IF(Raw!$A$2:$A$26=MHT!A645,Raw!$C$2:$C$20)),"")</f>
        <v/>
      </c>
      <c r="D645" s="14" t="str">
        <f t="array" ref="D645">IF(Raw!D638="","",IFERROR(MAX(IF(Raw!$A$2:$A$26=MHT!A645,Raw!$D$2:$D$20)),""))</f>
        <v/>
      </c>
      <c r="E645" s="6" t="str">
        <f>IF(SUMIF(Raw!$A$2:$A$500, MHT!A645, Raw!$F$2:$F$500) = TIME(0,0,0), "", SUMIF(Raw!$A$2:$A$500, MHT!A645, Raw!$F$2:$F$500))</f>
        <v/>
      </c>
      <c r="F645" s="12" t="str">
        <f t="array" ref="F645">IF(A645="", "", IF(COUNTIF(Raw!$H$1:$I$500, A645) &gt; 0, "Done", IF(COUNTIF(Raw!$J$1:$J$500, A645) &gt; 0, "Pause", IF(COUNTIF(Raw!$K$1:$K$500, A645) &gt; 0, "On-Going", "Pause"))))</f>
        <v/>
      </c>
      <c r="G645" s="51"/>
      <c r="H645" s="50"/>
    </row>
    <row r="646" spans="1:8" x14ac:dyDescent="0.4">
      <c r="A646" s="61"/>
      <c r="B646" s="16" t="str">
        <f t="array" ref="B646">IFERROR(MIN(IF(Raw!$A$2:$A$26=MHT!A646,Raw!$B$2:$B$20)),"")</f>
        <v/>
      </c>
      <c r="C646" s="13" t="str">
        <f t="array" ref="C646">IFERROR(MIN(IF(Raw!$A$2:$A$26=MHT!A646,Raw!$C$2:$C$20)),"")</f>
        <v/>
      </c>
      <c r="D646" s="14" t="str">
        <f t="array" ref="D646">IF(Raw!D639="","",IFERROR(MAX(IF(Raw!$A$2:$A$26=MHT!A646,Raw!$D$2:$D$20)),""))</f>
        <v/>
      </c>
      <c r="E646" s="6" t="str">
        <f>IF(SUMIF(Raw!$A$2:$A$500, MHT!A646, Raw!$F$2:$F$500) = TIME(0,0,0), "", SUMIF(Raw!$A$2:$A$500, MHT!A646, Raw!$F$2:$F$500))</f>
        <v/>
      </c>
      <c r="F646" s="12" t="str">
        <f t="array" ref="F646">IF(A646="", "", IF(COUNTIF(Raw!$H$1:$I$500, A646) &gt; 0, "Done", IF(COUNTIF(Raw!$J$1:$J$500, A646) &gt; 0, "Pause", IF(COUNTIF(Raw!$K$1:$K$500, A646) &gt; 0, "On-Going", "Pause"))))</f>
        <v/>
      </c>
      <c r="G646" s="51"/>
      <c r="H646" s="50"/>
    </row>
    <row r="647" spans="1:8" x14ac:dyDescent="0.4">
      <c r="A647" s="61"/>
      <c r="B647" s="16" t="str">
        <f t="array" ref="B647">IFERROR(MIN(IF(Raw!$A$2:$A$26=MHT!A647,Raw!$B$2:$B$20)),"")</f>
        <v/>
      </c>
      <c r="C647" s="13" t="str">
        <f t="array" ref="C647">IFERROR(MIN(IF(Raw!$A$2:$A$26=MHT!A647,Raw!$C$2:$C$20)),"")</f>
        <v/>
      </c>
      <c r="D647" s="14" t="str">
        <f t="array" ref="D647">IF(Raw!D640="","",IFERROR(MAX(IF(Raw!$A$2:$A$26=MHT!A647,Raw!$D$2:$D$20)),""))</f>
        <v/>
      </c>
      <c r="E647" s="6" t="str">
        <f>IF(SUMIF(Raw!$A$2:$A$500, MHT!A647, Raw!$F$2:$F$500) = TIME(0,0,0), "", SUMIF(Raw!$A$2:$A$500, MHT!A647, Raw!$F$2:$F$500))</f>
        <v/>
      </c>
      <c r="F647" s="12" t="str">
        <f t="array" ref="F647">IF(A647="", "", IF(COUNTIF(Raw!$H$1:$I$500, A647) &gt; 0, "Done", IF(COUNTIF(Raw!$J$1:$J$500, A647) &gt; 0, "Pause", IF(COUNTIF(Raw!$K$1:$K$500, A647) &gt; 0, "On-Going", "Pause"))))</f>
        <v/>
      </c>
      <c r="G647" s="51"/>
      <c r="H647" s="50"/>
    </row>
    <row r="648" spans="1:8" x14ac:dyDescent="0.4">
      <c r="A648" s="61"/>
      <c r="B648" s="16" t="str">
        <f t="array" ref="B648">IFERROR(MIN(IF(Raw!$A$2:$A$26=MHT!A648,Raw!$B$2:$B$20)),"")</f>
        <v/>
      </c>
      <c r="C648" s="13" t="str">
        <f t="array" ref="C648">IFERROR(MIN(IF(Raw!$A$2:$A$26=MHT!A648,Raw!$C$2:$C$20)),"")</f>
        <v/>
      </c>
      <c r="D648" s="14" t="str">
        <f t="array" ref="D648">IF(Raw!D641="","",IFERROR(MAX(IF(Raw!$A$2:$A$26=MHT!A648,Raw!$D$2:$D$20)),""))</f>
        <v/>
      </c>
      <c r="E648" s="6" t="str">
        <f>IF(SUMIF(Raw!$A$2:$A$500, MHT!A648, Raw!$F$2:$F$500) = TIME(0,0,0), "", SUMIF(Raw!$A$2:$A$500, MHT!A648, Raw!$F$2:$F$500))</f>
        <v/>
      </c>
      <c r="F648" s="12" t="str">
        <f t="array" ref="F648">IF(A648="", "", IF(COUNTIF(Raw!$H$1:$I$500, A648) &gt; 0, "Done", IF(COUNTIF(Raw!$J$1:$J$500, A648) &gt; 0, "Pause", IF(COUNTIF(Raw!$K$1:$K$500, A648) &gt; 0, "On-Going", "Pause"))))</f>
        <v/>
      </c>
      <c r="G648" s="51"/>
      <c r="H648" s="50"/>
    </row>
    <row r="649" spans="1:8" x14ac:dyDescent="0.4">
      <c r="A649" s="61"/>
      <c r="B649" s="16" t="str">
        <f t="array" ref="B649">IFERROR(MIN(IF(Raw!$A$2:$A$26=MHT!A649,Raw!$B$2:$B$20)),"")</f>
        <v/>
      </c>
      <c r="C649" s="13" t="str">
        <f t="array" ref="C649">IFERROR(MIN(IF(Raw!$A$2:$A$26=MHT!A649,Raw!$C$2:$C$20)),"")</f>
        <v/>
      </c>
      <c r="D649" s="14" t="str">
        <f t="array" ref="D649">IF(Raw!D642="","",IFERROR(MAX(IF(Raw!$A$2:$A$26=MHT!A649,Raw!$D$2:$D$20)),""))</f>
        <v/>
      </c>
      <c r="E649" s="6" t="str">
        <f>IF(SUMIF(Raw!$A$2:$A$500, MHT!A649, Raw!$F$2:$F$500) = TIME(0,0,0), "", SUMIF(Raw!$A$2:$A$500, MHT!A649, Raw!$F$2:$F$500))</f>
        <v/>
      </c>
      <c r="F649" s="12" t="str">
        <f t="array" ref="F649">IF(A649="", "", IF(COUNTIF(Raw!$H$1:$I$500, A649) &gt; 0, "Done", IF(COUNTIF(Raw!$J$1:$J$500, A649) &gt; 0, "Pause", IF(COUNTIF(Raw!$K$1:$K$500, A649) &gt; 0, "On-Going", "Pause"))))</f>
        <v/>
      </c>
      <c r="G649" s="51"/>
      <c r="H649" s="50"/>
    </row>
    <row r="650" spans="1:8" x14ac:dyDescent="0.4">
      <c r="A650" s="61"/>
      <c r="B650" s="16" t="str">
        <f t="array" ref="B650">IFERROR(MIN(IF(Raw!$A$2:$A$26=MHT!A650,Raw!$B$2:$B$20)),"")</f>
        <v/>
      </c>
      <c r="C650" s="13" t="str">
        <f t="array" ref="C650">IFERROR(MIN(IF(Raw!$A$2:$A$26=MHT!A650,Raw!$C$2:$C$20)),"")</f>
        <v/>
      </c>
      <c r="D650" s="14" t="str">
        <f t="array" ref="D650">IF(Raw!D643="","",IFERROR(MAX(IF(Raw!$A$2:$A$26=MHT!A650,Raw!$D$2:$D$20)),""))</f>
        <v/>
      </c>
      <c r="E650" s="6" t="str">
        <f>IF(SUMIF(Raw!$A$2:$A$500, MHT!A650, Raw!$F$2:$F$500) = TIME(0,0,0), "", SUMIF(Raw!$A$2:$A$500, MHT!A650, Raw!$F$2:$F$500))</f>
        <v/>
      </c>
      <c r="F650" s="12" t="str">
        <f t="array" ref="F650">IF(A650="", "", IF(COUNTIF(Raw!$H$1:$I$500, A650) &gt; 0, "Done", IF(COUNTIF(Raw!$J$1:$J$500, A650) &gt; 0, "Pause", IF(COUNTIF(Raw!$K$1:$K$500, A650) &gt; 0, "On-Going", "Pause"))))</f>
        <v/>
      </c>
      <c r="G650" s="51"/>
      <c r="H650" s="50"/>
    </row>
    <row r="651" spans="1:8" x14ac:dyDescent="0.4">
      <c r="A651" s="61"/>
      <c r="B651" s="16" t="str">
        <f t="array" ref="B651">IFERROR(MIN(IF(Raw!$A$2:$A$26=MHT!A651,Raw!$B$2:$B$20)),"")</f>
        <v/>
      </c>
      <c r="C651" s="13" t="str">
        <f t="array" ref="C651">IFERROR(MIN(IF(Raw!$A$2:$A$26=MHT!A651,Raw!$C$2:$C$20)),"")</f>
        <v/>
      </c>
      <c r="D651" s="14" t="str">
        <f t="array" ref="D651">IF(Raw!D644="","",IFERROR(MAX(IF(Raw!$A$2:$A$26=MHT!A651,Raw!$D$2:$D$20)),""))</f>
        <v/>
      </c>
      <c r="E651" s="6" t="str">
        <f>IF(SUMIF(Raw!$A$2:$A$500, MHT!A651, Raw!$F$2:$F$500) = TIME(0,0,0), "", SUMIF(Raw!$A$2:$A$500, MHT!A651, Raw!$F$2:$F$500))</f>
        <v/>
      </c>
      <c r="F651" s="12" t="str">
        <f t="array" ref="F651">IF(A651="", "", IF(COUNTIF(Raw!$H$1:$I$500, A651) &gt; 0, "Done", IF(COUNTIF(Raw!$J$1:$J$500, A651) &gt; 0, "Pause", IF(COUNTIF(Raw!$K$1:$K$500, A651) &gt; 0, "On-Going", "Pause"))))</f>
        <v/>
      </c>
      <c r="G651" s="51"/>
      <c r="H651" s="50"/>
    </row>
    <row r="652" spans="1:8" x14ac:dyDescent="0.4">
      <c r="A652" s="61"/>
      <c r="B652" s="16" t="str">
        <f t="array" ref="B652">IFERROR(MIN(IF(Raw!$A$2:$A$26=MHT!A652,Raw!$B$2:$B$20)),"")</f>
        <v/>
      </c>
      <c r="C652" s="13" t="str">
        <f t="array" ref="C652">IFERROR(MIN(IF(Raw!$A$2:$A$26=MHT!A652,Raw!$C$2:$C$20)),"")</f>
        <v/>
      </c>
      <c r="D652" s="14" t="str">
        <f t="array" ref="D652">IF(Raw!D645="","",IFERROR(MAX(IF(Raw!$A$2:$A$26=MHT!A652,Raw!$D$2:$D$20)),""))</f>
        <v/>
      </c>
      <c r="E652" s="6" t="str">
        <f>IF(SUMIF(Raw!$A$2:$A$500, MHT!A652, Raw!$F$2:$F$500) = TIME(0,0,0), "", SUMIF(Raw!$A$2:$A$500, MHT!A652, Raw!$F$2:$F$500))</f>
        <v/>
      </c>
      <c r="F652" s="12" t="str">
        <f t="array" ref="F652">IF(A652="", "", IF(COUNTIF(Raw!$H$1:$I$500, A652) &gt; 0, "Done", IF(COUNTIF(Raw!$J$1:$J$500, A652) &gt; 0, "Pause", IF(COUNTIF(Raw!$K$1:$K$500, A652) &gt; 0, "On-Going", "Pause"))))</f>
        <v/>
      </c>
      <c r="G652" s="51"/>
      <c r="H652" s="50"/>
    </row>
    <row r="653" spans="1:8" x14ac:dyDescent="0.4">
      <c r="A653" s="61"/>
      <c r="B653" s="16" t="str">
        <f t="array" ref="B653">IFERROR(MIN(IF(Raw!$A$2:$A$26=MHT!A653,Raw!$B$2:$B$20)),"")</f>
        <v/>
      </c>
      <c r="C653" s="13" t="str">
        <f t="array" ref="C653">IFERROR(MIN(IF(Raw!$A$2:$A$26=MHT!A653,Raw!$C$2:$C$20)),"")</f>
        <v/>
      </c>
      <c r="D653" s="14" t="str">
        <f t="array" ref="D653">IF(Raw!D646="","",IFERROR(MAX(IF(Raw!$A$2:$A$26=MHT!A653,Raw!$D$2:$D$20)),""))</f>
        <v/>
      </c>
      <c r="E653" s="6" t="str">
        <f>IF(SUMIF(Raw!$A$2:$A$500, MHT!A653, Raw!$F$2:$F$500) = TIME(0,0,0), "", SUMIF(Raw!$A$2:$A$500, MHT!A653, Raw!$F$2:$F$500))</f>
        <v/>
      </c>
      <c r="F653" s="12" t="str">
        <f t="array" ref="F653">IF(A653="", "", IF(COUNTIF(Raw!$H$1:$I$500, A653) &gt; 0, "Done", IF(COUNTIF(Raw!$J$1:$J$500, A653) &gt; 0, "Pause", IF(COUNTIF(Raw!$K$1:$K$500, A653) &gt; 0, "On-Going", "Pause"))))</f>
        <v/>
      </c>
      <c r="G653" s="51"/>
      <c r="H653" s="50"/>
    </row>
    <row r="654" spans="1:8" x14ac:dyDescent="0.4">
      <c r="A654" s="61"/>
      <c r="B654" s="16" t="str">
        <f t="array" ref="B654">IFERROR(MIN(IF(Raw!$A$2:$A$26=MHT!A654,Raw!$B$2:$B$20)),"")</f>
        <v/>
      </c>
      <c r="C654" s="13" t="str">
        <f t="array" ref="C654">IFERROR(MIN(IF(Raw!$A$2:$A$26=MHT!A654,Raw!$C$2:$C$20)),"")</f>
        <v/>
      </c>
      <c r="D654" s="14" t="str">
        <f t="array" ref="D654">IF(Raw!D647="","",IFERROR(MAX(IF(Raw!$A$2:$A$26=MHT!A654,Raw!$D$2:$D$20)),""))</f>
        <v/>
      </c>
      <c r="E654" s="6" t="str">
        <f>IF(SUMIF(Raw!$A$2:$A$500, MHT!A654, Raw!$F$2:$F$500) = TIME(0,0,0), "", SUMIF(Raw!$A$2:$A$500, MHT!A654, Raw!$F$2:$F$500))</f>
        <v/>
      </c>
      <c r="F654" s="12" t="str">
        <f t="array" ref="F654">IF(A654="", "", IF(COUNTIF(Raw!$H$1:$I$500, A654) &gt; 0, "Done", IF(COUNTIF(Raw!$J$1:$J$500, A654) &gt; 0, "Pause", IF(COUNTIF(Raw!$K$1:$K$500, A654) &gt; 0, "On-Going", "Pause"))))</f>
        <v/>
      </c>
      <c r="G654" s="51"/>
      <c r="H654" s="50"/>
    </row>
    <row r="655" spans="1:8" x14ac:dyDescent="0.4">
      <c r="A655" s="61"/>
      <c r="B655" s="16" t="str">
        <f t="array" ref="B655">IFERROR(MIN(IF(Raw!$A$2:$A$26=MHT!A655,Raw!$B$2:$B$20)),"")</f>
        <v/>
      </c>
      <c r="C655" s="13" t="str">
        <f t="array" ref="C655">IFERROR(MIN(IF(Raw!$A$2:$A$26=MHT!A655,Raw!$C$2:$C$20)),"")</f>
        <v/>
      </c>
      <c r="D655" s="14" t="str">
        <f t="array" ref="D655">IF(Raw!D648="","",IFERROR(MAX(IF(Raw!$A$2:$A$26=MHT!A655,Raw!$D$2:$D$20)),""))</f>
        <v/>
      </c>
      <c r="E655" s="6" t="str">
        <f>IF(SUMIF(Raw!$A$2:$A$500, MHT!A655, Raw!$F$2:$F$500) = TIME(0,0,0), "", SUMIF(Raw!$A$2:$A$500, MHT!A655, Raw!$F$2:$F$500))</f>
        <v/>
      </c>
      <c r="F655" s="12" t="str">
        <f t="array" ref="F655">IF(A655="", "", IF(COUNTIF(Raw!$H$1:$I$500, A655) &gt; 0, "Done", IF(COUNTIF(Raw!$J$1:$J$500, A655) &gt; 0, "Pause", IF(COUNTIF(Raw!$K$1:$K$500, A655) &gt; 0, "On-Going", "Pause"))))</f>
        <v/>
      </c>
      <c r="G655" s="51"/>
      <c r="H655" s="50"/>
    </row>
    <row r="656" spans="1:8" x14ac:dyDescent="0.4">
      <c r="A656" s="61"/>
      <c r="B656" s="16" t="str">
        <f t="array" ref="B656">IFERROR(MIN(IF(Raw!$A$2:$A$26=MHT!A656,Raw!$B$2:$B$20)),"")</f>
        <v/>
      </c>
      <c r="C656" s="13" t="str">
        <f t="array" ref="C656">IFERROR(MIN(IF(Raw!$A$2:$A$26=MHT!A656,Raw!$C$2:$C$20)),"")</f>
        <v/>
      </c>
      <c r="D656" s="14" t="str">
        <f t="array" ref="D656">IF(Raw!D649="","",IFERROR(MAX(IF(Raw!$A$2:$A$26=MHT!A656,Raw!$D$2:$D$20)),""))</f>
        <v/>
      </c>
      <c r="E656" s="6" t="str">
        <f>IF(SUMIF(Raw!$A$2:$A$500, MHT!A656, Raw!$F$2:$F$500) = TIME(0,0,0), "", SUMIF(Raw!$A$2:$A$500, MHT!A656, Raw!$F$2:$F$500))</f>
        <v/>
      </c>
      <c r="F656" s="12" t="str">
        <f t="array" ref="F656">IF(A656="", "", IF(COUNTIF(Raw!$H$1:$I$500, A656) &gt; 0, "Done", IF(COUNTIF(Raw!$J$1:$J$500, A656) &gt; 0, "Pause", IF(COUNTIF(Raw!$K$1:$K$500, A656) &gt; 0, "On-Going", "Pause"))))</f>
        <v/>
      </c>
      <c r="G656" s="51"/>
      <c r="H656" s="50"/>
    </row>
    <row r="657" spans="1:8" x14ac:dyDescent="0.4">
      <c r="A657" s="61"/>
      <c r="B657" s="16" t="str">
        <f t="array" ref="B657">IFERROR(MIN(IF(Raw!$A$2:$A$26=MHT!A657,Raw!$B$2:$B$20)),"")</f>
        <v/>
      </c>
      <c r="C657" s="13" t="str">
        <f t="array" ref="C657">IFERROR(MIN(IF(Raw!$A$2:$A$26=MHT!A657,Raw!$C$2:$C$20)),"")</f>
        <v/>
      </c>
      <c r="D657" s="14" t="str">
        <f t="array" ref="D657">IF(Raw!D650="","",IFERROR(MAX(IF(Raw!$A$2:$A$26=MHT!A657,Raw!$D$2:$D$20)),""))</f>
        <v/>
      </c>
      <c r="E657" s="6" t="str">
        <f>IF(SUMIF(Raw!$A$2:$A$500, MHT!A657, Raw!$F$2:$F$500) = TIME(0,0,0), "", SUMIF(Raw!$A$2:$A$500, MHT!A657, Raw!$F$2:$F$500))</f>
        <v/>
      </c>
      <c r="F657" s="12" t="str">
        <f t="array" ref="F657">IF(A657="", "", IF(COUNTIF(Raw!$H$1:$I$500, A657) &gt; 0, "Done", IF(COUNTIF(Raw!$J$1:$J$500, A657) &gt; 0, "Pause", IF(COUNTIF(Raw!$K$1:$K$500, A657) &gt; 0, "On-Going", "Pause"))))</f>
        <v/>
      </c>
      <c r="G657" s="51"/>
      <c r="H657" s="50"/>
    </row>
    <row r="658" spans="1:8" x14ac:dyDescent="0.4">
      <c r="A658" s="61"/>
      <c r="B658" s="16" t="str">
        <f t="array" ref="B658">IFERROR(MIN(IF(Raw!$A$2:$A$26=MHT!A658,Raw!$B$2:$B$20)),"")</f>
        <v/>
      </c>
      <c r="C658" s="13" t="str">
        <f t="array" ref="C658">IFERROR(MIN(IF(Raw!$A$2:$A$26=MHT!A658,Raw!$C$2:$C$20)),"")</f>
        <v/>
      </c>
      <c r="D658" s="14" t="str">
        <f t="array" ref="D658">IF(Raw!D651="","",IFERROR(MAX(IF(Raw!$A$2:$A$26=MHT!A658,Raw!$D$2:$D$20)),""))</f>
        <v/>
      </c>
      <c r="E658" s="6" t="str">
        <f>IF(SUMIF(Raw!$A$2:$A$500, MHT!A658, Raw!$F$2:$F$500) = TIME(0,0,0), "", SUMIF(Raw!$A$2:$A$500, MHT!A658, Raw!$F$2:$F$500))</f>
        <v/>
      </c>
      <c r="F658" s="12" t="str">
        <f t="array" ref="F658">IF(A658="", "", IF(COUNTIF(Raw!$H$1:$I$500, A658) &gt; 0, "Done", IF(COUNTIF(Raw!$J$1:$J$500, A658) &gt; 0, "Pause", IF(COUNTIF(Raw!$K$1:$K$500, A658) &gt; 0, "On-Going", "Pause"))))</f>
        <v/>
      </c>
      <c r="G658" s="51"/>
      <c r="H658" s="50"/>
    </row>
    <row r="659" spans="1:8" x14ac:dyDescent="0.4">
      <c r="A659" s="61"/>
      <c r="B659" s="16" t="str">
        <f t="array" ref="B659">IFERROR(MIN(IF(Raw!$A$2:$A$26=MHT!A659,Raw!$B$2:$B$20)),"")</f>
        <v/>
      </c>
      <c r="C659" s="13" t="str">
        <f t="array" ref="C659">IFERROR(MIN(IF(Raw!$A$2:$A$26=MHT!A659,Raw!$C$2:$C$20)),"")</f>
        <v/>
      </c>
      <c r="D659" s="14" t="str">
        <f t="array" ref="D659">IF(Raw!D652="","",IFERROR(MAX(IF(Raw!$A$2:$A$26=MHT!A659,Raw!$D$2:$D$20)),""))</f>
        <v/>
      </c>
      <c r="E659" s="6" t="str">
        <f>IF(SUMIF(Raw!$A$2:$A$500, MHT!A659, Raw!$F$2:$F$500) = TIME(0,0,0), "", SUMIF(Raw!$A$2:$A$500, MHT!A659, Raw!$F$2:$F$500))</f>
        <v/>
      </c>
      <c r="F659" s="12" t="str">
        <f t="array" ref="F659">IF(A659="", "", IF(COUNTIF(Raw!$H$1:$I$500, A659) &gt; 0, "Done", IF(COUNTIF(Raw!$J$1:$J$500, A659) &gt; 0, "Pause", IF(COUNTIF(Raw!$K$1:$K$500, A659) &gt; 0, "On-Going", "Pause"))))</f>
        <v/>
      </c>
      <c r="G659" s="51"/>
      <c r="H659" s="50"/>
    </row>
    <row r="660" spans="1:8" x14ac:dyDescent="0.4">
      <c r="A660" s="61"/>
      <c r="B660" s="16" t="str">
        <f t="array" ref="B660">IFERROR(MIN(IF(Raw!$A$2:$A$26=MHT!A660,Raw!$B$2:$B$20)),"")</f>
        <v/>
      </c>
      <c r="C660" s="13" t="str">
        <f t="array" ref="C660">IFERROR(MIN(IF(Raw!$A$2:$A$26=MHT!A660,Raw!$C$2:$C$20)),"")</f>
        <v/>
      </c>
      <c r="D660" s="14" t="str">
        <f t="array" ref="D660">IF(Raw!D653="","",IFERROR(MAX(IF(Raw!$A$2:$A$26=MHT!A660,Raw!$D$2:$D$20)),""))</f>
        <v/>
      </c>
      <c r="E660" s="6" t="str">
        <f>IF(SUMIF(Raw!$A$2:$A$500, MHT!A660, Raw!$F$2:$F$500) = TIME(0,0,0), "", SUMIF(Raw!$A$2:$A$500, MHT!A660, Raw!$F$2:$F$500))</f>
        <v/>
      </c>
      <c r="F660" s="12" t="str">
        <f t="array" ref="F660">IF(A660="", "", IF(COUNTIF(Raw!$H$1:$I$500, A660) &gt; 0, "Done", IF(COUNTIF(Raw!$J$1:$J$500, A660) &gt; 0, "Pause", IF(COUNTIF(Raw!$K$1:$K$500, A660) &gt; 0, "On-Going", "Pause"))))</f>
        <v/>
      </c>
      <c r="G660" s="51"/>
      <c r="H660" s="50"/>
    </row>
    <row r="661" spans="1:8" x14ac:dyDescent="0.4">
      <c r="A661" s="61"/>
      <c r="B661" s="16" t="str">
        <f t="array" ref="B661">IFERROR(MIN(IF(Raw!$A$2:$A$26=MHT!A661,Raw!$B$2:$B$20)),"")</f>
        <v/>
      </c>
      <c r="C661" s="13" t="str">
        <f t="array" ref="C661">IFERROR(MIN(IF(Raw!$A$2:$A$26=MHT!A661,Raw!$C$2:$C$20)),"")</f>
        <v/>
      </c>
      <c r="D661" s="14" t="str">
        <f t="array" ref="D661">IF(Raw!D654="","",IFERROR(MAX(IF(Raw!$A$2:$A$26=MHT!A661,Raw!$D$2:$D$20)),""))</f>
        <v/>
      </c>
      <c r="E661" s="6" t="str">
        <f>IF(SUMIF(Raw!$A$2:$A$500, MHT!A661, Raw!$F$2:$F$500) = TIME(0,0,0), "", SUMIF(Raw!$A$2:$A$500, MHT!A661, Raw!$F$2:$F$500))</f>
        <v/>
      </c>
      <c r="F661" s="12" t="str">
        <f t="array" ref="F661">IF(A661="", "", IF(COUNTIF(Raw!$H$1:$I$500, A661) &gt; 0, "Done", IF(COUNTIF(Raw!$J$1:$J$500, A661) &gt; 0, "Pause", IF(COUNTIF(Raw!$K$1:$K$500, A661) &gt; 0, "On-Going", "Pause"))))</f>
        <v/>
      </c>
      <c r="G661" s="51"/>
      <c r="H661" s="50"/>
    </row>
    <row r="662" spans="1:8" x14ac:dyDescent="0.4">
      <c r="A662" s="61"/>
      <c r="B662" s="16" t="str">
        <f t="array" ref="B662">IFERROR(MIN(IF(Raw!$A$2:$A$26=MHT!A662,Raw!$B$2:$B$20)),"")</f>
        <v/>
      </c>
      <c r="C662" s="13" t="str">
        <f t="array" ref="C662">IFERROR(MIN(IF(Raw!$A$2:$A$26=MHT!A662,Raw!$C$2:$C$20)),"")</f>
        <v/>
      </c>
      <c r="D662" s="14" t="str">
        <f t="array" ref="D662">IF(Raw!D655="","",IFERROR(MAX(IF(Raw!$A$2:$A$26=MHT!A662,Raw!$D$2:$D$20)),""))</f>
        <v/>
      </c>
      <c r="E662" s="6" t="str">
        <f>IF(SUMIF(Raw!$A$2:$A$500, MHT!A662, Raw!$F$2:$F$500) = TIME(0,0,0), "", SUMIF(Raw!$A$2:$A$500, MHT!A662, Raw!$F$2:$F$500))</f>
        <v/>
      </c>
      <c r="F662" s="12" t="str">
        <f t="array" ref="F662">IF(A662="", "", IF(COUNTIF(Raw!$H$1:$I$500, A662) &gt; 0, "Done", IF(COUNTIF(Raw!$J$1:$J$500, A662) &gt; 0, "Pause", IF(COUNTIF(Raw!$K$1:$K$500, A662) &gt; 0, "On-Going", "Pause"))))</f>
        <v/>
      </c>
      <c r="G662" s="51"/>
      <c r="H662" s="50"/>
    </row>
    <row r="663" spans="1:8" x14ac:dyDescent="0.4">
      <c r="A663" s="61"/>
      <c r="B663" s="16" t="str">
        <f t="array" ref="B663">IFERROR(MIN(IF(Raw!$A$2:$A$26=MHT!A663,Raw!$B$2:$B$20)),"")</f>
        <v/>
      </c>
      <c r="C663" s="13" t="str">
        <f t="array" ref="C663">IFERROR(MIN(IF(Raw!$A$2:$A$26=MHT!A663,Raw!$C$2:$C$20)),"")</f>
        <v/>
      </c>
      <c r="D663" s="14" t="str">
        <f t="array" ref="D663">IF(Raw!D656="","",IFERROR(MAX(IF(Raw!$A$2:$A$26=MHT!A663,Raw!$D$2:$D$20)),""))</f>
        <v/>
      </c>
      <c r="E663" s="6" t="str">
        <f>IF(SUMIF(Raw!$A$2:$A$500, MHT!A663, Raw!$F$2:$F$500) = TIME(0,0,0), "", SUMIF(Raw!$A$2:$A$500, MHT!A663, Raw!$F$2:$F$500))</f>
        <v/>
      </c>
      <c r="F663" s="12" t="str">
        <f t="array" ref="F663">IF(A663="", "", IF(COUNTIF(Raw!$H$1:$I$500, A663) &gt; 0, "Done", IF(COUNTIF(Raw!$J$1:$J$500, A663) &gt; 0, "Pause", IF(COUNTIF(Raw!$K$1:$K$500, A663) &gt; 0, "On-Going", "Pause"))))</f>
        <v/>
      </c>
      <c r="G663" s="51"/>
      <c r="H663" s="50"/>
    </row>
    <row r="664" spans="1:8" x14ac:dyDescent="0.4">
      <c r="A664" s="61"/>
      <c r="B664" s="16" t="str">
        <f t="array" ref="B664">IFERROR(MIN(IF(Raw!$A$2:$A$26=MHT!A664,Raw!$B$2:$B$20)),"")</f>
        <v/>
      </c>
      <c r="C664" s="13" t="str">
        <f t="array" ref="C664">IFERROR(MIN(IF(Raw!$A$2:$A$26=MHT!A664,Raw!$C$2:$C$20)),"")</f>
        <v/>
      </c>
      <c r="D664" s="14" t="str">
        <f t="array" ref="D664">IF(Raw!D657="","",IFERROR(MAX(IF(Raw!$A$2:$A$26=MHT!A664,Raw!$D$2:$D$20)),""))</f>
        <v/>
      </c>
      <c r="E664" s="6" t="str">
        <f>IF(SUMIF(Raw!$A$2:$A$500, MHT!A664, Raw!$F$2:$F$500) = TIME(0,0,0), "", SUMIF(Raw!$A$2:$A$500, MHT!A664, Raw!$F$2:$F$500))</f>
        <v/>
      </c>
      <c r="F664" s="12" t="str">
        <f t="array" ref="F664">IF(A664="", "", IF(COUNTIF(Raw!$H$1:$I$500, A664) &gt; 0, "Done", IF(COUNTIF(Raw!$J$1:$J$500, A664) &gt; 0, "Pause", IF(COUNTIF(Raw!$K$1:$K$500, A664) &gt; 0, "On-Going", "Pause"))))</f>
        <v/>
      </c>
      <c r="G664" s="51"/>
      <c r="H664" s="50"/>
    </row>
    <row r="665" spans="1:8" x14ac:dyDescent="0.4">
      <c r="A665" s="61"/>
      <c r="B665" s="16" t="str">
        <f t="array" ref="B665">IFERROR(MIN(IF(Raw!$A$2:$A$26=MHT!A665,Raw!$B$2:$B$20)),"")</f>
        <v/>
      </c>
      <c r="C665" s="13" t="str">
        <f t="array" ref="C665">IFERROR(MIN(IF(Raw!$A$2:$A$26=MHT!A665,Raw!$C$2:$C$20)),"")</f>
        <v/>
      </c>
      <c r="D665" s="14" t="str">
        <f t="array" ref="D665">IF(Raw!D658="","",IFERROR(MAX(IF(Raw!$A$2:$A$26=MHT!A665,Raw!$D$2:$D$20)),""))</f>
        <v/>
      </c>
      <c r="E665" s="6" t="str">
        <f>IF(SUMIF(Raw!$A$2:$A$500, MHT!A665, Raw!$F$2:$F$500) = TIME(0,0,0), "", SUMIF(Raw!$A$2:$A$500, MHT!A665, Raw!$F$2:$F$500))</f>
        <v/>
      </c>
      <c r="F665" s="12" t="str">
        <f t="array" ref="F665">IF(A665="", "", IF(COUNTIF(Raw!$H$1:$I$500, A665) &gt; 0, "Done", IF(COUNTIF(Raw!$J$1:$J$500, A665) &gt; 0, "Pause", IF(COUNTIF(Raw!$K$1:$K$500, A665) &gt; 0, "On-Going", "Pause"))))</f>
        <v/>
      </c>
      <c r="G665" s="51"/>
      <c r="H665" s="50"/>
    </row>
    <row r="666" spans="1:8" x14ac:dyDescent="0.4">
      <c r="A666" s="61"/>
      <c r="B666" s="16" t="str">
        <f t="array" ref="B666">IFERROR(MIN(IF(Raw!$A$2:$A$26=MHT!A666,Raw!$B$2:$B$20)),"")</f>
        <v/>
      </c>
      <c r="C666" s="13" t="str">
        <f t="array" ref="C666">IFERROR(MIN(IF(Raw!$A$2:$A$26=MHT!A666,Raw!$C$2:$C$20)),"")</f>
        <v/>
      </c>
      <c r="D666" s="14" t="str">
        <f t="array" ref="D666">IF(Raw!D659="","",IFERROR(MAX(IF(Raw!$A$2:$A$26=MHT!A666,Raw!$D$2:$D$20)),""))</f>
        <v/>
      </c>
      <c r="E666" s="6" t="str">
        <f>IF(SUMIF(Raw!$A$2:$A$500, MHT!A666, Raw!$F$2:$F$500) = TIME(0,0,0), "", SUMIF(Raw!$A$2:$A$500, MHT!A666, Raw!$F$2:$F$500))</f>
        <v/>
      </c>
      <c r="F666" s="12" t="str">
        <f t="array" ref="F666">IF(A666="", "", IF(COUNTIF(Raw!$H$1:$I$500, A666) &gt; 0, "Done", IF(COUNTIF(Raw!$J$1:$J$500, A666) &gt; 0, "Pause", IF(COUNTIF(Raw!$K$1:$K$500, A666) &gt; 0, "On-Going", "Pause"))))</f>
        <v/>
      </c>
      <c r="G666" s="51"/>
      <c r="H666" s="50"/>
    </row>
    <row r="667" spans="1:8" x14ac:dyDescent="0.4">
      <c r="A667" s="61"/>
      <c r="B667" s="16" t="str">
        <f t="array" ref="B667">IFERROR(MIN(IF(Raw!$A$2:$A$26=MHT!A667,Raw!$B$2:$B$20)),"")</f>
        <v/>
      </c>
      <c r="C667" s="13" t="str">
        <f t="array" ref="C667">IFERROR(MIN(IF(Raw!$A$2:$A$26=MHT!A667,Raw!$C$2:$C$20)),"")</f>
        <v/>
      </c>
      <c r="D667" s="14" t="str">
        <f t="array" ref="D667">IF(Raw!D660="","",IFERROR(MAX(IF(Raw!$A$2:$A$26=MHT!A667,Raw!$D$2:$D$20)),""))</f>
        <v/>
      </c>
      <c r="E667" s="6" t="str">
        <f>IF(SUMIF(Raw!$A$2:$A$500, MHT!A667, Raw!$F$2:$F$500) = TIME(0,0,0), "", SUMIF(Raw!$A$2:$A$500, MHT!A667, Raw!$F$2:$F$500))</f>
        <v/>
      </c>
      <c r="F667" s="12" t="str">
        <f t="array" ref="F667">IF(A667="", "", IF(COUNTIF(Raw!$H$1:$I$500, A667) &gt; 0, "Done", IF(COUNTIF(Raw!$J$1:$J$500, A667) &gt; 0, "Pause", IF(COUNTIF(Raw!$K$1:$K$500, A667) &gt; 0, "On-Going", "Pause"))))</f>
        <v/>
      </c>
      <c r="G667" s="51"/>
      <c r="H667" s="50"/>
    </row>
    <row r="668" spans="1:8" x14ac:dyDescent="0.4">
      <c r="A668" s="61"/>
      <c r="B668" s="16" t="str">
        <f t="array" ref="B668">IFERROR(MIN(IF(Raw!$A$2:$A$26=MHT!A668,Raw!$B$2:$B$20)),"")</f>
        <v/>
      </c>
      <c r="C668" s="13" t="str">
        <f t="array" ref="C668">IFERROR(MIN(IF(Raw!$A$2:$A$26=MHT!A668,Raw!$C$2:$C$20)),"")</f>
        <v/>
      </c>
      <c r="D668" s="14" t="str">
        <f t="array" ref="D668">IF(Raw!D661="","",IFERROR(MAX(IF(Raw!$A$2:$A$26=MHT!A668,Raw!$D$2:$D$20)),""))</f>
        <v/>
      </c>
      <c r="E668" s="6" t="str">
        <f>IF(SUMIF(Raw!$A$2:$A$500, MHT!A668, Raw!$F$2:$F$500) = TIME(0,0,0), "", SUMIF(Raw!$A$2:$A$500, MHT!A668, Raw!$F$2:$F$500))</f>
        <v/>
      </c>
      <c r="F668" s="12" t="str">
        <f t="array" ref="F668">IF(A668="", "", IF(COUNTIF(Raw!$H$1:$I$500, A668) &gt; 0, "Done", IF(COUNTIF(Raw!$J$1:$J$500, A668) &gt; 0, "Pause", IF(COUNTIF(Raw!$K$1:$K$500, A668) &gt; 0, "On-Going", "Pause"))))</f>
        <v/>
      </c>
      <c r="G668" s="51"/>
      <c r="H668" s="50"/>
    </row>
    <row r="669" spans="1:8" x14ac:dyDescent="0.4">
      <c r="A669" s="61"/>
      <c r="B669" s="16" t="str">
        <f t="array" ref="B669">IFERROR(MIN(IF(Raw!$A$2:$A$26=MHT!A669,Raw!$B$2:$B$20)),"")</f>
        <v/>
      </c>
      <c r="C669" s="13" t="str">
        <f t="array" ref="C669">IFERROR(MIN(IF(Raw!$A$2:$A$26=MHT!A669,Raw!$C$2:$C$20)),"")</f>
        <v/>
      </c>
      <c r="D669" s="14" t="str">
        <f t="array" ref="D669">IF(Raw!D662="","",IFERROR(MAX(IF(Raw!$A$2:$A$26=MHT!A669,Raw!$D$2:$D$20)),""))</f>
        <v/>
      </c>
      <c r="E669" s="6" t="str">
        <f>IF(SUMIF(Raw!$A$2:$A$500, MHT!A669, Raw!$F$2:$F$500) = TIME(0,0,0), "", SUMIF(Raw!$A$2:$A$500, MHT!A669, Raw!$F$2:$F$500))</f>
        <v/>
      </c>
      <c r="F669" s="12" t="str">
        <f t="array" ref="F669">IF(A669="", "", IF(COUNTIF(Raw!$H$1:$I$500, A669) &gt; 0, "Done", IF(COUNTIF(Raw!$J$1:$J$500, A669) &gt; 0, "Pause", IF(COUNTIF(Raw!$K$1:$K$500, A669) &gt; 0, "On-Going", "Pause"))))</f>
        <v/>
      </c>
      <c r="G669" s="51"/>
      <c r="H669" s="50"/>
    </row>
    <row r="670" spans="1:8" x14ac:dyDescent="0.4">
      <c r="A670" s="61"/>
      <c r="B670" s="16" t="str">
        <f t="array" ref="B670">IFERROR(MIN(IF(Raw!$A$2:$A$26=MHT!A670,Raw!$B$2:$B$20)),"")</f>
        <v/>
      </c>
      <c r="C670" s="13" t="str">
        <f t="array" ref="C670">IFERROR(MIN(IF(Raw!$A$2:$A$26=MHT!A670,Raw!$C$2:$C$20)),"")</f>
        <v/>
      </c>
      <c r="D670" s="14" t="str">
        <f t="array" ref="D670">IF(Raw!D663="","",IFERROR(MAX(IF(Raw!$A$2:$A$26=MHT!A670,Raw!$D$2:$D$20)),""))</f>
        <v/>
      </c>
      <c r="E670" s="6" t="str">
        <f>IF(SUMIF(Raw!$A$2:$A$500, MHT!A670, Raw!$F$2:$F$500) = TIME(0,0,0), "", SUMIF(Raw!$A$2:$A$500, MHT!A670, Raw!$F$2:$F$500))</f>
        <v/>
      </c>
      <c r="F670" s="12" t="str">
        <f t="array" ref="F670">IF(A670="", "", IF(COUNTIF(Raw!$H$1:$I$500, A670) &gt; 0, "Done", IF(COUNTIF(Raw!$J$1:$J$500, A670) &gt; 0, "Pause", IF(COUNTIF(Raw!$K$1:$K$500, A670) &gt; 0, "On-Going", "Pause"))))</f>
        <v/>
      </c>
      <c r="G670" s="51"/>
      <c r="H670" s="50"/>
    </row>
    <row r="671" spans="1:8" x14ac:dyDescent="0.4">
      <c r="A671" s="61"/>
      <c r="B671" s="16" t="str">
        <f t="array" ref="B671">IFERROR(MIN(IF(Raw!$A$2:$A$26=MHT!A671,Raw!$B$2:$B$20)),"")</f>
        <v/>
      </c>
      <c r="C671" s="13" t="str">
        <f t="array" ref="C671">IFERROR(MIN(IF(Raw!$A$2:$A$26=MHT!A671,Raw!$C$2:$C$20)),"")</f>
        <v/>
      </c>
      <c r="D671" s="14" t="str">
        <f t="array" ref="D671">IF(Raw!D664="","",IFERROR(MAX(IF(Raw!$A$2:$A$26=MHT!A671,Raw!$D$2:$D$20)),""))</f>
        <v/>
      </c>
      <c r="E671" s="6" t="str">
        <f>IF(SUMIF(Raw!$A$2:$A$500, MHT!A671, Raw!$F$2:$F$500) = TIME(0,0,0), "", SUMIF(Raw!$A$2:$A$500, MHT!A671, Raw!$F$2:$F$500))</f>
        <v/>
      </c>
      <c r="F671" s="12" t="str">
        <f t="array" ref="F671">IF(A671="", "", IF(COUNTIF(Raw!$H$1:$I$500, A671) &gt; 0, "Done", IF(COUNTIF(Raw!$J$1:$J$500, A671) &gt; 0, "Pause", IF(COUNTIF(Raw!$K$1:$K$500, A671) &gt; 0, "On-Going", "Pause"))))</f>
        <v/>
      </c>
      <c r="G671" s="51"/>
      <c r="H671" s="50"/>
    </row>
    <row r="672" spans="1:8" x14ac:dyDescent="0.4">
      <c r="A672" s="61"/>
      <c r="B672" s="16" t="str">
        <f t="array" ref="B672">IFERROR(MIN(IF(Raw!$A$2:$A$26=MHT!A672,Raw!$B$2:$B$20)),"")</f>
        <v/>
      </c>
      <c r="C672" s="13" t="str">
        <f t="array" ref="C672">IFERROR(MIN(IF(Raw!$A$2:$A$26=MHT!A672,Raw!$C$2:$C$20)),"")</f>
        <v/>
      </c>
      <c r="D672" s="14" t="str">
        <f t="array" ref="D672">IF(Raw!D665="","",IFERROR(MAX(IF(Raw!$A$2:$A$26=MHT!A672,Raw!$D$2:$D$20)),""))</f>
        <v/>
      </c>
      <c r="E672" s="6" t="str">
        <f>IF(SUMIF(Raw!$A$2:$A$500, MHT!A672, Raw!$F$2:$F$500) = TIME(0,0,0), "", SUMIF(Raw!$A$2:$A$500, MHT!A672, Raw!$F$2:$F$500))</f>
        <v/>
      </c>
      <c r="F672" s="12" t="str">
        <f t="array" ref="F672">IF(A672="", "", IF(COUNTIF(Raw!$H$1:$I$500, A672) &gt; 0, "Done", IF(COUNTIF(Raw!$J$1:$J$500, A672) &gt; 0, "Pause", IF(COUNTIF(Raw!$K$1:$K$500, A672) &gt; 0, "On-Going", "Pause"))))</f>
        <v/>
      </c>
      <c r="G672" s="51"/>
      <c r="H672" s="50"/>
    </row>
    <row r="673" spans="1:8" x14ac:dyDescent="0.4">
      <c r="A673" s="61"/>
      <c r="B673" s="16" t="str">
        <f t="array" ref="B673">IFERROR(MIN(IF(Raw!$A$2:$A$26=MHT!A673,Raw!$B$2:$B$20)),"")</f>
        <v/>
      </c>
      <c r="C673" s="13" t="str">
        <f t="array" ref="C673">IFERROR(MIN(IF(Raw!$A$2:$A$26=MHT!A673,Raw!$C$2:$C$20)),"")</f>
        <v/>
      </c>
      <c r="D673" s="14" t="str">
        <f t="array" ref="D673">IF(Raw!D666="","",IFERROR(MAX(IF(Raw!$A$2:$A$26=MHT!A673,Raw!$D$2:$D$20)),""))</f>
        <v/>
      </c>
      <c r="E673" s="6" t="str">
        <f>IF(SUMIF(Raw!$A$2:$A$500, MHT!A673, Raw!$F$2:$F$500) = TIME(0,0,0), "", SUMIF(Raw!$A$2:$A$500, MHT!A673, Raw!$F$2:$F$500))</f>
        <v/>
      </c>
      <c r="F673" s="12" t="str">
        <f t="array" ref="F673">IF(A673="", "", IF(COUNTIF(Raw!$H$1:$I$500, A673) &gt; 0, "Done", IF(COUNTIF(Raw!$J$1:$J$500, A673) &gt; 0, "Pause", IF(COUNTIF(Raw!$K$1:$K$500, A673) &gt; 0, "On-Going", "Pause"))))</f>
        <v/>
      </c>
      <c r="G673" s="51"/>
      <c r="H673" s="50"/>
    </row>
    <row r="674" spans="1:8" x14ac:dyDescent="0.4">
      <c r="A674" s="61"/>
      <c r="B674" s="16" t="str">
        <f t="array" ref="B674">IFERROR(MIN(IF(Raw!$A$2:$A$26=MHT!A674,Raw!$B$2:$B$20)),"")</f>
        <v/>
      </c>
      <c r="C674" s="13" t="str">
        <f t="array" ref="C674">IFERROR(MIN(IF(Raw!$A$2:$A$26=MHT!A674,Raw!$C$2:$C$20)),"")</f>
        <v/>
      </c>
      <c r="D674" s="14" t="str">
        <f t="array" ref="D674">IF(Raw!D667="","",IFERROR(MAX(IF(Raw!$A$2:$A$26=MHT!A674,Raw!$D$2:$D$20)),""))</f>
        <v/>
      </c>
      <c r="E674" s="6" t="str">
        <f>IF(SUMIF(Raw!$A$2:$A$500, MHT!A674, Raw!$F$2:$F$500) = TIME(0,0,0), "", SUMIF(Raw!$A$2:$A$500, MHT!A674, Raw!$F$2:$F$500))</f>
        <v/>
      </c>
      <c r="F674" s="12" t="str">
        <f t="array" ref="F674">IF(A674="", "", IF(COUNTIF(Raw!$H$1:$I$500, A674) &gt; 0, "Done", IF(COUNTIF(Raw!$J$1:$J$500, A674) &gt; 0, "Pause", IF(COUNTIF(Raw!$K$1:$K$500, A674) &gt; 0, "On-Going", "Pause"))))</f>
        <v/>
      </c>
      <c r="G674" s="51"/>
      <c r="H674" s="50"/>
    </row>
    <row r="675" spans="1:8" x14ac:dyDescent="0.4">
      <c r="A675" s="61"/>
      <c r="B675" s="16" t="str">
        <f t="array" ref="B675">IFERROR(MIN(IF(Raw!$A$2:$A$26=MHT!A675,Raw!$B$2:$B$20)),"")</f>
        <v/>
      </c>
      <c r="C675" s="13" t="str">
        <f t="array" ref="C675">IFERROR(MIN(IF(Raw!$A$2:$A$26=MHT!A675,Raw!$C$2:$C$20)),"")</f>
        <v/>
      </c>
      <c r="D675" s="14" t="str">
        <f t="array" ref="D675">IF(Raw!D668="","",IFERROR(MAX(IF(Raw!$A$2:$A$26=MHT!A675,Raw!$D$2:$D$20)),""))</f>
        <v/>
      </c>
      <c r="E675" s="6" t="str">
        <f>IF(SUMIF(Raw!$A$2:$A$500, MHT!A675, Raw!$F$2:$F$500) = TIME(0,0,0), "", SUMIF(Raw!$A$2:$A$500, MHT!A675, Raw!$F$2:$F$500))</f>
        <v/>
      </c>
      <c r="F675" s="12" t="str">
        <f t="array" ref="F675">IF(A675="", "", IF(COUNTIF(Raw!$H$1:$I$500, A675) &gt; 0, "Done", IF(COUNTIF(Raw!$J$1:$J$500, A675) &gt; 0, "Pause", IF(COUNTIF(Raw!$K$1:$K$500, A675) &gt; 0, "On-Going", "Pause"))))</f>
        <v/>
      </c>
      <c r="G675" s="51"/>
      <c r="H675" s="50"/>
    </row>
    <row r="676" spans="1:8" x14ac:dyDescent="0.4">
      <c r="A676" s="61"/>
      <c r="B676" s="16" t="str">
        <f t="array" ref="B676">IFERROR(MIN(IF(Raw!$A$2:$A$26=MHT!A676,Raw!$B$2:$B$20)),"")</f>
        <v/>
      </c>
      <c r="C676" s="13" t="str">
        <f t="array" ref="C676">IFERROR(MIN(IF(Raw!$A$2:$A$26=MHT!A676,Raw!$C$2:$C$20)),"")</f>
        <v/>
      </c>
      <c r="D676" s="14" t="str">
        <f t="array" ref="D676">IF(Raw!D669="","",IFERROR(MAX(IF(Raw!$A$2:$A$26=MHT!A676,Raw!$D$2:$D$20)),""))</f>
        <v/>
      </c>
      <c r="E676" s="6" t="str">
        <f>IF(SUMIF(Raw!$A$2:$A$500, MHT!A676, Raw!$F$2:$F$500) = TIME(0,0,0), "", SUMIF(Raw!$A$2:$A$500, MHT!A676, Raw!$F$2:$F$500))</f>
        <v/>
      </c>
      <c r="F676" s="12" t="str">
        <f t="array" ref="F676">IF(A676="", "", IF(COUNTIF(Raw!$H$1:$I$500, A676) &gt; 0, "Done", IF(COUNTIF(Raw!$J$1:$J$500, A676) &gt; 0, "Pause", IF(COUNTIF(Raw!$K$1:$K$500, A676) &gt; 0, "On-Going", "Pause"))))</f>
        <v/>
      </c>
      <c r="G676" s="51"/>
      <c r="H676" s="50"/>
    </row>
    <row r="677" spans="1:8" x14ac:dyDescent="0.4">
      <c r="A677" s="61"/>
      <c r="B677" s="16" t="str">
        <f t="array" ref="B677">IFERROR(MIN(IF(Raw!$A$2:$A$26=MHT!A677,Raw!$B$2:$B$20)),"")</f>
        <v/>
      </c>
      <c r="C677" s="13" t="str">
        <f t="array" ref="C677">IFERROR(MIN(IF(Raw!$A$2:$A$26=MHT!A677,Raw!$C$2:$C$20)),"")</f>
        <v/>
      </c>
      <c r="D677" s="14" t="str">
        <f t="array" ref="D677">IF(Raw!D670="","",IFERROR(MAX(IF(Raw!$A$2:$A$26=MHT!A677,Raw!$D$2:$D$20)),""))</f>
        <v/>
      </c>
      <c r="E677" s="6" t="str">
        <f>IF(SUMIF(Raw!$A$2:$A$500, MHT!A677, Raw!$F$2:$F$500) = TIME(0,0,0), "", SUMIF(Raw!$A$2:$A$500, MHT!A677, Raw!$F$2:$F$500))</f>
        <v/>
      </c>
      <c r="F677" s="12" t="str">
        <f t="array" ref="F677">IF(A677="", "", IF(COUNTIF(Raw!$H$1:$I$500, A677) &gt; 0, "Done", IF(COUNTIF(Raw!$J$1:$J$500, A677) &gt; 0, "Pause", IF(COUNTIF(Raw!$K$1:$K$500, A677) &gt; 0, "On-Going", "Pause"))))</f>
        <v/>
      </c>
      <c r="G677" s="51"/>
      <c r="H677" s="50"/>
    </row>
    <row r="678" spans="1:8" x14ac:dyDescent="0.4">
      <c r="A678" s="61"/>
      <c r="B678" s="16" t="str">
        <f t="array" ref="B678">IFERROR(MIN(IF(Raw!$A$2:$A$26=MHT!A678,Raw!$B$2:$B$20)),"")</f>
        <v/>
      </c>
      <c r="C678" s="13" t="str">
        <f t="array" ref="C678">IFERROR(MIN(IF(Raw!$A$2:$A$26=MHT!A678,Raw!$C$2:$C$20)),"")</f>
        <v/>
      </c>
      <c r="D678" s="14" t="str">
        <f t="array" ref="D678">IF(Raw!D671="","",IFERROR(MAX(IF(Raw!$A$2:$A$26=MHT!A678,Raw!$D$2:$D$20)),""))</f>
        <v/>
      </c>
      <c r="E678" s="6" t="str">
        <f>IF(SUMIF(Raw!$A$2:$A$500, MHT!A678, Raw!$F$2:$F$500) = TIME(0,0,0), "", SUMIF(Raw!$A$2:$A$500, MHT!A678, Raw!$F$2:$F$500))</f>
        <v/>
      </c>
      <c r="F678" s="12" t="str">
        <f t="array" ref="F678">IF(A678="", "", IF(COUNTIF(Raw!$H$1:$I$500, A678) &gt; 0, "Done", IF(COUNTIF(Raw!$J$1:$J$500, A678) &gt; 0, "Pause", IF(COUNTIF(Raw!$K$1:$K$500, A678) &gt; 0, "On-Going", "Pause"))))</f>
        <v/>
      </c>
      <c r="G678" s="51"/>
      <c r="H678" s="50"/>
    </row>
    <row r="679" spans="1:8" x14ac:dyDescent="0.4">
      <c r="A679" s="61"/>
      <c r="B679" s="16" t="str">
        <f t="array" ref="B679">IFERROR(MIN(IF(Raw!$A$2:$A$26=MHT!A679,Raw!$B$2:$B$20)),"")</f>
        <v/>
      </c>
      <c r="C679" s="13" t="str">
        <f t="array" ref="C679">IFERROR(MIN(IF(Raw!$A$2:$A$26=MHT!A679,Raw!$C$2:$C$20)),"")</f>
        <v/>
      </c>
      <c r="D679" s="14" t="str">
        <f t="array" ref="D679">IF(Raw!D672="","",IFERROR(MAX(IF(Raw!$A$2:$A$26=MHT!A679,Raw!$D$2:$D$20)),""))</f>
        <v/>
      </c>
      <c r="E679" s="6" t="str">
        <f>IF(SUMIF(Raw!$A$2:$A$500, MHT!A679, Raw!$F$2:$F$500) = TIME(0,0,0), "", SUMIF(Raw!$A$2:$A$500, MHT!A679, Raw!$F$2:$F$500))</f>
        <v/>
      </c>
      <c r="F679" s="12" t="str">
        <f t="array" ref="F679">IF(A679="", "", IF(COUNTIF(Raw!$H$1:$I$500, A679) &gt; 0, "Done", IF(COUNTIF(Raw!$J$1:$J$500, A679) &gt; 0, "Pause", IF(COUNTIF(Raw!$K$1:$K$500, A679) &gt; 0, "On-Going", "Pause"))))</f>
        <v/>
      </c>
      <c r="G679" s="51"/>
      <c r="H679" s="50"/>
    </row>
    <row r="680" spans="1:8" x14ac:dyDescent="0.4">
      <c r="A680" s="61"/>
      <c r="B680" s="16" t="str">
        <f t="array" ref="B680">IFERROR(MIN(IF(Raw!$A$2:$A$26=MHT!A680,Raw!$B$2:$B$20)),"")</f>
        <v/>
      </c>
      <c r="C680" s="13" t="str">
        <f t="array" ref="C680">IFERROR(MIN(IF(Raw!$A$2:$A$26=MHT!A680,Raw!$C$2:$C$20)),"")</f>
        <v/>
      </c>
      <c r="D680" s="14" t="str">
        <f t="array" ref="D680">IF(Raw!D673="","",IFERROR(MAX(IF(Raw!$A$2:$A$26=MHT!A680,Raw!$D$2:$D$20)),""))</f>
        <v/>
      </c>
      <c r="E680" s="6" t="str">
        <f>IF(SUMIF(Raw!$A$2:$A$500, MHT!A680, Raw!$F$2:$F$500) = TIME(0,0,0), "", SUMIF(Raw!$A$2:$A$500, MHT!A680, Raw!$F$2:$F$500))</f>
        <v/>
      </c>
      <c r="F680" s="12" t="str">
        <f t="array" ref="F680">IF(A680="", "", IF(COUNTIF(Raw!$H$1:$I$500, A680) &gt; 0, "Done", IF(COUNTIF(Raw!$J$1:$J$500, A680) &gt; 0, "Pause", IF(COUNTIF(Raw!$K$1:$K$500, A680) &gt; 0, "On-Going", "Pause"))))</f>
        <v/>
      </c>
      <c r="G680" s="51"/>
      <c r="H680" s="50"/>
    </row>
    <row r="681" spans="1:8" x14ac:dyDescent="0.4">
      <c r="A681" s="61"/>
      <c r="B681" s="16" t="str">
        <f t="array" ref="B681">IFERROR(MIN(IF(Raw!$A$2:$A$26=MHT!A681,Raw!$B$2:$B$20)),"")</f>
        <v/>
      </c>
      <c r="C681" s="13" t="str">
        <f t="array" ref="C681">IFERROR(MIN(IF(Raw!$A$2:$A$26=MHT!A681,Raw!$C$2:$C$20)),"")</f>
        <v/>
      </c>
      <c r="D681" s="14" t="str">
        <f t="array" ref="D681">IF(Raw!D674="","",IFERROR(MAX(IF(Raw!$A$2:$A$26=MHT!A681,Raw!$D$2:$D$20)),""))</f>
        <v/>
      </c>
      <c r="E681" s="6" t="str">
        <f>IF(SUMIF(Raw!$A$2:$A$500, MHT!A681, Raw!$F$2:$F$500) = TIME(0,0,0), "", SUMIF(Raw!$A$2:$A$500, MHT!A681, Raw!$F$2:$F$500))</f>
        <v/>
      </c>
      <c r="F681" s="12" t="str">
        <f t="array" ref="F681">IF(A681="", "", IF(COUNTIF(Raw!$H$1:$I$500, A681) &gt; 0, "Done", IF(COUNTIF(Raw!$J$1:$J$500, A681) &gt; 0, "Pause", IF(COUNTIF(Raw!$K$1:$K$500, A681) &gt; 0, "On-Going", "Pause"))))</f>
        <v/>
      </c>
      <c r="G681" s="51"/>
      <c r="H681" s="50"/>
    </row>
    <row r="682" spans="1:8" x14ac:dyDescent="0.4">
      <c r="A682" s="61"/>
      <c r="B682" s="16" t="str">
        <f t="array" ref="B682">IFERROR(MIN(IF(Raw!$A$2:$A$26=MHT!A682,Raw!$B$2:$B$20)),"")</f>
        <v/>
      </c>
      <c r="C682" s="13" t="str">
        <f t="array" ref="C682">IFERROR(MIN(IF(Raw!$A$2:$A$26=MHT!A682,Raw!$C$2:$C$20)),"")</f>
        <v/>
      </c>
      <c r="D682" s="14" t="str">
        <f t="array" ref="D682">IF(Raw!D675="","",IFERROR(MAX(IF(Raw!$A$2:$A$26=MHT!A682,Raw!$D$2:$D$20)),""))</f>
        <v/>
      </c>
      <c r="E682" s="6" t="str">
        <f>IF(SUMIF(Raw!$A$2:$A$500, MHT!A682, Raw!$F$2:$F$500) = TIME(0,0,0), "", SUMIF(Raw!$A$2:$A$500, MHT!A682, Raw!$F$2:$F$500))</f>
        <v/>
      </c>
      <c r="F682" s="12" t="str">
        <f t="array" ref="F682">IF(A682="", "", IF(COUNTIF(Raw!$H$1:$I$500, A682) &gt; 0, "Done", IF(COUNTIF(Raw!$J$1:$J$500, A682) &gt; 0, "Pause", IF(COUNTIF(Raw!$K$1:$K$500, A682) &gt; 0, "On-Going", "Pause"))))</f>
        <v/>
      </c>
      <c r="G682" s="51"/>
      <c r="H682" s="50"/>
    </row>
    <row r="683" spans="1:8" x14ac:dyDescent="0.4">
      <c r="A683" s="61"/>
      <c r="B683" s="16" t="str">
        <f t="array" ref="B683">IFERROR(MIN(IF(Raw!$A$2:$A$26=MHT!A683,Raw!$B$2:$B$20)),"")</f>
        <v/>
      </c>
      <c r="C683" s="13" t="str">
        <f t="array" ref="C683">IFERROR(MIN(IF(Raw!$A$2:$A$26=MHT!A683,Raw!$C$2:$C$20)),"")</f>
        <v/>
      </c>
      <c r="D683" s="14" t="str">
        <f t="array" ref="D683">IF(Raw!D676="","",IFERROR(MAX(IF(Raw!$A$2:$A$26=MHT!A683,Raw!$D$2:$D$20)),""))</f>
        <v/>
      </c>
      <c r="E683" s="6" t="str">
        <f>IF(SUMIF(Raw!$A$2:$A$500, MHT!A683, Raw!$F$2:$F$500) = TIME(0,0,0), "", SUMIF(Raw!$A$2:$A$500, MHT!A683, Raw!$F$2:$F$500))</f>
        <v/>
      </c>
      <c r="F683" s="12" t="str">
        <f t="array" ref="F683">IF(A683="", "", IF(COUNTIF(Raw!$H$1:$I$500, A683) &gt; 0, "Done", IF(COUNTIF(Raw!$J$1:$J$500, A683) &gt; 0, "Pause", IF(COUNTIF(Raw!$K$1:$K$500, A683) &gt; 0, "On-Going", "Pause"))))</f>
        <v/>
      </c>
      <c r="G683" s="51"/>
      <c r="H683" s="50"/>
    </row>
    <row r="684" spans="1:8" x14ac:dyDescent="0.4">
      <c r="A684" s="61"/>
      <c r="B684" s="16" t="str">
        <f t="array" ref="B684">IFERROR(MIN(IF(Raw!$A$2:$A$26=MHT!A684,Raw!$B$2:$B$20)),"")</f>
        <v/>
      </c>
      <c r="C684" s="13" t="str">
        <f t="array" ref="C684">IFERROR(MIN(IF(Raw!$A$2:$A$26=MHT!A684,Raw!$C$2:$C$20)),"")</f>
        <v/>
      </c>
      <c r="D684" s="14" t="str">
        <f t="array" ref="D684">IF(Raw!D677="","",IFERROR(MAX(IF(Raw!$A$2:$A$26=MHT!A684,Raw!$D$2:$D$20)),""))</f>
        <v/>
      </c>
      <c r="E684" s="6" t="str">
        <f>IF(SUMIF(Raw!$A$2:$A$500, MHT!A684, Raw!$F$2:$F$500) = TIME(0,0,0), "", SUMIF(Raw!$A$2:$A$500, MHT!A684, Raw!$F$2:$F$500))</f>
        <v/>
      </c>
      <c r="F684" s="12" t="str">
        <f t="array" ref="F684">IF(A684="", "", IF(COUNTIF(Raw!$H$1:$I$500, A684) &gt; 0, "Done", IF(COUNTIF(Raw!$J$1:$J$500, A684) &gt; 0, "Pause", IF(COUNTIF(Raw!$K$1:$K$500, A684) &gt; 0, "On-Going", "Pause"))))</f>
        <v/>
      </c>
      <c r="G684" s="51"/>
      <c r="H684" s="50"/>
    </row>
    <row r="685" spans="1:8" x14ac:dyDescent="0.4">
      <c r="A685" s="61"/>
      <c r="B685" s="16" t="str">
        <f t="array" ref="B685">IFERROR(MIN(IF(Raw!$A$2:$A$26=MHT!A685,Raw!$B$2:$B$20)),"")</f>
        <v/>
      </c>
      <c r="C685" s="13" t="str">
        <f t="array" ref="C685">IFERROR(MIN(IF(Raw!$A$2:$A$26=MHT!A685,Raw!$C$2:$C$20)),"")</f>
        <v/>
      </c>
      <c r="D685" s="14" t="str">
        <f t="array" ref="D685">IF(Raw!D678="","",IFERROR(MAX(IF(Raw!$A$2:$A$26=MHT!A685,Raw!$D$2:$D$20)),""))</f>
        <v/>
      </c>
      <c r="E685" s="6" t="str">
        <f>IF(SUMIF(Raw!$A$2:$A$500, MHT!A685, Raw!$F$2:$F$500) = TIME(0,0,0), "", SUMIF(Raw!$A$2:$A$500, MHT!A685, Raw!$F$2:$F$500))</f>
        <v/>
      </c>
      <c r="F685" s="12" t="str">
        <f t="array" ref="F685">IF(A685="", "", IF(COUNTIF(Raw!$H$1:$I$500, A685) &gt; 0, "Done", IF(COUNTIF(Raw!$J$1:$J$500, A685) &gt; 0, "Pause", IF(COUNTIF(Raw!$K$1:$K$500, A685) &gt; 0, "On-Going", "Pause"))))</f>
        <v/>
      </c>
      <c r="G685" s="51"/>
      <c r="H685" s="50"/>
    </row>
    <row r="686" spans="1:8" x14ac:dyDescent="0.4">
      <c r="A686" s="61"/>
      <c r="B686" s="16" t="str">
        <f t="array" ref="B686">IFERROR(MIN(IF(Raw!$A$2:$A$26=MHT!A686,Raw!$B$2:$B$20)),"")</f>
        <v/>
      </c>
      <c r="C686" s="13" t="str">
        <f t="array" ref="C686">IFERROR(MIN(IF(Raw!$A$2:$A$26=MHT!A686,Raw!$C$2:$C$20)),"")</f>
        <v/>
      </c>
      <c r="D686" s="14" t="str">
        <f t="array" ref="D686">IF(Raw!D679="","",IFERROR(MAX(IF(Raw!$A$2:$A$26=MHT!A686,Raw!$D$2:$D$20)),""))</f>
        <v/>
      </c>
      <c r="E686" s="6" t="str">
        <f>IF(SUMIF(Raw!$A$2:$A$500, MHT!A686, Raw!$F$2:$F$500) = TIME(0,0,0), "", SUMIF(Raw!$A$2:$A$500, MHT!A686, Raw!$F$2:$F$500))</f>
        <v/>
      </c>
      <c r="F686" s="12" t="str">
        <f t="array" ref="F686">IF(A686="", "", IF(COUNTIF(Raw!$H$1:$I$500, A686) &gt; 0, "Done", IF(COUNTIF(Raw!$J$1:$J$500, A686) &gt; 0, "Pause", IF(COUNTIF(Raw!$K$1:$K$500, A686) &gt; 0, "On-Going", "Pause"))))</f>
        <v/>
      </c>
      <c r="G686" s="51"/>
      <c r="H686" s="50"/>
    </row>
    <row r="687" spans="1:8" x14ac:dyDescent="0.4">
      <c r="A687" s="61"/>
      <c r="B687" s="16" t="str">
        <f t="array" ref="B687">IFERROR(MIN(IF(Raw!$A$2:$A$26=MHT!A687,Raw!$B$2:$B$20)),"")</f>
        <v/>
      </c>
      <c r="C687" s="13" t="str">
        <f t="array" ref="C687">IFERROR(MIN(IF(Raw!$A$2:$A$26=MHT!A687,Raw!$C$2:$C$20)),"")</f>
        <v/>
      </c>
      <c r="D687" s="14" t="str">
        <f t="array" ref="D687">IF(Raw!D680="","",IFERROR(MAX(IF(Raw!$A$2:$A$26=MHT!A687,Raw!$D$2:$D$20)),""))</f>
        <v/>
      </c>
      <c r="E687" s="6" t="str">
        <f>IF(SUMIF(Raw!$A$2:$A$500, MHT!A687, Raw!$F$2:$F$500) = TIME(0,0,0), "", SUMIF(Raw!$A$2:$A$500, MHT!A687, Raw!$F$2:$F$500))</f>
        <v/>
      </c>
      <c r="F687" s="12" t="str">
        <f t="array" ref="F687">IF(A687="", "", IF(COUNTIF(Raw!$H$1:$I$500, A687) &gt; 0, "Done", IF(COUNTIF(Raw!$J$1:$J$500, A687) &gt; 0, "Pause", IF(COUNTIF(Raw!$K$1:$K$500, A687) &gt; 0, "On-Going", "Pause"))))</f>
        <v/>
      </c>
      <c r="G687" s="51"/>
      <c r="H687" s="50"/>
    </row>
    <row r="688" spans="1:8" x14ac:dyDescent="0.4">
      <c r="A688" s="61"/>
      <c r="B688" s="16" t="str">
        <f t="array" ref="B688">IFERROR(MIN(IF(Raw!$A$2:$A$26=MHT!A688,Raw!$B$2:$B$20)),"")</f>
        <v/>
      </c>
      <c r="C688" s="13" t="str">
        <f t="array" ref="C688">IFERROR(MIN(IF(Raw!$A$2:$A$26=MHT!A688,Raw!$C$2:$C$20)),"")</f>
        <v/>
      </c>
      <c r="D688" s="14" t="str">
        <f t="array" ref="D688">IF(Raw!D681="","",IFERROR(MAX(IF(Raw!$A$2:$A$26=MHT!A688,Raw!$D$2:$D$20)),""))</f>
        <v/>
      </c>
      <c r="E688" s="6" t="str">
        <f>IF(SUMIF(Raw!$A$2:$A$500, MHT!A688, Raw!$F$2:$F$500) = TIME(0,0,0), "", SUMIF(Raw!$A$2:$A$500, MHT!A688, Raw!$F$2:$F$500))</f>
        <v/>
      </c>
      <c r="F688" s="12" t="str">
        <f t="array" ref="F688">IF(A688="", "", IF(COUNTIF(Raw!$H$1:$I$500, A688) &gt; 0, "Done", IF(COUNTIF(Raw!$J$1:$J$500, A688) &gt; 0, "Pause", IF(COUNTIF(Raw!$K$1:$K$500, A688) &gt; 0, "On-Going", "Pause"))))</f>
        <v/>
      </c>
      <c r="G688" s="51"/>
      <c r="H688" s="50"/>
    </row>
    <row r="689" spans="1:8" x14ac:dyDescent="0.4">
      <c r="A689" s="61"/>
      <c r="B689" s="16" t="str">
        <f t="array" ref="B689">IFERROR(MIN(IF(Raw!$A$2:$A$26=MHT!A689,Raw!$B$2:$B$20)),"")</f>
        <v/>
      </c>
      <c r="C689" s="13" t="str">
        <f t="array" ref="C689">IFERROR(MIN(IF(Raw!$A$2:$A$26=MHT!A689,Raw!$C$2:$C$20)),"")</f>
        <v/>
      </c>
      <c r="D689" s="14" t="str">
        <f t="array" ref="D689">IF(Raw!D682="","",IFERROR(MAX(IF(Raw!$A$2:$A$26=MHT!A689,Raw!$D$2:$D$20)),""))</f>
        <v/>
      </c>
      <c r="E689" s="6" t="str">
        <f>IF(SUMIF(Raw!$A$2:$A$500, MHT!A689, Raw!$F$2:$F$500) = TIME(0,0,0), "", SUMIF(Raw!$A$2:$A$500, MHT!A689, Raw!$F$2:$F$500))</f>
        <v/>
      </c>
      <c r="F689" s="12" t="str">
        <f t="array" ref="F689">IF(A689="", "", IF(COUNTIF(Raw!$H$1:$I$500, A689) &gt; 0, "Done", IF(COUNTIF(Raw!$J$1:$J$500, A689) &gt; 0, "Pause", IF(COUNTIF(Raw!$K$1:$K$500, A689) &gt; 0, "On-Going", "Pause"))))</f>
        <v/>
      </c>
      <c r="G689" s="51"/>
      <c r="H689" s="50"/>
    </row>
    <row r="690" spans="1:8" x14ac:dyDescent="0.4">
      <c r="A690" s="61"/>
      <c r="B690" s="16" t="str">
        <f t="array" ref="B690">IFERROR(MIN(IF(Raw!$A$2:$A$26=MHT!A690,Raw!$B$2:$B$20)),"")</f>
        <v/>
      </c>
      <c r="C690" s="13" t="str">
        <f t="array" ref="C690">IFERROR(MIN(IF(Raw!$A$2:$A$26=MHT!A690,Raw!$C$2:$C$20)),"")</f>
        <v/>
      </c>
      <c r="D690" s="14" t="str">
        <f t="array" ref="D690">IF(Raw!D683="","",IFERROR(MAX(IF(Raw!$A$2:$A$26=MHT!A690,Raw!$D$2:$D$20)),""))</f>
        <v/>
      </c>
      <c r="E690" s="6" t="str">
        <f>IF(SUMIF(Raw!$A$2:$A$500, MHT!A690, Raw!$F$2:$F$500) = TIME(0,0,0), "", SUMIF(Raw!$A$2:$A$500, MHT!A690, Raw!$F$2:$F$500))</f>
        <v/>
      </c>
      <c r="F690" s="12" t="str">
        <f t="array" ref="F690">IF(A690="", "", IF(COUNTIF(Raw!$H$1:$I$500, A690) &gt; 0, "Done", IF(COUNTIF(Raw!$J$1:$J$500, A690) &gt; 0, "Pause", IF(COUNTIF(Raw!$K$1:$K$500, A690) &gt; 0, "On-Going", "Pause"))))</f>
        <v/>
      </c>
      <c r="G690" s="51"/>
      <c r="H690" s="50"/>
    </row>
    <row r="691" spans="1:8" x14ac:dyDescent="0.4">
      <c r="A691" s="61"/>
      <c r="B691" s="16" t="str">
        <f t="array" ref="B691">IFERROR(MIN(IF(Raw!$A$2:$A$26=MHT!A691,Raw!$B$2:$B$20)),"")</f>
        <v/>
      </c>
      <c r="C691" s="13" t="str">
        <f t="array" ref="C691">IFERROR(MIN(IF(Raw!$A$2:$A$26=MHT!A691,Raw!$C$2:$C$20)),"")</f>
        <v/>
      </c>
      <c r="D691" s="14" t="str">
        <f t="array" ref="D691">IF(Raw!D684="","",IFERROR(MAX(IF(Raw!$A$2:$A$26=MHT!A691,Raw!$D$2:$D$20)),""))</f>
        <v/>
      </c>
      <c r="E691" s="6" t="str">
        <f>IF(SUMIF(Raw!$A$2:$A$500, MHT!A691, Raw!$F$2:$F$500) = TIME(0,0,0), "", SUMIF(Raw!$A$2:$A$500, MHT!A691, Raw!$F$2:$F$500))</f>
        <v/>
      </c>
      <c r="F691" s="12" t="str">
        <f t="array" ref="F691">IF(A691="", "", IF(COUNTIF(Raw!$H$1:$I$500, A691) &gt; 0, "Done", IF(COUNTIF(Raw!$J$1:$J$500, A691) &gt; 0, "Pause", IF(COUNTIF(Raw!$K$1:$K$500, A691) &gt; 0, "On-Going", "Pause"))))</f>
        <v/>
      </c>
      <c r="G691" s="51"/>
      <c r="H691" s="50"/>
    </row>
    <row r="692" spans="1:8" x14ac:dyDescent="0.4">
      <c r="A692" s="61"/>
      <c r="B692" s="16" t="str">
        <f t="array" ref="B692">IFERROR(MIN(IF(Raw!$A$2:$A$26=MHT!A692,Raw!$B$2:$B$20)),"")</f>
        <v/>
      </c>
      <c r="C692" s="13" t="str">
        <f t="array" ref="C692">IFERROR(MIN(IF(Raw!$A$2:$A$26=MHT!A692,Raw!$C$2:$C$20)),"")</f>
        <v/>
      </c>
      <c r="D692" s="14" t="str">
        <f t="array" ref="D692">IF(Raw!D685="","",IFERROR(MAX(IF(Raw!$A$2:$A$26=MHT!A692,Raw!$D$2:$D$20)),""))</f>
        <v/>
      </c>
      <c r="E692" s="6" t="str">
        <f>IF(SUMIF(Raw!$A$2:$A$500, MHT!A692, Raw!$F$2:$F$500) = TIME(0,0,0), "", SUMIF(Raw!$A$2:$A$500, MHT!A692, Raw!$F$2:$F$500))</f>
        <v/>
      </c>
      <c r="F692" s="12" t="str">
        <f t="array" ref="F692">IF(A692="", "", IF(COUNTIF(Raw!$H$1:$I$500, A692) &gt; 0, "Done", IF(COUNTIF(Raw!$J$1:$J$500, A692) &gt; 0, "Pause", IF(COUNTIF(Raw!$K$1:$K$500, A692) &gt; 0, "On-Going", "Pause"))))</f>
        <v/>
      </c>
      <c r="G692" s="51"/>
      <c r="H692" s="50"/>
    </row>
    <row r="693" spans="1:8" x14ac:dyDescent="0.4">
      <c r="A693" s="61"/>
      <c r="B693" s="16" t="str">
        <f t="array" ref="B693">IFERROR(MIN(IF(Raw!$A$2:$A$26=MHT!A693,Raw!$B$2:$B$20)),"")</f>
        <v/>
      </c>
      <c r="C693" s="13" t="str">
        <f t="array" ref="C693">IFERROR(MIN(IF(Raw!$A$2:$A$26=MHT!A693,Raw!$C$2:$C$20)),"")</f>
        <v/>
      </c>
      <c r="D693" s="14" t="str">
        <f t="array" ref="D693">IF(Raw!D686="","",IFERROR(MAX(IF(Raw!$A$2:$A$26=MHT!A693,Raw!$D$2:$D$20)),""))</f>
        <v/>
      </c>
      <c r="E693" s="6" t="str">
        <f>IF(SUMIF(Raw!$A$2:$A$500, MHT!A693, Raw!$F$2:$F$500) = TIME(0,0,0), "", SUMIF(Raw!$A$2:$A$500, MHT!A693, Raw!$F$2:$F$500))</f>
        <v/>
      </c>
      <c r="F693" s="12" t="str">
        <f t="array" ref="F693">IF(A693="", "", IF(COUNTIF(Raw!$H$1:$I$500, A693) &gt; 0, "Done", IF(COUNTIF(Raw!$J$1:$J$500, A693) &gt; 0, "Pause", IF(COUNTIF(Raw!$K$1:$K$500, A693) &gt; 0, "On-Going", "Pause"))))</f>
        <v/>
      </c>
      <c r="G693" s="51"/>
      <c r="H693" s="50"/>
    </row>
    <row r="694" spans="1:8" x14ac:dyDescent="0.4">
      <c r="A694" s="61"/>
      <c r="B694" s="16" t="str">
        <f t="array" ref="B694">IFERROR(MIN(IF(Raw!$A$2:$A$26=MHT!A694,Raw!$B$2:$B$20)),"")</f>
        <v/>
      </c>
      <c r="C694" s="13" t="str">
        <f t="array" ref="C694">IFERROR(MIN(IF(Raw!$A$2:$A$26=MHT!A694,Raw!$C$2:$C$20)),"")</f>
        <v/>
      </c>
      <c r="D694" s="14" t="str">
        <f t="array" ref="D694">IF(Raw!D687="","",IFERROR(MAX(IF(Raw!$A$2:$A$26=MHT!A694,Raw!$D$2:$D$20)),""))</f>
        <v/>
      </c>
      <c r="E694" s="6" t="str">
        <f>IF(SUMIF(Raw!$A$2:$A$500, MHT!A694, Raw!$F$2:$F$500) = TIME(0,0,0), "", SUMIF(Raw!$A$2:$A$500, MHT!A694, Raw!$F$2:$F$500))</f>
        <v/>
      </c>
      <c r="F694" s="12" t="str">
        <f t="array" ref="F694">IF(A694="", "", IF(COUNTIF(Raw!$H$1:$I$500, A694) &gt; 0, "Done", IF(COUNTIF(Raw!$J$1:$J$500, A694) &gt; 0, "Pause", IF(COUNTIF(Raw!$K$1:$K$500, A694) &gt; 0, "On-Going", "Pause"))))</f>
        <v/>
      </c>
      <c r="G694" s="51"/>
      <c r="H694" s="50"/>
    </row>
    <row r="695" spans="1:8" x14ac:dyDescent="0.4">
      <c r="A695" s="61"/>
      <c r="B695" s="16" t="str">
        <f t="array" ref="B695">IFERROR(MIN(IF(Raw!$A$2:$A$26=MHT!A695,Raw!$B$2:$B$20)),"")</f>
        <v/>
      </c>
      <c r="C695" s="13" t="str">
        <f t="array" ref="C695">IFERROR(MIN(IF(Raw!$A$2:$A$26=MHT!A695,Raw!$C$2:$C$20)),"")</f>
        <v/>
      </c>
      <c r="D695" s="14" t="str">
        <f t="array" ref="D695">IF(Raw!D688="","",IFERROR(MAX(IF(Raw!$A$2:$A$26=MHT!A695,Raw!$D$2:$D$20)),""))</f>
        <v/>
      </c>
      <c r="E695" s="6" t="str">
        <f>IF(SUMIF(Raw!$A$2:$A$500, MHT!A695, Raw!$F$2:$F$500) = TIME(0,0,0), "", SUMIF(Raw!$A$2:$A$500, MHT!A695, Raw!$F$2:$F$500))</f>
        <v/>
      </c>
      <c r="F695" s="12" t="str">
        <f t="array" ref="F695">IF(A695="", "", IF(COUNTIF(Raw!$H$1:$I$500, A695) &gt; 0, "Done", IF(COUNTIF(Raw!$J$1:$J$500, A695) &gt; 0, "Pause", IF(COUNTIF(Raw!$K$1:$K$500, A695) &gt; 0, "On-Going", "Pause"))))</f>
        <v/>
      </c>
      <c r="G695" s="51"/>
      <c r="H695" s="50"/>
    </row>
    <row r="696" spans="1:8" x14ac:dyDescent="0.4">
      <c r="A696" s="61"/>
      <c r="B696" s="16" t="str">
        <f t="array" ref="B696">IFERROR(MIN(IF(Raw!$A$2:$A$26=MHT!A696,Raw!$B$2:$B$20)),"")</f>
        <v/>
      </c>
      <c r="C696" s="13" t="str">
        <f t="array" ref="C696">IFERROR(MIN(IF(Raw!$A$2:$A$26=MHT!A696,Raw!$C$2:$C$20)),"")</f>
        <v/>
      </c>
      <c r="D696" s="14" t="str">
        <f t="array" ref="D696">IF(Raw!D689="","",IFERROR(MAX(IF(Raw!$A$2:$A$26=MHT!A696,Raw!$D$2:$D$20)),""))</f>
        <v/>
      </c>
      <c r="E696" s="6" t="str">
        <f>IF(SUMIF(Raw!$A$2:$A$500, MHT!A696, Raw!$F$2:$F$500) = TIME(0,0,0), "", SUMIF(Raw!$A$2:$A$500, MHT!A696, Raw!$F$2:$F$500))</f>
        <v/>
      </c>
      <c r="F696" s="12" t="str">
        <f t="array" ref="F696">IF(A696="", "", IF(COUNTIF(Raw!$H$1:$I$500, A696) &gt; 0, "Done", IF(COUNTIF(Raw!$J$1:$J$500, A696) &gt; 0, "Pause", IF(COUNTIF(Raw!$K$1:$K$500, A696) &gt; 0, "On-Going", "Pause"))))</f>
        <v/>
      </c>
      <c r="G696" s="51"/>
      <c r="H696" s="50"/>
    </row>
    <row r="697" spans="1:8" x14ac:dyDescent="0.4">
      <c r="A697" s="61"/>
      <c r="B697" s="16" t="str">
        <f t="array" ref="B697">IFERROR(MIN(IF(Raw!$A$2:$A$26=MHT!A697,Raw!$B$2:$B$20)),"")</f>
        <v/>
      </c>
      <c r="C697" s="13" t="str">
        <f t="array" ref="C697">IFERROR(MIN(IF(Raw!$A$2:$A$26=MHT!A697,Raw!$C$2:$C$20)),"")</f>
        <v/>
      </c>
      <c r="D697" s="14" t="str">
        <f t="array" ref="D697">IF(Raw!D690="","",IFERROR(MAX(IF(Raw!$A$2:$A$26=MHT!A697,Raw!$D$2:$D$20)),""))</f>
        <v/>
      </c>
      <c r="E697" s="6" t="str">
        <f>IF(SUMIF(Raw!$A$2:$A$500, MHT!A697, Raw!$F$2:$F$500) = TIME(0,0,0), "", SUMIF(Raw!$A$2:$A$500, MHT!A697, Raw!$F$2:$F$500))</f>
        <v/>
      </c>
      <c r="F697" s="12" t="str">
        <f t="array" ref="F697">IF(A697="", "", IF(COUNTIF(Raw!$H$1:$I$500, A697) &gt; 0, "Done", IF(COUNTIF(Raw!$J$1:$J$500, A697) &gt; 0, "Pause", IF(COUNTIF(Raw!$K$1:$K$500, A697) &gt; 0, "On-Going", "Pause"))))</f>
        <v/>
      </c>
      <c r="G697" s="51"/>
      <c r="H697" s="50"/>
    </row>
    <row r="698" spans="1:8" x14ac:dyDescent="0.4">
      <c r="A698" s="61"/>
      <c r="B698" s="16" t="str">
        <f t="array" ref="B698">IFERROR(MIN(IF(Raw!$A$2:$A$26=MHT!A698,Raw!$B$2:$B$20)),"")</f>
        <v/>
      </c>
      <c r="C698" s="13" t="str">
        <f t="array" ref="C698">IFERROR(MIN(IF(Raw!$A$2:$A$26=MHT!A698,Raw!$C$2:$C$20)),"")</f>
        <v/>
      </c>
      <c r="D698" s="14" t="str">
        <f t="array" ref="D698">IF(Raw!D691="","",IFERROR(MAX(IF(Raw!$A$2:$A$26=MHT!A698,Raw!$D$2:$D$20)),""))</f>
        <v/>
      </c>
      <c r="E698" s="6" t="str">
        <f>IF(SUMIF(Raw!$A$2:$A$500, MHT!A698, Raw!$F$2:$F$500) = TIME(0,0,0), "", SUMIF(Raw!$A$2:$A$500, MHT!A698, Raw!$F$2:$F$500))</f>
        <v/>
      </c>
      <c r="F698" s="12" t="str">
        <f t="array" ref="F698">IF(A698="", "", IF(COUNTIF(Raw!$H$1:$I$500, A698) &gt; 0, "Done", IF(COUNTIF(Raw!$J$1:$J$500, A698) &gt; 0, "Pause", IF(COUNTIF(Raw!$K$1:$K$500, A698) &gt; 0, "On-Going", "Pause"))))</f>
        <v/>
      </c>
      <c r="G698" s="51"/>
      <c r="H698" s="50"/>
    </row>
    <row r="699" spans="1:8" x14ac:dyDescent="0.4">
      <c r="A699" s="61"/>
      <c r="B699" s="16" t="str">
        <f t="array" ref="B699">IFERROR(MIN(IF(Raw!$A$2:$A$26=MHT!A699,Raw!$B$2:$B$20)),"")</f>
        <v/>
      </c>
      <c r="C699" s="13" t="str">
        <f t="array" ref="C699">IFERROR(MIN(IF(Raw!$A$2:$A$26=MHT!A699,Raw!$C$2:$C$20)),"")</f>
        <v/>
      </c>
      <c r="D699" s="14" t="str">
        <f t="array" ref="D699">IF(Raw!D692="","",IFERROR(MAX(IF(Raw!$A$2:$A$26=MHT!A699,Raw!$D$2:$D$20)),""))</f>
        <v/>
      </c>
      <c r="E699" s="6" t="str">
        <f>IF(SUMIF(Raw!$A$2:$A$500, MHT!A699, Raw!$F$2:$F$500) = TIME(0,0,0), "", SUMIF(Raw!$A$2:$A$500, MHT!A699, Raw!$F$2:$F$500))</f>
        <v/>
      </c>
      <c r="F699" s="12" t="str">
        <f t="array" ref="F699">IF(A699="", "", IF(COUNTIF(Raw!$H$1:$I$500, A699) &gt; 0, "Done", IF(COUNTIF(Raw!$J$1:$J$500, A699) &gt; 0, "Pause", IF(COUNTIF(Raw!$K$1:$K$500, A699) &gt; 0, "On-Going", "Pause"))))</f>
        <v/>
      </c>
      <c r="G699" s="51"/>
      <c r="H699" s="50"/>
    </row>
    <row r="700" spans="1:8" x14ac:dyDescent="0.4">
      <c r="A700" s="61"/>
      <c r="B700" s="16" t="str">
        <f t="array" ref="B700">IFERROR(MIN(IF(Raw!$A$2:$A$26=MHT!A700,Raw!$B$2:$B$20)),"")</f>
        <v/>
      </c>
      <c r="C700" s="13" t="str">
        <f t="array" ref="C700">IFERROR(MIN(IF(Raw!$A$2:$A$26=MHT!A700,Raw!$C$2:$C$20)),"")</f>
        <v/>
      </c>
      <c r="D700" s="14" t="str">
        <f t="array" ref="D700">IF(Raw!D693="","",IFERROR(MAX(IF(Raw!$A$2:$A$26=MHT!A700,Raw!$D$2:$D$20)),""))</f>
        <v/>
      </c>
      <c r="E700" s="6" t="str">
        <f>IF(SUMIF(Raw!$A$2:$A$500, MHT!A700, Raw!$F$2:$F$500) = TIME(0,0,0), "", SUMIF(Raw!$A$2:$A$500, MHT!A700, Raw!$F$2:$F$500))</f>
        <v/>
      </c>
      <c r="F700" s="12" t="str">
        <f t="array" ref="F700">IF(A700="", "", IF(COUNTIF(Raw!$H$1:$I$500, A700) &gt; 0, "Done", IF(COUNTIF(Raw!$J$1:$J$500, A700) &gt; 0, "Pause", IF(COUNTIF(Raw!$K$1:$K$500, A700) &gt; 0, "On-Going", "Pause"))))</f>
        <v/>
      </c>
      <c r="G700" s="51"/>
      <c r="H700" s="50"/>
    </row>
    <row r="701" spans="1:8" x14ac:dyDescent="0.4">
      <c r="A701" s="61"/>
      <c r="B701" s="16" t="str">
        <f t="array" ref="B701">IFERROR(MIN(IF(Raw!$A$2:$A$26=MHT!A701,Raw!$B$2:$B$20)),"")</f>
        <v/>
      </c>
      <c r="C701" s="13" t="str">
        <f t="array" ref="C701">IFERROR(MIN(IF(Raw!$A$2:$A$26=MHT!A701,Raw!$C$2:$C$20)),"")</f>
        <v/>
      </c>
      <c r="D701" s="14" t="str">
        <f t="array" ref="D701">IF(Raw!D694="","",IFERROR(MAX(IF(Raw!$A$2:$A$26=MHT!A701,Raw!$D$2:$D$20)),""))</f>
        <v/>
      </c>
      <c r="E701" s="6" t="str">
        <f>IF(SUMIF(Raw!$A$2:$A$500, MHT!A701, Raw!$F$2:$F$500) = TIME(0,0,0), "", SUMIF(Raw!$A$2:$A$500, MHT!A701, Raw!$F$2:$F$500))</f>
        <v/>
      </c>
      <c r="F701" s="12" t="str">
        <f t="array" ref="F701">IF(A701="", "", IF(COUNTIF(Raw!$H$1:$I$500, A701) &gt; 0, "Done", IF(COUNTIF(Raw!$J$1:$J$500, A701) &gt; 0, "Pause", IF(COUNTIF(Raw!$K$1:$K$500, A701) &gt; 0, "On-Going", "Pause"))))</f>
        <v/>
      </c>
      <c r="G701" s="51"/>
      <c r="H701" s="50"/>
    </row>
    <row r="702" spans="1:8" x14ac:dyDescent="0.4">
      <c r="A702" s="61"/>
      <c r="B702" s="16" t="str">
        <f t="array" ref="B702">IFERROR(MIN(IF(Raw!$A$2:$A$26=MHT!A702,Raw!$B$2:$B$20)),"")</f>
        <v/>
      </c>
      <c r="C702" s="13" t="str">
        <f t="array" ref="C702">IFERROR(MIN(IF(Raw!$A$2:$A$26=MHT!A702,Raw!$C$2:$C$20)),"")</f>
        <v/>
      </c>
      <c r="D702" s="14" t="str">
        <f t="array" ref="D702">IF(Raw!D695="","",IFERROR(MAX(IF(Raw!$A$2:$A$26=MHT!A702,Raw!$D$2:$D$20)),""))</f>
        <v/>
      </c>
      <c r="E702" s="6" t="str">
        <f>IF(SUMIF(Raw!$A$2:$A$500, MHT!A702, Raw!$F$2:$F$500) = TIME(0,0,0), "", SUMIF(Raw!$A$2:$A$500, MHT!A702, Raw!$F$2:$F$500))</f>
        <v/>
      </c>
      <c r="F702" s="12" t="str">
        <f t="array" ref="F702">IF(A702="", "", IF(COUNTIF(Raw!$H$1:$I$500, A702) &gt; 0, "Done", IF(COUNTIF(Raw!$J$1:$J$500, A702) &gt; 0, "Pause", IF(COUNTIF(Raw!$K$1:$K$500, A702) &gt; 0, "On-Going", "Pause"))))</f>
        <v/>
      </c>
      <c r="G702" s="51"/>
      <c r="H702" s="50"/>
    </row>
    <row r="703" spans="1:8" x14ac:dyDescent="0.4">
      <c r="A703" s="61"/>
      <c r="B703" s="16" t="str">
        <f t="array" ref="B703">IFERROR(MIN(IF(Raw!$A$2:$A$26=MHT!A703,Raw!$B$2:$B$20)),"")</f>
        <v/>
      </c>
      <c r="C703" s="13" t="str">
        <f t="array" ref="C703">IFERROR(MIN(IF(Raw!$A$2:$A$26=MHT!A703,Raw!$C$2:$C$20)),"")</f>
        <v/>
      </c>
      <c r="D703" s="14" t="str">
        <f t="array" ref="D703">IF(Raw!D696="","",IFERROR(MAX(IF(Raw!$A$2:$A$26=MHT!A703,Raw!$D$2:$D$20)),""))</f>
        <v/>
      </c>
      <c r="E703" s="6" t="str">
        <f>IF(SUMIF(Raw!$A$2:$A$500, MHT!A703, Raw!$F$2:$F$500) = TIME(0,0,0), "", SUMIF(Raw!$A$2:$A$500, MHT!A703, Raw!$F$2:$F$500))</f>
        <v/>
      </c>
      <c r="F703" s="12" t="str">
        <f t="array" ref="F703">IF(A703="", "", IF(COUNTIF(Raw!$H$1:$I$500, A703) &gt; 0, "Done", IF(COUNTIF(Raw!$J$1:$J$500, A703) &gt; 0, "Pause", IF(COUNTIF(Raw!$K$1:$K$500, A703) &gt; 0, "On-Going", "Pause"))))</f>
        <v/>
      </c>
      <c r="G703" s="51"/>
      <c r="H703" s="50"/>
    </row>
    <row r="704" spans="1:8" x14ac:dyDescent="0.4">
      <c r="A704" s="61"/>
      <c r="B704" s="16" t="str">
        <f t="array" ref="B704">IFERROR(MIN(IF(Raw!$A$2:$A$26=MHT!A704,Raw!$B$2:$B$20)),"")</f>
        <v/>
      </c>
      <c r="C704" s="13" t="str">
        <f t="array" ref="C704">IFERROR(MIN(IF(Raw!$A$2:$A$26=MHT!A704,Raw!$C$2:$C$20)),"")</f>
        <v/>
      </c>
      <c r="D704" s="14" t="str">
        <f t="array" ref="D704">IF(Raw!D697="","",IFERROR(MAX(IF(Raw!$A$2:$A$26=MHT!A704,Raw!$D$2:$D$20)),""))</f>
        <v/>
      </c>
      <c r="E704" s="6" t="str">
        <f>IF(SUMIF(Raw!$A$2:$A$500, MHT!A704, Raw!$F$2:$F$500) = TIME(0,0,0), "", SUMIF(Raw!$A$2:$A$500, MHT!A704, Raw!$F$2:$F$500))</f>
        <v/>
      </c>
      <c r="F704" s="12" t="str">
        <f t="array" ref="F704">IF(A704="", "", IF(COUNTIF(Raw!$H$1:$I$500, A704) &gt; 0, "Done", IF(COUNTIF(Raw!$J$1:$J$500, A704) &gt; 0, "Pause", IF(COUNTIF(Raw!$K$1:$K$500, A704) &gt; 0, "On-Going", "Pause"))))</f>
        <v/>
      </c>
      <c r="G704" s="51"/>
      <c r="H704" s="50"/>
    </row>
    <row r="705" spans="1:8" x14ac:dyDescent="0.4">
      <c r="A705" s="61"/>
      <c r="B705" s="16" t="str">
        <f t="array" ref="B705">IFERROR(MIN(IF(Raw!$A$2:$A$26=MHT!A705,Raw!$B$2:$B$20)),"")</f>
        <v/>
      </c>
      <c r="C705" s="13" t="str">
        <f t="array" ref="C705">IFERROR(MIN(IF(Raw!$A$2:$A$26=MHT!A705,Raw!$C$2:$C$20)),"")</f>
        <v/>
      </c>
      <c r="D705" s="14" t="str">
        <f t="array" ref="D705">IF(Raw!D698="","",IFERROR(MAX(IF(Raw!$A$2:$A$26=MHT!A705,Raw!$D$2:$D$20)),""))</f>
        <v/>
      </c>
      <c r="E705" s="6" t="str">
        <f>IF(SUMIF(Raw!$A$2:$A$500, MHT!A705, Raw!$F$2:$F$500) = TIME(0,0,0), "", SUMIF(Raw!$A$2:$A$500, MHT!A705, Raw!$F$2:$F$500))</f>
        <v/>
      </c>
      <c r="F705" s="12" t="str">
        <f t="array" ref="F705">IF(A705="", "", IF(COUNTIF(Raw!$H$1:$I$500, A705) &gt; 0, "Done", IF(COUNTIF(Raw!$J$1:$J$500, A705) &gt; 0, "Pause", IF(COUNTIF(Raw!$K$1:$K$500, A705) &gt; 0, "On-Going", "Pause"))))</f>
        <v/>
      </c>
      <c r="G705" s="51"/>
      <c r="H705" s="50"/>
    </row>
    <row r="706" spans="1:8" x14ac:dyDescent="0.4">
      <c r="A706" s="61"/>
      <c r="B706" s="16" t="str">
        <f t="array" ref="B706">IFERROR(MIN(IF(Raw!$A$2:$A$26=MHT!A706,Raw!$B$2:$B$20)),"")</f>
        <v/>
      </c>
      <c r="C706" s="13" t="str">
        <f t="array" ref="C706">IFERROR(MIN(IF(Raw!$A$2:$A$26=MHT!A706,Raw!$C$2:$C$20)),"")</f>
        <v/>
      </c>
      <c r="D706" s="14" t="str">
        <f t="array" ref="D706">IF(Raw!D699="","",IFERROR(MAX(IF(Raw!$A$2:$A$26=MHT!A706,Raw!$D$2:$D$20)),""))</f>
        <v/>
      </c>
      <c r="E706" s="6" t="str">
        <f>IF(SUMIF(Raw!$A$2:$A$500, MHT!A706, Raw!$F$2:$F$500) = TIME(0,0,0), "", SUMIF(Raw!$A$2:$A$500, MHT!A706, Raw!$F$2:$F$500))</f>
        <v/>
      </c>
      <c r="F706" s="12" t="str">
        <f t="array" ref="F706">IF(A706="", "", IF(COUNTIF(Raw!$H$1:$I$500, A706) &gt; 0, "Done", IF(COUNTIF(Raw!$J$1:$J$500, A706) &gt; 0, "Pause", IF(COUNTIF(Raw!$K$1:$K$500, A706) &gt; 0, "On-Going", "Pause"))))</f>
        <v/>
      </c>
      <c r="G706" s="51"/>
      <c r="H706" s="50"/>
    </row>
    <row r="707" spans="1:8" x14ac:dyDescent="0.4">
      <c r="A707" s="61"/>
      <c r="B707" s="16" t="str">
        <f t="array" ref="B707">IFERROR(MIN(IF(Raw!$A$2:$A$26=MHT!A707,Raw!$B$2:$B$20)),"")</f>
        <v/>
      </c>
      <c r="C707" s="13" t="str">
        <f t="array" ref="C707">IFERROR(MIN(IF(Raw!$A$2:$A$26=MHT!A707,Raw!$C$2:$C$20)),"")</f>
        <v/>
      </c>
      <c r="D707" s="14" t="str">
        <f t="array" ref="D707">IF(Raw!D700="","",IFERROR(MAX(IF(Raw!$A$2:$A$26=MHT!A707,Raw!$D$2:$D$20)),""))</f>
        <v/>
      </c>
      <c r="E707" s="6" t="str">
        <f>IF(SUMIF(Raw!$A$2:$A$500, MHT!A707, Raw!$F$2:$F$500) = TIME(0,0,0), "", SUMIF(Raw!$A$2:$A$500, MHT!A707, Raw!$F$2:$F$500))</f>
        <v/>
      </c>
      <c r="F707" s="12" t="str">
        <f t="array" ref="F707">IF(A707="", "", IF(COUNTIF(Raw!$H$1:$I$500, A707) &gt; 0, "Done", IF(COUNTIF(Raw!$J$1:$J$500, A707) &gt; 0, "Pause", IF(COUNTIF(Raw!$K$1:$K$500, A707) &gt; 0, "On-Going", "Pause"))))</f>
        <v/>
      </c>
      <c r="G707" s="51"/>
      <c r="H707" s="50"/>
    </row>
    <row r="708" spans="1:8" x14ac:dyDescent="0.4">
      <c r="A708" s="61"/>
      <c r="B708" s="16" t="str">
        <f t="array" ref="B708">IFERROR(MIN(IF(Raw!$A$2:$A$26=MHT!A708,Raw!$B$2:$B$20)),"")</f>
        <v/>
      </c>
      <c r="C708" s="13" t="str">
        <f t="array" ref="C708">IFERROR(MIN(IF(Raw!$A$2:$A$26=MHT!A708,Raw!$C$2:$C$20)),"")</f>
        <v/>
      </c>
      <c r="D708" s="14" t="str">
        <f t="array" ref="D708">IF(Raw!D701="","",IFERROR(MAX(IF(Raw!$A$2:$A$26=MHT!A708,Raw!$D$2:$D$20)),""))</f>
        <v/>
      </c>
      <c r="E708" s="6" t="str">
        <f>IF(SUMIF(Raw!$A$2:$A$500, MHT!A708, Raw!$F$2:$F$500) = TIME(0,0,0), "", SUMIF(Raw!$A$2:$A$500, MHT!A708, Raw!$F$2:$F$500))</f>
        <v/>
      </c>
      <c r="F708" s="12" t="str">
        <f t="array" ref="F708">IF(A708="", "", IF(COUNTIF(Raw!$H$1:$I$500, A708) &gt; 0, "Done", IF(COUNTIF(Raw!$J$1:$J$500, A708) &gt; 0, "Pause", IF(COUNTIF(Raw!$K$1:$K$500, A708) &gt; 0, "On-Going", "Pause"))))</f>
        <v/>
      </c>
      <c r="G708" s="51"/>
      <c r="H708" s="50"/>
    </row>
    <row r="709" spans="1:8" x14ac:dyDescent="0.4">
      <c r="A709" s="61"/>
      <c r="B709" s="16" t="str">
        <f t="array" ref="B709">IFERROR(MIN(IF(Raw!$A$2:$A$26=MHT!A709,Raw!$B$2:$B$20)),"")</f>
        <v/>
      </c>
      <c r="C709" s="13" t="str">
        <f t="array" ref="C709">IFERROR(MIN(IF(Raw!$A$2:$A$26=MHT!A709,Raw!$C$2:$C$20)),"")</f>
        <v/>
      </c>
      <c r="D709" s="14" t="str">
        <f t="array" ref="D709">IF(Raw!D702="","",IFERROR(MAX(IF(Raw!$A$2:$A$26=MHT!A709,Raw!$D$2:$D$20)),""))</f>
        <v/>
      </c>
      <c r="E709" s="6" t="str">
        <f>IF(SUMIF(Raw!$A$2:$A$500, MHT!A709, Raw!$F$2:$F$500) = TIME(0,0,0), "", SUMIF(Raw!$A$2:$A$500, MHT!A709, Raw!$F$2:$F$500))</f>
        <v/>
      </c>
      <c r="F709" s="12" t="str">
        <f t="array" ref="F709">IF(A709="", "", IF(COUNTIF(Raw!$H$1:$I$500, A709) &gt; 0, "Done", IF(COUNTIF(Raw!$J$1:$J$500, A709) &gt; 0, "Pause", IF(COUNTIF(Raw!$K$1:$K$500, A709) &gt; 0, "On-Going", "Pause"))))</f>
        <v/>
      </c>
      <c r="G709" s="51"/>
      <c r="H709" s="50"/>
    </row>
    <row r="710" spans="1:8" x14ac:dyDescent="0.4">
      <c r="A710" s="61"/>
      <c r="B710" s="16" t="str">
        <f t="array" ref="B710">IFERROR(MIN(IF(Raw!$A$2:$A$26=MHT!A710,Raw!$B$2:$B$20)),"")</f>
        <v/>
      </c>
      <c r="C710" s="13" t="str">
        <f t="array" ref="C710">IFERROR(MIN(IF(Raw!$A$2:$A$26=MHT!A710,Raw!$C$2:$C$20)),"")</f>
        <v/>
      </c>
      <c r="D710" s="14" t="str">
        <f t="array" ref="D710">IF(Raw!D703="","",IFERROR(MAX(IF(Raw!$A$2:$A$26=MHT!A710,Raw!$D$2:$D$20)),""))</f>
        <v/>
      </c>
      <c r="E710" s="6" t="str">
        <f>IF(SUMIF(Raw!$A$2:$A$500, MHT!A710, Raw!$F$2:$F$500) = TIME(0,0,0), "", SUMIF(Raw!$A$2:$A$500, MHT!A710, Raw!$F$2:$F$500))</f>
        <v/>
      </c>
      <c r="F710" s="12" t="str">
        <f t="array" ref="F710">IF(A710="", "", IF(COUNTIF(Raw!$H$1:$I$500, A710) &gt; 0, "Done", IF(COUNTIF(Raw!$J$1:$J$500, A710) &gt; 0, "Pause", IF(COUNTIF(Raw!$K$1:$K$500, A710) &gt; 0, "On-Going", "Pause"))))</f>
        <v/>
      </c>
      <c r="G710" s="51"/>
      <c r="H710" s="50"/>
    </row>
    <row r="711" spans="1:8" x14ac:dyDescent="0.4">
      <c r="A711" s="61"/>
      <c r="B711" s="16" t="str">
        <f t="array" ref="B711">IFERROR(MIN(IF(Raw!$A$2:$A$26=MHT!A711,Raw!$B$2:$B$20)),"")</f>
        <v/>
      </c>
      <c r="C711" s="13" t="str">
        <f t="array" ref="C711">IFERROR(MIN(IF(Raw!$A$2:$A$26=MHT!A711,Raw!$C$2:$C$20)),"")</f>
        <v/>
      </c>
      <c r="D711" s="14" t="str">
        <f t="array" ref="D711">IF(Raw!D704="","",IFERROR(MAX(IF(Raw!$A$2:$A$26=MHT!A711,Raw!$D$2:$D$20)),""))</f>
        <v/>
      </c>
      <c r="E711" s="6" t="str">
        <f>IF(SUMIF(Raw!$A$2:$A$500, MHT!A711, Raw!$F$2:$F$500) = TIME(0,0,0), "", SUMIF(Raw!$A$2:$A$500, MHT!A711, Raw!$F$2:$F$500))</f>
        <v/>
      </c>
      <c r="F711" s="12" t="str">
        <f t="array" ref="F711">IF(A711="", "", IF(COUNTIF(Raw!$H$1:$I$500, A711) &gt; 0, "Done", IF(COUNTIF(Raw!$J$1:$J$500, A711) &gt; 0, "Pause", IF(COUNTIF(Raw!$K$1:$K$500, A711) &gt; 0, "On-Going", "Pause"))))</f>
        <v/>
      </c>
      <c r="G711" s="51"/>
      <c r="H711" s="50"/>
    </row>
    <row r="712" spans="1:8" x14ac:dyDescent="0.4">
      <c r="A712" s="61"/>
      <c r="B712" s="16" t="str">
        <f t="array" ref="B712">IFERROR(MIN(IF(Raw!$A$2:$A$26=MHT!A712,Raw!$B$2:$B$20)),"")</f>
        <v/>
      </c>
      <c r="C712" s="13" t="str">
        <f t="array" ref="C712">IFERROR(MIN(IF(Raw!$A$2:$A$26=MHT!A712,Raw!$C$2:$C$20)),"")</f>
        <v/>
      </c>
      <c r="D712" s="14" t="str">
        <f t="array" ref="D712">IF(Raw!D705="","",IFERROR(MAX(IF(Raw!$A$2:$A$26=MHT!A712,Raw!$D$2:$D$20)),""))</f>
        <v/>
      </c>
      <c r="E712" s="6" t="str">
        <f>IF(SUMIF(Raw!$A$2:$A$500, MHT!A712, Raw!$F$2:$F$500) = TIME(0,0,0), "", SUMIF(Raw!$A$2:$A$500, MHT!A712, Raw!$F$2:$F$500))</f>
        <v/>
      </c>
      <c r="F712" s="12" t="str">
        <f t="array" ref="F712">IF(A712="", "", IF(COUNTIF(Raw!$H$1:$I$500, A712) &gt; 0, "Done", IF(COUNTIF(Raw!$J$1:$J$500, A712) &gt; 0, "Pause", IF(COUNTIF(Raw!$K$1:$K$500, A712) &gt; 0, "On-Going", "Pause"))))</f>
        <v/>
      </c>
      <c r="G712" s="51"/>
      <c r="H712" s="50"/>
    </row>
    <row r="713" spans="1:8" x14ac:dyDescent="0.4">
      <c r="A713" s="61"/>
      <c r="B713" s="16" t="str">
        <f t="array" ref="B713">IFERROR(MIN(IF(Raw!$A$2:$A$26=MHT!A713,Raw!$B$2:$B$20)),"")</f>
        <v/>
      </c>
      <c r="C713" s="13" t="str">
        <f t="array" ref="C713">IFERROR(MIN(IF(Raw!$A$2:$A$26=MHT!A713,Raw!$C$2:$C$20)),"")</f>
        <v/>
      </c>
      <c r="D713" s="14" t="str">
        <f t="array" ref="D713">IF(Raw!D706="","",IFERROR(MAX(IF(Raw!$A$2:$A$26=MHT!A713,Raw!$D$2:$D$20)),""))</f>
        <v/>
      </c>
      <c r="E713" s="6" t="str">
        <f>IF(SUMIF(Raw!$A$2:$A$500, MHT!A713, Raw!$F$2:$F$500) = TIME(0,0,0), "", SUMIF(Raw!$A$2:$A$500, MHT!A713, Raw!$F$2:$F$500))</f>
        <v/>
      </c>
      <c r="F713" s="12" t="str">
        <f t="array" ref="F713">IF(A713="", "", IF(COUNTIF(Raw!$H$1:$I$500, A713) &gt; 0, "Done", IF(COUNTIF(Raw!$J$1:$J$500, A713) &gt; 0, "Pause", IF(COUNTIF(Raw!$K$1:$K$500, A713) &gt; 0, "On-Going", "Pause"))))</f>
        <v/>
      </c>
      <c r="G713" s="51"/>
      <c r="H713" s="50"/>
    </row>
    <row r="714" spans="1:8" x14ac:dyDescent="0.4">
      <c r="A714" s="61"/>
      <c r="B714" s="16" t="str">
        <f t="array" ref="B714">IFERROR(MIN(IF(Raw!$A$2:$A$26=MHT!A714,Raw!$B$2:$B$20)),"")</f>
        <v/>
      </c>
      <c r="C714" s="13" t="str">
        <f t="array" ref="C714">IFERROR(MIN(IF(Raw!$A$2:$A$26=MHT!A714,Raw!$C$2:$C$20)),"")</f>
        <v/>
      </c>
      <c r="D714" s="14" t="str">
        <f t="array" ref="D714">IF(Raw!D707="","",IFERROR(MAX(IF(Raw!$A$2:$A$26=MHT!A714,Raw!$D$2:$D$20)),""))</f>
        <v/>
      </c>
      <c r="E714" s="6" t="str">
        <f>IF(SUMIF(Raw!$A$2:$A$500, MHT!A714, Raw!$F$2:$F$500) = TIME(0,0,0), "", SUMIF(Raw!$A$2:$A$500, MHT!A714, Raw!$F$2:$F$500))</f>
        <v/>
      </c>
      <c r="F714" s="12" t="str">
        <f t="array" ref="F714">IF(A714="", "", IF(COUNTIF(Raw!$H$1:$I$500, A714) &gt; 0, "Done", IF(COUNTIF(Raw!$J$1:$J$500, A714) &gt; 0, "Pause", IF(COUNTIF(Raw!$K$1:$K$500, A714) &gt; 0, "On-Going", "Pause"))))</f>
        <v/>
      </c>
      <c r="G714" s="51"/>
      <c r="H714" s="50"/>
    </row>
    <row r="715" spans="1:8" x14ac:dyDescent="0.4">
      <c r="A715" s="61"/>
      <c r="B715" s="16" t="str">
        <f t="array" ref="B715">IFERROR(MIN(IF(Raw!$A$2:$A$26=MHT!A715,Raw!$B$2:$B$20)),"")</f>
        <v/>
      </c>
      <c r="C715" s="13" t="str">
        <f t="array" ref="C715">IFERROR(MIN(IF(Raw!$A$2:$A$26=MHT!A715,Raw!$C$2:$C$20)),"")</f>
        <v/>
      </c>
      <c r="D715" s="14" t="str">
        <f t="array" ref="D715">IF(Raw!D708="","",IFERROR(MAX(IF(Raw!$A$2:$A$26=MHT!A715,Raw!$D$2:$D$20)),""))</f>
        <v/>
      </c>
      <c r="E715" s="6" t="str">
        <f>IF(SUMIF(Raw!$A$2:$A$500, MHT!A715, Raw!$F$2:$F$500) = TIME(0,0,0), "", SUMIF(Raw!$A$2:$A$500, MHT!A715, Raw!$F$2:$F$500))</f>
        <v/>
      </c>
      <c r="F715" s="12" t="str">
        <f t="array" ref="F715">IF(A715="", "", IF(COUNTIF(Raw!$H$1:$I$500, A715) &gt; 0, "Done", IF(COUNTIF(Raw!$J$1:$J$500, A715) &gt; 0, "Pause", IF(COUNTIF(Raw!$K$1:$K$500, A715) &gt; 0, "On-Going", "Pause"))))</f>
        <v/>
      </c>
      <c r="G715" s="51"/>
      <c r="H715" s="50"/>
    </row>
    <row r="716" spans="1:8" x14ac:dyDescent="0.4">
      <c r="A716" s="61"/>
      <c r="B716" s="16" t="str">
        <f t="array" ref="B716">IFERROR(MIN(IF(Raw!$A$2:$A$26=MHT!A716,Raw!$B$2:$B$20)),"")</f>
        <v/>
      </c>
      <c r="C716" s="13" t="str">
        <f t="array" ref="C716">IFERROR(MIN(IF(Raw!$A$2:$A$26=MHT!A716,Raw!$C$2:$C$20)),"")</f>
        <v/>
      </c>
      <c r="D716" s="14" t="str">
        <f t="array" ref="D716">IF(Raw!D709="","",IFERROR(MAX(IF(Raw!$A$2:$A$26=MHT!A716,Raw!$D$2:$D$20)),""))</f>
        <v/>
      </c>
      <c r="E716" s="6" t="str">
        <f>IF(SUMIF(Raw!$A$2:$A$500, MHT!A716, Raw!$F$2:$F$500) = TIME(0,0,0), "", SUMIF(Raw!$A$2:$A$500, MHT!A716, Raw!$F$2:$F$500))</f>
        <v/>
      </c>
      <c r="F716" s="12" t="str">
        <f t="array" ref="F716">IF(A716="", "", IF(COUNTIF(Raw!$H$1:$I$500, A716) &gt; 0, "Done", IF(COUNTIF(Raw!$J$1:$J$500, A716) &gt; 0, "Pause", IF(COUNTIF(Raw!$K$1:$K$500, A716) &gt; 0, "On-Going", "Pause"))))</f>
        <v/>
      </c>
      <c r="G716" s="51"/>
      <c r="H716" s="50"/>
    </row>
    <row r="717" spans="1:8" x14ac:dyDescent="0.4">
      <c r="A717" s="61"/>
      <c r="B717" s="16" t="str">
        <f t="array" ref="B717">IFERROR(MIN(IF(Raw!$A$2:$A$26=MHT!A717,Raw!$B$2:$B$20)),"")</f>
        <v/>
      </c>
      <c r="C717" s="13" t="str">
        <f t="array" ref="C717">IFERROR(MIN(IF(Raw!$A$2:$A$26=MHT!A717,Raw!$C$2:$C$20)),"")</f>
        <v/>
      </c>
      <c r="D717" s="14" t="str">
        <f t="array" ref="D717">IF(Raw!D710="","",IFERROR(MAX(IF(Raw!$A$2:$A$26=MHT!A717,Raw!$D$2:$D$20)),""))</f>
        <v/>
      </c>
      <c r="E717" s="6" t="str">
        <f>IF(SUMIF(Raw!$A$2:$A$500, MHT!A717, Raw!$F$2:$F$500) = TIME(0,0,0), "", SUMIF(Raw!$A$2:$A$500, MHT!A717, Raw!$F$2:$F$500))</f>
        <v/>
      </c>
      <c r="F717" s="12" t="str">
        <f t="array" ref="F717">IF(A717="", "", IF(COUNTIF(Raw!$H$1:$I$500, A717) &gt; 0, "Done", IF(COUNTIF(Raw!$J$1:$J$500, A717) &gt; 0, "Pause", IF(COUNTIF(Raw!$K$1:$K$500, A717) &gt; 0, "On-Going", "Pause"))))</f>
        <v/>
      </c>
      <c r="G717" s="51"/>
      <c r="H717" s="50"/>
    </row>
    <row r="718" spans="1:8" x14ac:dyDescent="0.4">
      <c r="A718" s="61"/>
      <c r="B718" s="16" t="str">
        <f t="array" ref="B718">IFERROR(MIN(IF(Raw!$A$2:$A$26=MHT!A718,Raw!$B$2:$B$20)),"")</f>
        <v/>
      </c>
      <c r="C718" s="13" t="str">
        <f t="array" ref="C718">IFERROR(MIN(IF(Raw!$A$2:$A$26=MHT!A718,Raw!$C$2:$C$20)),"")</f>
        <v/>
      </c>
      <c r="D718" s="14" t="str">
        <f t="array" ref="D718">IF(Raw!D711="","",IFERROR(MAX(IF(Raw!$A$2:$A$26=MHT!A718,Raw!$D$2:$D$20)),""))</f>
        <v/>
      </c>
      <c r="E718" s="6" t="str">
        <f>IF(SUMIF(Raw!$A$2:$A$500, MHT!A718, Raw!$F$2:$F$500) = TIME(0,0,0), "", SUMIF(Raw!$A$2:$A$500, MHT!A718, Raw!$F$2:$F$500))</f>
        <v/>
      </c>
      <c r="F718" s="12" t="str">
        <f t="array" ref="F718">IF(A718="", "", IF(COUNTIF(Raw!$H$1:$I$500, A718) &gt; 0, "Done", IF(COUNTIF(Raw!$J$1:$J$500, A718) &gt; 0, "Pause", IF(COUNTIF(Raw!$K$1:$K$500, A718) &gt; 0, "On-Going", "Pause"))))</f>
        <v/>
      </c>
      <c r="G718" s="51"/>
      <c r="H718" s="50"/>
    </row>
    <row r="719" spans="1:8" x14ac:dyDescent="0.4">
      <c r="A719" s="61"/>
      <c r="B719" s="16" t="str">
        <f t="array" ref="B719">IFERROR(MIN(IF(Raw!$A$2:$A$26=MHT!A719,Raw!$B$2:$B$20)),"")</f>
        <v/>
      </c>
      <c r="C719" s="13" t="str">
        <f t="array" ref="C719">IFERROR(MIN(IF(Raw!$A$2:$A$26=MHT!A719,Raw!$C$2:$C$20)),"")</f>
        <v/>
      </c>
      <c r="D719" s="14" t="str">
        <f t="array" ref="D719">IF(Raw!D712="","",IFERROR(MAX(IF(Raw!$A$2:$A$26=MHT!A719,Raw!$D$2:$D$20)),""))</f>
        <v/>
      </c>
      <c r="E719" s="6" t="str">
        <f>IF(SUMIF(Raw!$A$2:$A$500, MHT!A719, Raw!$F$2:$F$500) = TIME(0,0,0), "", SUMIF(Raw!$A$2:$A$500, MHT!A719, Raw!$F$2:$F$500))</f>
        <v/>
      </c>
      <c r="F719" s="12" t="str">
        <f t="array" ref="F719">IF(A719="", "", IF(COUNTIF(Raw!$H$1:$I$500, A719) &gt; 0, "Done", IF(COUNTIF(Raw!$J$1:$J$500, A719) &gt; 0, "Pause", IF(COUNTIF(Raw!$K$1:$K$500, A719) &gt; 0, "On-Going", "Pause"))))</f>
        <v/>
      </c>
      <c r="G719" s="51"/>
      <c r="H719" s="50"/>
    </row>
    <row r="720" spans="1:8" x14ac:dyDescent="0.4">
      <c r="A720" s="61"/>
      <c r="B720" s="16" t="str">
        <f t="array" ref="B720">IFERROR(MIN(IF(Raw!$A$2:$A$26=MHT!A720,Raw!$B$2:$B$20)),"")</f>
        <v/>
      </c>
      <c r="C720" s="13" t="str">
        <f t="array" ref="C720">IFERROR(MIN(IF(Raw!$A$2:$A$26=MHT!A720,Raw!$C$2:$C$20)),"")</f>
        <v/>
      </c>
      <c r="D720" s="14" t="str">
        <f t="array" ref="D720">IF(Raw!D713="","",IFERROR(MAX(IF(Raw!$A$2:$A$26=MHT!A720,Raw!$D$2:$D$20)),""))</f>
        <v/>
      </c>
      <c r="E720" s="6" t="str">
        <f>IF(SUMIF(Raw!$A$2:$A$500, MHT!A720, Raw!$F$2:$F$500) = TIME(0,0,0), "", SUMIF(Raw!$A$2:$A$500, MHT!A720, Raw!$F$2:$F$500))</f>
        <v/>
      </c>
      <c r="F720" s="12" t="str">
        <f t="array" ref="F720">IF(A720="", "", IF(COUNTIF(Raw!$H$1:$I$500, A720) &gt; 0, "Done", IF(COUNTIF(Raw!$J$1:$J$500, A720) &gt; 0, "Pause", IF(COUNTIF(Raw!$K$1:$K$500, A720) &gt; 0, "On-Going", "Pause"))))</f>
        <v/>
      </c>
      <c r="G720" s="51"/>
      <c r="H720" s="50"/>
    </row>
    <row r="721" spans="1:8" x14ac:dyDescent="0.4">
      <c r="A721" s="61"/>
      <c r="B721" s="16" t="str">
        <f t="array" ref="B721">IFERROR(MIN(IF(Raw!$A$2:$A$26=MHT!A721,Raw!$B$2:$B$20)),"")</f>
        <v/>
      </c>
      <c r="C721" s="13" t="str">
        <f t="array" ref="C721">IFERROR(MIN(IF(Raw!$A$2:$A$26=MHT!A721,Raw!$C$2:$C$20)),"")</f>
        <v/>
      </c>
      <c r="D721" s="14" t="str">
        <f t="array" ref="D721">IF(Raw!D714="","",IFERROR(MAX(IF(Raw!$A$2:$A$26=MHT!A721,Raw!$D$2:$D$20)),""))</f>
        <v/>
      </c>
      <c r="E721" s="6" t="str">
        <f>IF(SUMIF(Raw!$A$2:$A$500, MHT!A721, Raw!$F$2:$F$500) = TIME(0,0,0), "", SUMIF(Raw!$A$2:$A$500, MHT!A721, Raw!$F$2:$F$500))</f>
        <v/>
      </c>
      <c r="F721" s="12" t="str">
        <f t="array" ref="F721">IF(A721="", "", IF(COUNTIF(Raw!$H$1:$I$500, A721) &gt; 0, "Done", IF(COUNTIF(Raw!$J$1:$J$500, A721) &gt; 0, "Pause", IF(COUNTIF(Raw!$K$1:$K$500, A721) &gt; 0, "On-Going", "Pause"))))</f>
        <v/>
      </c>
      <c r="G721" s="51"/>
      <c r="H721" s="50"/>
    </row>
    <row r="722" spans="1:8" x14ac:dyDescent="0.4">
      <c r="A722" s="61"/>
      <c r="B722" s="16" t="str">
        <f t="array" ref="B722">IFERROR(MIN(IF(Raw!$A$2:$A$26=MHT!A722,Raw!$B$2:$B$20)),"")</f>
        <v/>
      </c>
      <c r="C722" s="13" t="str">
        <f t="array" ref="C722">IFERROR(MIN(IF(Raw!$A$2:$A$26=MHT!A722,Raw!$C$2:$C$20)),"")</f>
        <v/>
      </c>
      <c r="D722" s="14" t="str">
        <f t="array" ref="D722">IF(Raw!D715="","",IFERROR(MAX(IF(Raw!$A$2:$A$26=MHT!A722,Raw!$D$2:$D$20)),""))</f>
        <v/>
      </c>
      <c r="E722" s="6" t="str">
        <f>IF(SUMIF(Raw!$A$2:$A$500, MHT!A722, Raw!$F$2:$F$500) = TIME(0,0,0), "", SUMIF(Raw!$A$2:$A$500, MHT!A722, Raw!$F$2:$F$500))</f>
        <v/>
      </c>
      <c r="F722" s="12" t="str">
        <f t="array" ref="F722">IF(A722="", "", IF(COUNTIF(Raw!$H$1:$I$500, A722) &gt; 0, "Done", IF(COUNTIF(Raw!$J$1:$J$500, A722) &gt; 0, "Pause", IF(COUNTIF(Raw!$K$1:$K$500, A722) &gt; 0, "On-Going", "Pause"))))</f>
        <v/>
      </c>
      <c r="G722" s="51"/>
      <c r="H722" s="50"/>
    </row>
    <row r="723" spans="1:8" x14ac:dyDescent="0.4">
      <c r="A723" s="61"/>
      <c r="B723" s="16" t="str">
        <f t="array" ref="B723">IFERROR(MIN(IF(Raw!$A$2:$A$26=MHT!A723,Raw!$B$2:$B$20)),"")</f>
        <v/>
      </c>
      <c r="C723" s="13" t="str">
        <f t="array" ref="C723">IFERROR(MIN(IF(Raw!$A$2:$A$26=MHT!A723,Raw!$C$2:$C$20)),"")</f>
        <v/>
      </c>
      <c r="D723" s="14" t="str">
        <f t="array" ref="D723">IF(Raw!D716="","",IFERROR(MAX(IF(Raw!$A$2:$A$26=MHT!A723,Raw!$D$2:$D$20)),""))</f>
        <v/>
      </c>
      <c r="E723" s="6" t="str">
        <f>IF(SUMIF(Raw!$A$2:$A$500, MHT!A723, Raw!$F$2:$F$500) = TIME(0,0,0), "", SUMIF(Raw!$A$2:$A$500, MHT!A723, Raw!$F$2:$F$500))</f>
        <v/>
      </c>
      <c r="F723" s="12" t="str">
        <f t="array" ref="F723">IF(A723="", "", IF(COUNTIF(Raw!$H$1:$I$500, A723) &gt; 0, "Done", IF(COUNTIF(Raw!$J$1:$J$500, A723) &gt; 0, "Pause", IF(COUNTIF(Raw!$K$1:$K$500, A723) &gt; 0, "On-Going", "Pause"))))</f>
        <v/>
      </c>
      <c r="G723" s="51"/>
      <c r="H723" s="50"/>
    </row>
    <row r="724" spans="1:8" x14ac:dyDescent="0.4">
      <c r="A724" s="61"/>
      <c r="B724" s="16" t="str">
        <f t="array" ref="B724">IFERROR(MIN(IF(Raw!$A$2:$A$26=MHT!A724,Raw!$B$2:$B$20)),"")</f>
        <v/>
      </c>
      <c r="C724" s="13" t="str">
        <f t="array" ref="C724">IFERROR(MIN(IF(Raw!$A$2:$A$26=MHT!A724,Raw!$C$2:$C$20)),"")</f>
        <v/>
      </c>
      <c r="D724" s="14" t="str">
        <f t="array" ref="D724">IF(Raw!D717="","",IFERROR(MAX(IF(Raw!$A$2:$A$26=MHT!A724,Raw!$D$2:$D$20)),""))</f>
        <v/>
      </c>
      <c r="E724" s="6" t="str">
        <f>IF(SUMIF(Raw!$A$2:$A$500, MHT!A724, Raw!$F$2:$F$500) = TIME(0,0,0), "", SUMIF(Raw!$A$2:$A$500, MHT!A724, Raw!$F$2:$F$500))</f>
        <v/>
      </c>
      <c r="F724" s="12" t="str">
        <f t="array" ref="F724">IF(A724="", "", IF(COUNTIF(Raw!$H$1:$I$500, A724) &gt; 0, "Done", IF(COUNTIF(Raw!$J$1:$J$500, A724) &gt; 0, "Pause", IF(COUNTIF(Raw!$K$1:$K$500, A724) &gt; 0, "On-Going", "Pause"))))</f>
        <v/>
      </c>
      <c r="G724" s="51"/>
      <c r="H724" s="50"/>
    </row>
    <row r="725" spans="1:8" x14ac:dyDescent="0.4">
      <c r="A725" s="61"/>
      <c r="B725" s="16" t="str">
        <f t="array" ref="B725">IFERROR(MIN(IF(Raw!$A$2:$A$26=MHT!A725,Raw!$B$2:$B$20)),"")</f>
        <v/>
      </c>
      <c r="C725" s="13" t="str">
        <f t="array" ref="C725">IFERROR(MIN(IF(Raw!$A$2:$A$26=MHT!A725,Raw!$C$2:$C$20)),"")</f>
        <v/>
      </c>
      <c r="D725" s="14" t="str">
        <f t="array" ref="D725">IF(Raw!D718="","",IFERROR(MAX(IF(Raw!$A$2:$A$26=MHT!A725,Raw!$D$2:$D$20)),""))</f>
        <v/>
      </c>
      <c r="E725" s="6" t="str">
        <f>IF(SUMIF(Raw!$A$2:$A$500, MHT!A725, Raw!$F$2:$F$500) = TIME(0,0,0), "", SUMIF(Raw!$A$2:$A$500, MHT!A725, Raw!$F$2:$F$500))</f>
        <v/>
      </c>
      <c r="F725" s="12" t="str">
        <f t="array" ref="F725">IF(A725="", "", IF(COUNTIF(Raw!$H$1:$I$500, A725) &gt; 0, "Done", IF(COUNTIF(Raw!$J$1:$J$500, A725) &gt; 0, "Pause", IF(COUNTIF(Raw!$K$1:$K$500, A725) &gt; 0, "On-Going", "Pause"))))</f>
        <v/>
      </c>
      <c r="G725" s="51"/>
      <c r="H725" s="50"/>
    </row>
    <row r="726" spans="1:8" x14ac:dyDescent="0.4">
      <c r="A726" s="61"/>
      <c r="B726" s="16" t="str">
        <f t="array" ref="B726">IFERROR(MIN(IF(Raw!$A$2:$A$26=MHT!A726,Raw!$B$2:$B$20)),"")</f>
        <v/>
      </c>
      <c r="C726" s="13" t="str">
        <f t="array" ref="C726">IFERROR(MIN(IF(Raw!$A$2:$A$26=MHT!A726,Raw!$C$2:$C$20)),"")</f>
        <v/>
      </c>
      <c r="D726" s="14" t="str">
        <f t="array" ref="D726">IF(Raw!D719="","",IFERROR(MAX(IF(Raw!$A$2:$A$26=MHT!A726,Raw!$D$2:$D$20)),""))</f>
        <v/>
      </c>
      <c r="E726" s="6" t="str">
        <f>IF(SUMIF(Raw!$A$2:$A$500, MHT!A726, Raw!$F$2:$F$500) = TIME(0,0,0), "", SUMIF(Raw!$A$2:$A$500, MHT!A726, Raw!$F$2:$F$500))</f>
        <v/>
      </c>
      <c r="F726" s="12" t="str">
        <f t="array" ref="F726">IF(A726="", "", IF(COUNTIF(Raw!$H$1:$I$500, A726) &gt; 0, "Done", IF(COUNTIF(Raw!$J$1:$J$500, A726) &gt; 0, "Pause", IF(COUNTIF(Raw!$K$1:$K$500, A726) &gt; 0, "On-Going", "Pause"))))</f>
        <v/>
      </c>
      <c r="G726" s="51"/>
      <c r="H726" s="50"/>
    </row>
    <row r="727" spans="1:8" x14ac:dyDescent="0.4">
      <c r="A727" s="61"/>
      <c r="B727" s="16" t="str">
        <f t="array" ref="B727">IFERROR(MIN(IF(Raw!$A$2:$A$26=MHT!A727,Raw!$B$2:$B$20)),"")</f>
        <v/>
      </c>
      <c r="C727" s="13" t="str">
        <f t="array" ref="C727">IFERROR(MIN(IF(Raw!$A$2:$A$26=MHT!A727,Raw!$C$2:$C$20)),"")</f>
        <v/>
      </c>
      <c r="D727" s="14" t="str">
        <f t="array" ref="D727">IF(Raw!D720="","",IFERROR(MAX(IF(Raw!$A$2:$A$26=MHT!A727,Raw!$D$2:$D$20)),""))</f>
        <v/>
      </c>
      <c r="E727" s="6" t="str">
        <f>IF(SUMIF(Raw!$A$2:$A$500, MHT!A727, Raw!$F$2:$F$500) = TIME(0,0,0), "", SUMIF(Raw!$A$2:$A$500, MHT!A727, Raw!$F$2:$F$500))</f>
        <v/>
      </c>
      <c r="F727" s="12" t="str">
        <f t="array" ref="F727">IF(A727="", "", IF(COUNTIF(Raw!$H$1:$I$500, A727) &gt; 0, "Done", IF(COUNTIF(Raw!$J$1:$J$500, A727) &gt; 0, "Pause", IF(COUNTIF(Raw!$K$1:$K$500, A727) &gt; 0, "On-Going", "Pause"))))</f>
        <v/>
      </c>
      <c r="G727" s="51"/>
      <c r="H727" s="50"/>
    </row>
    <row r="728" spans="1:8" x14ac:dyDescent="0.4">
      <c r="A728" s="61"/>
      <c r="B728" s="16" t="str">
        <f t="array" ref="B728">IFERROR(MIN(IF(Raw!$A$2:$A$26=MHT!A728,Raw!$B$2:$B$20)),"")</f>
        <v/>
      </c>
      <c r="C728" s="13" t="str">
        <f t="array" ref="C728">IFERROR(MIN(IF(Raw!$A$2:$A$26=MHT!A728,Raw!$C$2:$C$20)),"")</f>
        <v/>
      </c>
      <c r="D728" s="14" t="str">
        <f t="array" ref="D728">IF(Raw!D721="","",IFERROR(MAX(IF(Raw!$A$2:$A$26=MHT!A728,Raw!$D$2:$D$20)),""))</f>
        <v/>
      </c>
      <c r="E728" s="6" t="str">
        <f>IF(SUMIF(Raw!$A$2:$A$500, MHT!A728, Raw!$F$2:$F$500) = TIME(0,0,0), "", SUMIF(Raw!$A$2:$A$500, MHT!A728, Raw!$F$2:$F$500))</f>
        <v/>
      </c>
      <c r="F728" s="12" t="str">
        <f t="array" ref="F728">IF(A728="", "", IF(COUNTIF(Raw!$H$1:$I$500, A728) &gt; 0, "Done", IF(COUNTIF(Raw!$J$1:$J$500, A728) &gt; 0, "Pause", IF(COUNTIF(Raw!$K$1:$K$500, A728) &gt; 0, "On-Going", "Pause"))))</f>
        <v/>
      </c>
      <c r="G728" s="51"/>
      <c r="H728" s="50"/>
    </row>
    <row r="729" spans="1:8" x14ac:dyDescent="0.4">
      <c r="A729" s="61"/>
      <c r="B729" s="16" t="str">
        <f t="array" ref="B729">IFERROR(MIN(IF(Raw!$A$2:$A$26=MHT!A729,Raw!$B$2:$B$20)),"")</f>
        <v/>
      </c>
      <c r="C729" s="13" t="str">
        <f t="array" ref="C729">IFERROR(MIN(IF(Raw!$A$2:$A$26=MHT!A729,Raw!$C$2:$C$20)),"")</f>
        <v/>
      </c>
      <c r="D729" s="14" t="str">
        <f t="array" ref="D729">IF(Raw!D722="","",IFERROR(MAX(IF(Raw!$A$2:$A$26=MHT!A729,Raw!$D$2:$D$20)),""))</f>
        <v/>
      </c>
      <c r="E729" s="6" t="str">
        <f>IF(SUMIF(Raw!$A$2:$A$500, MHT!A729, Raw!$F$2:$F$500) = TIME(0,0,0), "", SUMIF(Raw!$A$2:$A$500, MHT!A729, Raw!$F$2:$F$500))</f>
        <v/>
      </c>
      <c r="F729" s="12" t="str">
        <f t="array" ref="F729">IF(A729="", "", IF(COUNTIF(Raw!$H$1:$I$500, A729) &gt; 0, "Done", IF(COUNTIF(Raw!$J$1:$J$500, A729) &gt; 0, "Pause", IF(COUNTIF(Raw!$K$1:$K$500, A729) &gt; 0, "On-Going", "Pause"))))</f>
        <v/>
      </c>
      <c r="G729" s="51"/>
      <c r="H729" s="50"/>
    </row>
    <row r="730" spans="1:8" x14ac:dyDescent="0.4">
      <c r="A730" s="61"/>
      <c r="B730" s="16" t="str">
        <f t="array" ref="B730">IFERROR(MIN(IF(Raw!$A$2:$A$26=MHT!A730,Raw!$B$2:$B$20)),"")</f>
        <v/>
      </c>
      <c r="C730" s="13" t="str">
        <f t="array" ref="C730">IFERROR(MIN(IF(Raw!$A$2:$A$26=MHT!A730,Raw!$C$2:$C$20)),"")</f>
        <v/>
      </c>
      <c r="D730" s="14" t="str">
        <f t="array" ref="D730">IF(Raw!D723="","",IFERROR(MAX(IF(Raw!$A$2:$A$26=MHT!A730,Raw!$D$2:$D$20)),""))</f>
        <v/>
      </c>
      <c r="E730" s="6" t="str">
        <f>IF(SUMIF(Raw!$A$2:$A$500, MHT!A730, Raw!$F$2:$F$500) = TIME(0,0,0), "", SUMIF(Raw!$A$2:$A$500, MHT!A730, Raw!$F$2:$F$500))</f>
        <v/>
      </c>
      <c r="F730" s="12" t="str">
        <f t="array" ref="F730">IF(A730="", "", IF(COUNTIF(Raw!$H$1:$I$500, A730) &gt; 0, "Done", IF(COUNTIF(Raw!$J$1:$J$500, A730) &gt; 0, "Pause", IF(COUNTIF(Raw!$K$1:$K$500, A730) &gt; 0, "On-Going", "Pause"))))</f>
        <v/>
      </c>
      <c r="G730" s="51"/>
      <c r="H730" s="50"/>
    </row>
    <row r="731" spans="1:8" x14ac:dyDescent="0.4">
      <c r="A731" s="61"/>
      <c r="B731" s="16" t="str">
        <f t="array" ref="B731">IFERROR(MIN(IF(Raw!$A$2:$A$26=MHT!A731,Raw!$B$2:$B$20)),"")</f>
        <v/>
      </c>
      <c r="C731" s="13" t="str">
        <f t="array" ref="C731">IFERROR(MIN(IF(Raw!$A$2:$A$26=MHT!A731,Raw!$C$2:$C$20)),"")</f>
        <v/>
      </c>
      <c r="D731" s="14" t="str">
        <f t="array" ref="D731">IF(Raw!D724="","",IFERROR(MAX(IF(Raw!$A$2:$A$26=MHT!A731,Raw!$D$2:$D$20)),""))</f>
        <v/>
      </c>
      <c r="E731" s="6" t="str">
        <f>IF(SUMIF(Raw!$A$2:$A$500, MHT!A731, Raw!$F$2:$F$500) = TIME(0,0,0), "", SUMIF(Raw!$A$2:$A$500, MHT!A731, Raw!$F$2:$F$500))</f>
        <v/>
      </c>
      <c r="F731" s="12" t="str">
        <f t="array" ref="F731">IF(A731="", "", IF(COUNTIF(Raw!$H$1:$I$500, A731) &gt; 0, "Done", IF(COUNTIF(Raw!$J$1:$J$500, A731) &gt; 0, "Pause", IF(COUNTIF(Raw!$K$1:$K$500, A731) &gt; 0, "On-Going", "Pause"))))</f>
        <v/>
      </c>
      <c r="G731" s="51"/>
      <c r="H731" s="50"/>
    </row>
    <row r="732" spans="1:8" x14ac:dyDescent="0.4">
      <c r="A732" s="61"/>
      <c r="B732" s="16" t="str">
        <f t="array" ref="B732">IFERROR(MIN(IF(Raw!$A$2:$A$26=MHT!A732,Raw!$B$2:$B$20)),"")</f>
        <v/>
      </c>
      <c r="C732" s="13" t="str">
        <f t="array" ref="C732">IFERROR(MIN(IF(Raw!$A$2:$A$26=MHT!A732,Raw!$C$2:$C$20)),"")</f>
        <v/>
      </c>
      <c r="D732" s="14" t="str">
        <f t="array" ref="D732">IF(Raw!D725="","",IFERROR(MAX(IF(Raw!$A$2:$A$26=MHT!A732,Raw!$D$2:$D$20)),""))</f>
        <v/>
      </c>
      <c r="E732" s="6" t="str">
        <f>IF(SUMIF(Raw!$A$2:$A$500, MHT!A732, Raw!$F$2:$F$500) = TIME(0,0,0), "", SUMIF(Raw!$A$2:$A$500, MHT!A732, Raw!$F$2:$F$500))</f>
        <v/>
      </c>
      <c r="F732" s="12" t="str">
        <f t="array" ref="F732">IF(A732="", "", IF(COUNTIF(Raw!$H$1:$I$500, A732) &gt; 0, "Done", IF(COUNTIF(Raw!$J$1:$J$500, A732) &gt; 0, "Pause", IF(COUNTIF(Raw!$K$1:$K$500, A732) &gt; 0, "On-Going", "Pause"))))</f>
        <v/>
      </c>
      <c r="G732" s="51"/>
      <c r="H732" s="50"/>
    </row>
    <row r="733" spans="1:8" x14ac:dyDescent="0.4">
      <c r="A733" s="61"/>
      <c r="B733" s="16" t="str">
        <f t="array" ref="B733">IFERROR(MIN(IF(Raw!$A$2:$A$26=MHT!A733,Raw!$B$2:$B$20)),"")</f>
        <v/>
      </c>
      <c r="C733" s="13" t="str">
        <f t="array" ref="C733">IFERROR(MIN(IF(Raw!$A$2:$A$26=MHT!A733,Raw!$C$2:$C$20)),"")</f>
        <v/>
      </c>
      <c r="D733" s="14" t="str">
        <f t="array" ref="D733">IF(Raw!D726="","",IFERROR(MAX(IF(Raw!$A$2:$A$26=MHT!A733,Raw!$D$2:$D$20)),""))</f>
        <v/>
      </c>
      <c r="E733" s="6" t="str">
        <f>IF(SUMIF(Raw!$A$2:$A$500, MHT!A733, Raw!$F$2:$F$500) = TIME(0,0,0), "", SUMIF(Raw!$A$2:$A$500, MHT!A733, Raw!$F$2:$F$500))</f>
        <v/>
      </c>
      <c r="F733" s="12" t="str">
        <f t="array" ref="F733">IF(A733="", "", IF(COUNTIF(Raw!$H$1:$I$500, A733) &gt; 0, "Done", IF(COUNTIF(Raw!$J$1:$J$500, A733) &gt; 0, "Pause", IF(COUNTIF(Raw!$K$1:$K$500, A733) &gt; 0, "On-Going", "Pause"))))</f>
        <v/>
      </c>
      <c r="G733" s="51"/>
      <c r="H733" s="50"/>
    </row>
    <row r="734" spans="1:8" x14ac:dyDescent="0.4">
      <c r="A734" s="61"/>
      <c r="B734" s="16" t="str">
        <f t="array" ref="B734">IFERROR(MIN(IF(Raw!$A$2:$A$26=MHT!A734,Raw!$B$2:$B$20)),"")</f>
        <v/>
      </c>
      <c r="C734" s="13" t="str">
        <f t="array" ref="C734">IFERROR(MIN(IF(Raw!$A$2:$A$26=MHT!A734,Raw!$C$2:$C$20)),"")</f>
        <v/>
      </c>
      <c r="D734" s="14" t="str">
        <f t="array" ref="D734">IF(Raw!D727="","",IFERROR(MAX(IF(Raw!$A$2:$A$26=MHT!A734,Raw!$D$2:$D$20)),""))</f>
        <v/>
      </c>
      <c r="E734" s="6" t="str">
        <f>IF(SUMIF(Raw!$A$2:$A$500, MHT!A734, Raw!$F$2:$F$500) = TIME(0,0,0), "", SUMIF(Raw!$A$2:$A$500, MHT!A734, Raw!$F$2:$F$500))</f>
        <v/>
      </c>
      <c r="F734" s="12" t="str">
        <f t="array" ref="F734">IF(A734="", "", IF(COUNTIF(Raw!$H$1:$I$500, A734) &gt; 0, "Done", IF(COUNTIF(Raw!$J$1:$J$500, A734) &gt; 0, "Pause", IF(COUNTIF(Raw!$K$1:$K$500, A734) &gt; 0, "On-Going", "Pause"))))</f>
        <v/>
      </c>
      <c r="G734" s="51"/>
      <c r="H734" s="50"/>
    </row>
    <row r="735" spans="1:8" x14ac:dyDescent="0.4">
      <c r="A735" s="61"/>
      <c r="B735" s="16" t="str">
        <f t="array" ref="B735">IFERROR(MIN(IF(Raw!$A$2:$A$26=MHT!A735,Raw!$B$2:$B$20)),"")</f>
        <v/>
      </c>
      <c r="C735" s="13" t="str">
        <f t="array" ref="C735">IFERROR(MIN(IF(Raw!$A$2:$A$26=MHT!A735,Raw!$C$2:$C$20)),"")</f>
        <v/>
      </c>
      <c r="D735" s="14" t="str">
        <f t="array" ref="D735">IF(Raw!D728="","",IFERROR(MAX(IF(Raw!$A$2:$A$26=MHT!A735,Raw!$D$2:$D$20)),""))</f>
        <v/>
      </c>
      <c r="E735" s="6" t="str">
        <f>IF(SUMIF(Raw!$A$2:$A$500, MHT!A735, Raw!$F$2:$F$500) = TIME(0,0,0), "", SUMIF(Raw!$A$2:$A$500, MHT!A735, Raw!$F$2:$F$500))</f>
        <v/>
      </c>
      <c r="F735" s="12" t="str">
        <f t="array" ref="F735">IF(A735="", "", IF(COUNTIF(Raw!$H$1:$I$500, A735) &gt; 0, "Done", IF(COUNTIF(Raw!$J$1:$J$500, A735) &gt; 0, "Pause", IF(COUNTIF(Raw!$K$1:$K$500, A735) &gt; 0, "On-Going", "Pause"))))</f>
        <v/>
      </c>
      <c r="G735" s="51"/>
      <c r="H735" s="50"/>
    </row>
    <row r="736" spans="1:8" x14ac:dyDescent="0.4">
      <c r="A736" s="61"/>
      <c r="B736" s="16" t="str">
        <f t="array" ref="B736">IFERROR(MIN(IF(Raw!$A$2:$A$26=MHT!A736,Raw!$B$2:$B$20)),"")</f>
        <v/>
      </c>
      <c r="C736" s="13" t="str">
        <f t="array" ref="C736">IFERROR(MIN(IF(Raw!$A$2:$A$26=MHT!A736,Raw!$C$2:$C$20)),"")</f>
        <v/>
      </c>
      <c r="D736" s="14" t="str">
        <f t="array" ref="D736">IF(Raw!D729="","",IFERROR(MAX(IF(Raw!$A$2:$A$26=MHT!A736,Raw!$D$2:$D$20)),""))</f>
        <v/>
      </c>
      <c r="E736" s="6" t="str">
        <f>IF(SUMIF(Raw!$A$2:$A$500, MHT!A736, Raw!$F$2:$F$500) = TIME(0,0,0), "", SUMIF(Raw!$A$2:$A$500, MHT!A736, Raw!$F$2:$F$500))</f>
        <v/>
      </c>
      <c r="F736" s="12" t="str">
        <f t="array" ref="F736">IF(A736="", "", IF(COUNTIF(Raw!$H$1:$I$500, A736) &gt; 0, "Done", IF(COUNTIF(Raw!$J$1:$J$500, A736) &gt; 0, "Pause", IF(COUNTIF(Raw!$K$1:$K$500, A736) &gt; 0, "On-Going", "Pause"))))</f>
        <v/>
      </c>
      <c r="G736" s="51"/>
      <c r="H736" s="50"/>
    </row>
    <row r="737" spans="1:8" x14ac:dyDescent="0.4">
      <c r="A737" s="61"/>
      <c r="B737" s="16" t="str">
        <f t="array" ref="B737">IFERROR(MIN(IF(Raw!$A$2:$A$26=MHT!A737,Raw!$B$2:$B$20)),"")</f>
        <v/>
      </c>
      <c r="C737" s="13" t="str">
        <f t="array" ref="C737">IFERROR(MIN(IF(Raw!$A$2:$A$26=MHT!A737,Raw!$C$2:$C$20)),"")</f>
        <v/>
      </c>
      <c r="D737" s="14" t="str">
        <f t="array" ref="D737">IF(Raw!D730="","",IFERROR(MAX(IF(Raw!$A$2:$A$26=MHT!A737,Raw!$D$2:$D$20)),""))</f>
        <v/>
      </c>
      <c r="E737" s="6" t="str">
        <f>IF(SUMIF(Raw!$A$2:$A$500, MHT!A737, Raw!$F$2:$F$500) = TIME(0,0,0), "", SUMIF(Raw!$A$2:$A$500, MHT!A737, Raw!$F$2:$F$500))</f>
        <v/>
      </c>
      <c r="F737" s="12" t="str">
        <f t="array" ref="F737">IF(A737="", "", IF(COUNTIF(Raw!$H$1:$I$500, A737) &gt; 0, "Done", IF(COUNTIF(Raw!$J$1:$J$500, A737) &gt; 0, "Pause", IF(COUNTIF(Raw!$K$1:$K$500, A737) &gt; 0, "On-Going", "Pause"))))</f>
        <v/>
      </c>
      <c r="G737" s="51"/>
      <c r="H737" s="50"/>
    </row>
    <row r="738" spans="1:8" x14ac:dyDescent="0.4">
      <c r="A738" s="61"/>
      <c r="B738" s="16" t="str">
        <f t="array" ref="B738">IFERROR(MIN(IF(Raw!$A$2:$A$26=MHT!A738,Raw!$B$2:$B$20)),"")</f>
        <v/>
      </c>
      <c r="C738" s="13" t="str">
        <f t="array" ref="C738">IFERROR(MIN(IF(Raw!$A$2:$A$26=MHT!A738,Raw!$C$2:$C$20)),"")</f>
        <v/>
      </c>
      <c r="D738" s="14" t="str">
        <f t="array" ref="D738">IF(Raw!D731="","",IFERROR(MAX(IF(Raw!$A$2:$A$26=MHT!A738,Raw!$D$2:$D$20)),""))</f>
        <v/>
      </c>
      <c r="E738" s="6" t="str">
        <f>IF(SUMIF(Raw!$A$2:$A$500, MHT!A738, Raw!$F$2:$F$500) = TIME(0,0,0), "", SUMIF(Raw!$A$2:$A$500, MHT!A738, Raw!$F$2:$F$500))</f>
        <v/>
      </c>
      <c r="F738" s="12" t="str">
        <f t="array" ref="F738">IF(A738="", "", IF(COUNTIF(Raw!$H$1:$I$500, A738) &gt; 0, "Done", IF(COUNTIF(Raw!$J$1:$J$500, A738) &gt; 0, "Pause", IF(COUNTIF(Raw!$K$1:$K$500, A738) &gt; 0, "On-Going", "Pause"))))</f>
        <v/>
      </c>
      <c r="G738" s="51"/>
      <c r="H738" s="50"/>
    </row>
    <row r="739" spans="1:8" x14ac:dyDescent="0.4">
      <c r="A739" s="61"/>
      <c r="B739" s="16" t="str">
        <f t="array" ref="B739">IFERROR(MIN(IF(Raw!$A$2:$A$26=MHT!A739,Raw!$B$2:$B$20)),"")</f>
        <v/>
      </c>
      <c r="C739" s="13" t="str">
        <f t="array" ref="C739">IFERROR(MIN(IF(Raw!$A$2:$A$26=MHT!A739,Raw!$C$2:$C$20)),"")</f>
        <v/>
      </c>
      <c r="D739" s="14" t="str">
        <f t="array" ref="D739">IF(Raw!D732="","",IFERROR(MAX(IF(Raw!$A$2:$A$26=MHT!A739,Raw!$D$2:$D$20)),""))</f>
        <v/>
      </c>
      <c r="E739" s="6" t="str">
        <f>IF(SUMIF(Raw!$A$2:$A$500, MHT!A739, Raw!$F$2:$F$500) = TIME(0,0,0), "", SUMIF(Raw!$A$2:$A$500, MHT!A739, Raw!$F$2:$F$500))</f>
        <v/>
      </c>
      <c r="F739" s="12" t="str">
        <f t="array" ref="F739">IF(A739="", "", IF(COUNTIF(Raw!$H$1:$I$500, A739) &gt; 0, "Done", IF(COUNTIF(Raw!$J$1:$J$500, A739) &gt; 0, "Pause", IF(COUNTIF(Raw!$K$1:$K$500, A739) &gt; 0, "On-Going", "Pause"))))</f>
        <v/>
      </c>
      <c r="G739" s="51"/>
      <c r="H739" s="50"/>
    </row>
    <row r="740" spans="1:8" x14ac:dyDescent="0.4">
      <c r="A740" s="61"/>
      <c r="B740" s="16" t="str">
        <f t="array" ref="B740">IFERROR(MIN(IF(Raw!$A$2:$A$26=MHT!A740,Raw!$B$2:$B$20)),"")</f>
        <v/>
      </c>
      <c r="C740" s="13" t="str">
        <f t="array" ref="C740">IFERROR(MIN(IF(Raw!$A$2:$A$26=MHT!A740,Raw!$C$2:$C$20)),"")</f>
        <v/>
      </c>
      <c r="D740" s="14" t="str">
        <f t="array" ref="D740">IF(Raw!D733="","",IFERROR(MAX(IF(Raw!$A$2:$A$26=MHT!A740,Raw!$D$2:$D$20)),""))</f>
        <v/>
      </c>
      <c r="E740" s="6" t="str">
        <f>IF(SUMIF(Raw!$A$2:$A$500, MHT!A740, Raw!$F$2:$F$500) = TIME(0,0,0), "", SUMIF(Raw!$A$2:$A$500, MHT!A740, Raw!$F$2:$F$500))</f>
        <v/>
      </c>
      <c r="F740" s="12" t="str">
        <f t="array" ref="F740">IF(A740="", "", IF(COUNTIF(Raw!$H$1:$I$500, A740) &gt; 0, "Done", IF(COUNTIF(Raw!$J$1:$J$500, A740) &gt; 0, "Pause", IF(COUNTIF(Raw!$K$1:$K$500, A740) &gt; 0, "On-Going", "Pause"))))</f>
        <v/>
      </c>
      <c r="G740" s="51"/>
      <c r="H740" s="50"/>
    </row>
    <row r="741" spans="1:8" x14ac:dyDescent="0.4">
      <c r="A741" s="61"/>
      <c r="B741" s="16" t="str">
        <f t="array" ref="B741">IFERROR(MIN(IF(Raw!$A$2:$A$26=MHT!A741,Raw!$B$2:$B$20)),"")</f>
        <v/>
      </c>
      <c r="C741" s="13" t="str">
        <f t="array" ref="C741">IFERROR(MIN(IF(Raw!$A$2:$A$26=MHT!A741,Raw!$C$2:$C$20)),"")</f>
        <v/>
      </c>
      <c r="D741" s="14" t="str">
        <f t="array" ref="D741">IF(Raw!D734="","",IFERROR(MAX(IF(Raw!$A$2:$A$26=MHT!A741,Raw!$D$2:$D$20)),""))</f>
        <v/>
      </c>
      <c r="E741" s="6" t="str">
        <f>IF(SUMIF(Raw!$A$2:$A$500, MHT!A741, Raw!$F$2:$F$500) = TIME(0,0,0), "", SUMIF(Raw!$A$2:$A$500, MHT!A741, Raw!$F$2:$F$500))</f>
        <v/>
      </c>
      <c r="F741" s="12" t="str">
        <f t="array" ref="F741">IF(A741="", "", IF(COUNTIF(Raw!$H$1:$I$500, A741) &gt; 0, "Done", IF(COUNTIF(Raw!$J$1:$J$500, A741) &gt; 0, "Pause", IF(COUNTIF(Raw!$K$1:$K$500, A741) &gt; 0, "On-Going", "Pause"))))</f>
        <v/>
      </c>
      <c r="G741" s="51"/>
      <c r="H741" s="50"/>
    </row>
    <row r="742" spans="1:8" x14ac:dyDescent="0.4">
      <c r="A742" s="61"/>
      <c r="B742" s="16" t="str">
        <f t="array" ref="B742">IFERROR(MIN(IF(Raw!$A$2:$A$26=MHT!A742,Raw!$B$2:$B$20)),"")</f>
        <v/>
      </c>
      <c r="C742" s="13" t="str">
        <f t="array" ref="C742">IFERROR(MIN(IF(Raw!$A$2:$A$26=MHT!A742,Raw!$C$2:$C$20)),"")</f>
        <v/>
      </c>
      <c r="D742" s="14" t="str">
        <f t="array" ref="D742">IF(Raw!D735="","",IFERROR(MAX(IF(Raw!$A$2:$A$26=MHT!A742,Raw!$D$2:$D$20)),""))</f>
        <v/>
      </c>
      <c r="E742" s="6" t="str">
        <f>IF(SUMIF(Raw!$A$2:$A$500, MHT!A742, Raw!$F$2:$F$500) = TIME(0,0,0), "", SUMIF(Raw!$A$2:$A$500, MHT!A742, Raw!$F$2:$F$500))</f>
        <v/>
      </c>
      <c r="F742" s="12" t="str">
        <f t="array" ref="F742">IF(A742="", "", IF(COUNTIF(Raw!$H$1:$I$500, A742) &gt; 0, "Done", IF(COUNTIF(Raw!$J$1:$J$500, A742) &gt; 0, "Pause", IF(COUNTIF(Raw!$K$1:$K$500, A742) &gt; 0, "On-Going", "Pause"))))</f>
        <v/>
      </c>
      <c r="G742" s="51"/>
      <c r="H742" s="50"/>
    </row>
    <row r="743" spans="1:8" x14ac:dyDescent="0.4">
      <c r="A743" s="61"/>
      <c r="B743" s="16" t="str">
        <f t="array" ref="B743">IFERROR(MIN(IF(Raw!$A$2:$A$26=MHT!A743,Raw!$B$2:$B$20)),"")</f>
        <v/>
      </c>
      <c r="C743" s="13" t="str">
        <f t="array" ref="C743">IFERROR(MIN(IF(Raw!$A$2:$A$26=MHT!A743,Raw!$C$2:$C$20)),"")</f>
        <v/>
      </c>
      <c r="D743" s="14" t="str">
        <f t="array" ref="D743">IF(Raw!D736="","",IFERROR(MAX(IF(Raw!$A$2:$A$26=MHT!A743,Raw!$D$2:$D$20)),""))</f>
        <v/>
      </c>
      <c r="E743" s="6" t="str">
        <f>IF(SUMIF(Raw!$A$2:$A$500, MHT!A743, Raw!$F$2:$F$500) = TIME(0,0,0), "", SUMIF(Raw!$A$2:$A$500, MHT!A743, Raw!$F$2:$F$500))</f>
        <v/>
      </c>
      <c r="F743" s="12" t="str">
        <f t="array" ref="F743">IF(A743="", "", IF(COUNTIF(Raw!$H$1:$I$500, A743) &gt; 0, "Done", IF(COUNTIF(Raw!$J$1:$J$500, A743) &gt; 0, "Pause", IF(COUNTIF(Raw!$K$1:$K$500, A743) &gt; 0, "On-Going", "Pause"))))</f>
        <v/>
      </c>
      <c r="G743" s="51"/>
      <c r="H743" s="50"/>
    </row>
    <row r="744" spans="1:8" x14ac:dyDescent="0.4">
      <c r="A744" s="61"/>
      <c r="B744" s="16" t="str">
        <f t="array" ref="B744">IFERROR(MIN(IF(Raw!$A$2:$A$26=MHT!A744,Raw!$B$2:$B$20)),"")</f>
        <v/>
      </c>
      <c r="C744" s="13" t="str">
        <f t="array" ref="C744">IFERROR(MIN(IF(Raw!$A$2:$A$26=MHT!A744,Raw!$C$2:$C$20)),"")</f>
        <v/>
      </c>
      <c r="D744" s="14" t="str">
        <f t="array" ref="D744">IF(Raw!D737="","",IFERROR(MAX(IF(Raw!$A$2:$A$26=MHT!A744,Raw!$D$2:$D$20)),""))</f>
        <v/>
      </c>
      <c r="E744" s="6" t="str">
        <f>IF(SUMIF(Raw!$A$2:$A$500, MHT!A744, Raw!$F$2:$F$500) = TIME(0,0,0), "", SUMIF(Raw!$A$2:$A$500, MHT!A744, Raw!$F$2:$F$500))</f>
        <v/>
      </c>
      <c r="F744" s="12" t="str">
        <f t="array" ref="F744">IF(A744="", "", IF(COUNTIF(Raw!$H$1:$I$500, A744) &gt; 0, "Done", IF(COUNTIF(Raw!$J$1:$J$500, A744) &gt; 0, "Pause", IF(COUNTIF(Raw!$K$1:$K$500, A744) &gt; 0, "On-Going", "Pause"))))</f>
        <v/>
      </c>
      <c r="G744" s="51"/>
      <c r="H744" s="50"/>
    </row>
    <row r="745" spans="1:8" x14ac:dyDescent="0.4">
      <c r="A745" s="61"/>
      <c r="B745" s="16" t="str">
        <f t="array" ref="B745">IFERROR(MIN(IF(Raw!$A$2:$A$26=MHT!A745,Raw!$B$2:$B$20)),"")</f>
        <v/>
      </c>
      <c r="C745" s="13" t="str">
        <f t="array" ref="C745">IFERROR(MIN(IF(Raw!$A$2:$A$26=MHT!A745,Raw!$C$2:$C$20)),"")</f>
        <v/>
      </c>
      <c r="D745" s="14" t="str">
        <f t="array" ref="D745">IF(Raw!D738="","",IFERROR(MAX(IF(Raw!$A$2:$A$26=MHT!A745,Raw!$D$2:$D$20)),""))</f>
        <v/>
      </c>
      <c r="E745" s="6" t="str">
        <f>IF(SUMIF(Raw!$A$2:$A$500, MHT!A745, Raw!$F$2:$F$500) = TIME(0,0,0), "", SUMIF(Raw!$A$2:$A$500, MHT!A745, Raw!$F$2:$F$500))</f>
        <v/>
      </c>
      <c r="F745" s="12" t="str">
        <f t="array" ref="F745">IF(A745="", "", IF(COUNTIF(Raw!$H$1:$I$500, A745) &gt; 0, "Done", IF(COUNTIF(Raw!$J$1:$J$500, A745) &gt; 0, "Pause", IF(COUNTIF(Raw!$K$1:$K$500, A745) &gt; 0, "On-Going", "Pause"))))</f>
        <v/>
      </c>
      <c r="G745" s="51"/>
      <c r="H745" s="50"/>
    </row>
    <row r="746" spans="1:8" x14ac:dyDescent="0.4">
      <c r="A746" s="61"/>
      <c r="B746" s="16" t="str">
        <f t="array" ref="B746">IFERROR(MIN(IF(Raw!$A$2:$A$26=MHT!A746,Raw!$B$2:$B$20)),"")</f>
        <v/>
      </c>
      <c r="C746" s="13" t="str">
        <f t="array" ref="C746">IFERROR(MIN(IF(Raw!$A$2:$A$26=MHT!A746,Raw!$C$2:$C$20)),"")</f>
        <v/>
      </c>
      <c r="D746" s="14" t="str">
        <f t="array" ref="D746">IF(Raw!D739="","",IFERROR(MAX(IF(Raw!$A$2:$A$26=MHT!A746,Raw!$D$2:$D$20)),""))</f>
        <v/>
      </c>
      <c r="E746" s="6" t="str">
        <f>IF(SUMIF(Raw!$A$2:$A$500, MHT!A746, Raw!$F$2:$F$500) = TIME(0,0,0), "", SUMIF(Raw!$A$2:$A$500, MHT!A746, Raw!$F$2:$F$500))</f>
        <v/>
      </c>
      <c r="F746" s="12" t="str">
        <f t="array" ref="F746">IF(A746="", "", IF(COUNTIF(Raw!$H$1:$I$500, A746) &gt; 0, "Done", IF(COUNTIF(Raw!$J$1:$J$500, A746) &gt; 0, "Pause", IF(COUNTIF(Raw!$K$1:$K$500, A746) &gt; 0, "On-Going", "Pause"))))</f>
        <v/>
      </c>
      <c r="G746" s="51"/>
      <c r="H746" s="50"/>
    </row>
    <row r="747" spans="1:8" x14ac:dyDescent="0.4">
      <c r="A747" s="61"/>
      <c r="B747" s="16" t="str">
        <f t="array" ref="B747">IFERROR(MIN(IF(Raw!$A$2:$A$26=MHT!A747,Raw!$B$2:$B$20)),"")</f>
        <v/>
      </c>
      <c r="C747" s="13" t="str">
        <f t="array" ref="C747">IFERROR(MIN(IF(Raw!$A$2:$A$26=MHT!A747,Raw!$C$2:$C$20)),"")</f>
        <v/>
      </c>
      <c r="D747" s="14" t="str">
        <f t="array" ref="D747">IF(Raw!D740="","",IFERROR(MAX(IF(Raw!$A$2:$A$26=MHT!A747,Raw!$D$2:$D$20)),""))</f>
        <v/>
      </c>
      <c r="E747" s="6" t="str">
        <f>IF(SUMIF(Raw!$A$2:$A$500, MHT!A747, Raw!$F$2:$F$500) = TIME(0,0,0), "", SUMIF(Raw!$A$2:$A$500, MHT!A747, Raw!$F$2:$F$500))</f>
        <v/>
      </c>
      <c r="F747" s="12" t="str">
        <f t="array" ref="F747">IF(A747="", "", IF(COUNTIF(Raw!$H$1:$I$500, A747) &gt; 0, "Done", IF(COUNTIF(Raw!$J$1:$J$500, A747) &gt; 0, "Pause", IF(COUNTIF(Raw!$K$1:$K$500, A747) &gt; 0, "On-Going", "Pause"))))</f>
        <v/>
      </c>
      <c r="G747" s="51"/>
      <c r="H747" s="50"/>
    </row>
    <row r="748" spans="1:8" x14ac:dyDescent="0.4">
      <c r="A748" s="61"/>
      <c r="B748" s="16" t="str">
        <f t="array" ref="B748">IFERROR(MIN(IF(Raw!$A$2:$A$26=MHT!A748,Raw!$B$2:$B$20)),"")</f>
        <v/>
      </c>
      <c r="C748" s="13" t="str">
        <f t="array" ref="C748">IFERROR(MIN(IF(Raw!$A$2:$A$26=MHT!A748,Raw!$C$2:$C$20)),"")</f>
        <v/>
      </c>
      <c r="D748" s="14" t="str">
        <f t="array" ref="D748">IF(Raw!D741="","",IFERROR(MAX(IF(Raw!$A$2:$A$26=MHT!A748,Raw!$D$2:$D$20)),""))</f>
        <v/>
      </c>
      <c r="E748" s="6" t="str">
        <f>IF(SUMIF(Raw!$A$2:$A$500, MHT!A748, Raw!$F$2:$F$500) = TIME(0,0,0), "", SUMIF(Raw!$A$2:$A$500, MHT!A748, Raw!$F$2:$F$500))</f>
        <v/>
      </c>
      <c r="F748" s="12" t="str">
        <f t="array" ref="F748">IF(A748="", "", IF(COUNTIF(Raw!$H$1:$I$500, A748) &gt; 0, "Done", IF(COUNTIF(Raw!$J$1:$J$500, A748) &gt; 0, "Pause", IF(COUNTIF(Raw!$K$1:$K$500, A748) &gt; 0, "On-Going", "Pause"))))</f>
        <v/>
      </c>
      <c r="G748" s="51"/>
      <c r="H748" s="50"/>
    </row>
    <row r="749" spans="1:8" x14ac:dyDescent="0.4">
      <c r="A749" s="61"/>
      <c r="B749" s="16" t="str">
        <f t="array" ref="B749">IFERROR(MIN(IF(Raw!$A$2:$A$26=MHT!A749,Raw!$B$2:$B$20)),"")</f>
        <v/>
      </c>
      <c r="C749" s="13" t="str">
        <f t="array" ref="C749">IFERROR(MIN(IF(Raw!$A$2:$A$26=MHT!A749,Raw!$C$2:$C$20)),"")</f>
        <v/>
      </c>
      <c r="D749" s="14" t="str">
        <f t="array" ref="D749">IF(Raw!D742="","",IFERROR(MAX(IF(Raw!$A$2:$A$26=MHT!A749,Raw!$D$2:$D$20)),""))</f>
        <v/>
      </c>
      <c r="E749" s="6" t="str">
        <f>IF(SUMIF(Raw!$A$2:$A$500, MHT!A749, Raw!$F$2:$F$500) = TIME(0,0,0), "", SUMIF(Raw!$A$2:$A$500, MHT!A749, Raw!$F$2:$F$500))</f>
        <v/>
      </c>
      <c r="F749" s="12" t="str">
        <f t="array" ref="F749">IF(A749="", "", IF(COUNTIF(Raw!$H$1:$I$500, A749) &gt; 0, "Done", IF(COUNTIF(Raw!$J$1:$J$500, A749) &gt; 0, "Pause", IF(COUNTIF(Raw!$K$1:$K$500, A749) &gt; 0, "On-Going", "Pause"))))</f>
        <v/>
      </c>
      <c r="G749" s="51"/>
      <c r="H749" s="50"/>
    </row>
    <row r="750" spans="1:8" x14ac:dyDescent="0.4">
      <c r="A750" s="61"/>
      <c r="B750" s="16" t="str">
        <f t="array" ref="B750">IFERROR(MIN(IF(Raw!$A$2:$A$26=MHT!A750,Raw!$B$2:$B$20)),"")</f>
        <v/>
      </c>
      <c r="C750" s="13" t="str">
        <f t="array" ref="C750">IFERROR(MIN(IF(Raw!$A$2:$A$26=MHT!A750,Raw!$C$2:$C$20)),"")</f>
        <v/>
      </c>
      <c r="D750" s="14" t="str">
        <f t="array" ref="D750">IF(Raw!D743="","",IFERROR(MAX(IF(Raw!$A$2:$A$26=MHT!A750,Raw!$D$2:$D$20)),""))</f>
        <v/>
      </c>
      <c r="E750" s="6" t="str">
        <f>IF(SUMIF(Raw!$A$2:$A$500, MHT!A750, Raw!$F$2:$F$500) = TIME(0,0,0), "", SUMIF(Raw!$A$2:$A$500, MHT!A750, Raw!$F$2:$F$500))</f>
        <v/>
      </c>
      <c r="F750" s="12" t="str">
        <f t="array" ref="F750">IF(A750="", "", IF(COUNTIF(Raw!$H$1:$I$500, A750) &gt; 0, "Done", IF(COUNTIF(Raw!$J$1:$J$500, A750) &gt; 0, "Pause", IF(COUNTIF(Raw!$K$1:$K$500, A750) &gt; 0, "On-Going", "Pause"))))</f>
        <v/>
      </c>
      <c r="G750" s="51"/>
      <c r="H750" s="50"/>
    </row>
    <row r="751" spans="1:8" x14ac:dyDescent="0.4">
      <c r="A751" s="61"/>
      <c r="B751" s="16" t="str">
        <f t="array" ref="B751">IFERROR(MIN(IF(Raw!$A$2:$A$26=MHT!A751,Raw!$B$2:$B$20)),"")</f>
        <v/>
      </c>
      <c r="C751" s="13" t="str">
        <f t="array" ref="C751">IFERROR(MIN(IF(Raw!$A$2:$A$26=MHT!A751,Raw!$C$2:$C$20)),"")</f>
        <v/>
      </c>
      <c r="D751" s="14" t="str">
        <f t="array" ref="D751">IF(Raw!D744="","",IFERROR(MAX(IF(Raw!$A$2:$A$26=MHT!A751,Raw!$D$2:$D$20)),""))</f>
        <v/>
      </c>
      <c r="E751" s="6" t="str">
        <f>IF(SUMIF(Raw!$A$2:$A$500, MHT!A751, Raw!$F$2:$F$500) = TIME(0,0,0), "", SUMIF(Raw!$A$2:$A$500, MHT!A751, Raw!$F$2:$F$500))</f>
        <v/>
      </c>
      <c r="F751" s="12" t="str">
        <f t="array" ref="F751">IF(A751="", "", IF(COUNTIF(Raw!$H$1:$I$500, A751) &gt; 0, "Done", IF(COUNTIF(Raw!$J$1:$J$500, A751) &gt; 0, "Pause", IF(COUNTIF(Raw!$K$1:$K$500, A751) &gt; 0, "On-Going", "Pause"))))</f>
        <v/>
      </c>
      <c r="G751" s="51"/>
      <c r="H751" s="50"/>
    </row>
    <row r="752" spans="1:8" x14ac:dyDescent="0.4">
      <c r="A752" s="61"/>
      <c r="B752" s="16" t="str">
        <f t="array" ref="B752">IFERROR(MIN(IF(Raw!$A$2:$A$26=MHT!A752,Raw!$B$2:$B$20)),"")</f>
        <v/>
      </c>
      <c r="C752" s="13" t="str">
        <f t="array" ref="C752">IFERROR(MIN(IF(Raw!$A$2:$A$26=MHT!A752,Raw!$C$2:$C$20)),"")</f>
        <v/>
      </c>
      <c r="D752" s="14" t="str">
        <f t="array" ref="D752">IF(Raw!D745="","",IFERROR(MAX(IF(Raw!$A$2:$A$26=MHT!A752,Raw!$D$2:$D$20)),""))</f>
        <v/>
      </c>
      <c r="E752" s="6" t="str">
        <f>IF(SUMIF(Raw!$A$2:$A$500, MHT!A752, Raw!$F$2:$F$500) = TIME(0,0,0), "", SUMIF(Raw!$A$2:$A$500, MHT!A752, Raw!$F$2:$F$500))</f>
        <v/>
      </c>
      <c r="F752" s="12" t="str">
        <f t="array" ref="F752">IF(A752="", "", IF(COUNTIF(Raw!$H$1:$I$500, A752) &gt; 0, "Done", IF(COUNTIF(Raw!$J$1:$J$500, A752) &gt; 0, "Pause", IF(COUNTIF(Raw!$K$1:$K$500, A752) &gt; 0, "On-Going", "Pause"))))</f>
        <v/>
      </c>
      <c r="G752" s="51"/>
      <c r="H752" s="50"/>
    </row>
    <row r="753" spans="1:8" x14ac:dyDescent="0.4">
      <c r="A753" s="61"/>
      <c r="B753" s="16" t="str">
        <f t="array" ref="B753">IFERROR(MIN(IF(Raw!$A$2:$A$26=MHT!A753,Raw!$B$2:$B$20)),"")</f>
        <v/>
      </c>
      <c r="C753" s="13" t="str">
        <f t="array" ref="C753">IFERROR(MIN(IF(Raw!$A$2:$A$26=MHT!A753,Raw!$C$2:$C$20)),"")</f>
        <v/>
      </c>
      <c r="D753" s="14" t="str">
        <f t="array" ref="D753">IF(Raw!D746="","",IFERROR(MAX(IF(Raw!$A$2:$A$26=MHT!A753,Raw!$D$2:$D$20)),""))</f>
        <v/>
      </c>
      <c r="E753" s="6" t="str">
        <f>IF(SUMIF(Raw!$A$2:$A$500, MHT!A753, Raw!$F$2:$F$500) = TIME(0,0,0), "", SUMIF(Raw!$A$2:$A$500, MHT!A753, Raw!$F$2:$F$500))</f>
        <v/>
      </c>
      <c r="F753" s="12" t="str">
        <f t="array" ref="F753">IF(A753="", "", IF(COUNTIF(Raw!$H$1:$I$500, A753) &gt; 0, "Done", IF(COUNTIF(Raw!$J$1:$J$500, A753) &gt; 0, "Pause", IF(COUNTIF(Raw!$K$1:$K$500, A753) &gt; 0, "On-Going", "Pause"))))</f>
        <v/>
      </c>
      <c r="G753" s="51"/>
      <c r="H753" s="50"/>
    </row>
    <row r="754" spans="1:8" x14ac:dyDescent="0.4">
      <c r="A754" s="61"/>
      <c r="B754" s="16" t="str">
        <f t="array" ref="B754">IFERROR(MIN(IF(Raw!$A$2:$A$26=MHT!A754,Raw!$B$2:$B$20)),"")</f>
        <v/>
      </c>
      <c r="C754" s="13" t="str">
        <f t="array" ref="C754">IFERROR(MIN(IF(Raw!$A$2:$A$26=MHT!A754,Raw!$C$2:$C$20)),"")</f>
        <v/>
      </c>
      <c r="D754" s="14" t="str">
        <f t="array" ref="D754">IF(Raw!D747="","",IFERROR(MAX(IF(Raw!$A$2:$A$26=MHT!A754,Raw!$D$2:$D$20)),""))</f>
        <v/>
      </c>
      <c r="E754" s="6" t="str">
        <f>IF(SUMIF(Raw!$A$2:$A$500, MHT!A754, Raw!$F$2:$F$500) = TIME(0,0,0), "", SUMIF(Raw!$A$2:$A$500, MHT!A754, Raw!$F$2:$F$500))</f>
        <v/>
      </c>
      <c r="F754" s="12" t="str">
        <f t="array" ref="F754">IF(A754="", "", IF(COUNTIF(Raw!$H$1:$I$500, A754) &gt; 0, "Done", IF(COUNTIF(Raw!$J$1:$J$500, A754) &gt; 0, "Pause", IF(COUNTIF(Raw!$K$1:$K$500, A754) &gt; 0, "On-Going", "Pause"))))</f>
        <v/>
      </c>
      <c r="G754" s="51"/>
      <c r="H754" s="50"/>
    </row>
    <row r="755" spans="1:8" x14ac:dyDescent="0.4">
      <c r="A755" s="61"/>
      <c r="B755" s="16" t="str">
        <f t="array" ref="B755">IFERROR(MIN(IF(Raw!$A$2:$A$26=MHT!A755,Raw!$B$2:$B$20)),"")</f>
        <v/>
      </c>
      <c r="C755" s="13" t="str">
        <f t="array" ref="C755">IFERROR(MIN(IF(Raw!$A$2:$A$26=MHT!A755,Raw!$C$2:$C$20)),"")</f>
        <v/>
      </c>
      <c r="D755" s="14" t="str">
        <f t="array" ref="D755">IF(Raw!D748="","",IFERROR(MAX(IF(Raw!$A$2:$A$26=MHT!A755,Raw!$D$2:$D$20)),""))</f>
        <v/>
      </c>
      <c r="E755" s="6" t="str">
        <f>IF(SUMIF(Raw!$A$2:$A$500, MHT!A755, Raw!$F$2:$F$500) = TIME(0,0,0), "", SUMIF(Raw!$A$2:$A$500, MHT!A755, Raw!$F$2:$F$500))</f>
        <v/>
      </c>
      <c r="F755" s="12" t="str">
        <f t="array" ref="F755">IF(A755="", "", IF(COUNTIF(Raw!$H$1:$I$500, A755) &gt; 0, "Done", IF(COUNTIF(Raw!$J$1:$J$500, A755) &gt; 0, "Pause", IF(COUNTIF(Raw!$K$1:$K$500, A755) &gt; 0, "On-Going", "Pause"))))</f>
        <v/>
      </c>
      <c r="G755" s="51"/>
      <c r="H755" s="50"/>
    </row>
    <row r="756" spans="1:8" x14ac:dyDescent="0.4">
      <c r="A756" s="61"/>
      <c r="B756" s="16" t="str">
        <f t="array" ref="B756">IFERROR(MIN(IF(Raw!$A$2:$A$26=MHT!A756,Raw!$B$2:$B$20)),"")</f>
        <v/>
      </c>
      <c r="C756" s="13" t="str">
        <f t="array" ref="C756">IFERROR(MIN(IF(Raw!$A$2:$A$26=MHT!A756,Raw!$C$2:$C$20)),"")</f>
        <v/>
      </c>
      <c r="D756" s="14" t="str">
        <f t="array" ref="D756">IF(Raw!D749="","",IFERROR(MAX(IF(Raw!$A$2:$A$26=MHT!A756,Raw!$D$2:$D$20)),""))</f>
        <v/>
      </c>
      <c r="E756" s="6" t="str">
        <f>IF(SUMIF(Raw!$A$2:$A$500, MHT!A756, Raw!$F$2:$F$500) = TIME(0,0,0), "", SUMIF(Raw!$A$2:$A$500, MHT!A756, Raw!$F$2:$F$500))</f>
        <v/>
      </c>
      <c r="F756" s="12" t="str">
        <f t="array" ref="F756">IF(A756="", "", IF(COUNTIF(Raw!$H$1:$I$500, A756) &gt; 0, "Done", IF(COUNTIF(Raw!$J$1:$J$500, A756) &gt; 0, "Pause", IF(COUNTIF(Raw!$K$1:$K$500, A756) &gt; 0, "On-Going", "Pause"))))</f>
        <v/>
      </c>
      <c r="G756" s="51"/>
      <c r="H756" s="50"/>
    </row>
    <row r="757" spans="1:8" x14ac:dyDescent="0.4">
      <c r="A757" s="61"/>
      <c r="B757" s="16" t="str">
        <f t="array" ref="B757">IFERROR(MIN(IF(Raw!$A$2:$A$26=MHT!A757,Raw!$B$2:$B$20)),"")</f>
        <v/>
      </c>
      <c r="C757" s="13" t="str">
        <f t="array" ref="C757">IFERROR(MIN(IF(Raw!$A$2:$A$26=MHT!A757,Raw!$C$2:$C$20)),"")</f>
        <v/>
      </c>
      <c r="D757" s="14" t="str">
        <f t="array" ref="D757">IF(Raw!D750="","",IFERROR(MAX(IF(Raw!$A$2:$A$26=MHT!A757,Raw!$D$2:$D$20)),""))</f>
        <v/>
      </c>
      <c r="E757" s="6" t="str">
        <f>IF(SUMIF(Raw!$A$2:$A$500, MHT!A757, Raw!$F$2:$F$500) = TIME(0,0,0), "", SUMIF(Raw!$A$2:$A$500, MHT!A757, Raw!$F$2:$F$500))</f>
        <v/>
      </c>
      <c r="F757" s="12" t="str">
        <f t="array" ref="F757">IF(A757="", "", IF(COUNTIF(Raw!$H$1:$I$500, A757) &gt; 0, "Done", IF(COUNTIF(Raw!$J$1:$J$500, A757) &gt; 0, "Pause", IF(COUNTIF(Raw!$K$1:$K$500, A757) &gt; 0, "On-Going", "Pause"))))</f>
        <v/>
      </c>
      <c r="G757" s="51"/>
      <c r="H757" s="50"/>
    </row>
    <row r="758" spans="1:8" x14ac:dyDescent="0.4">
      <c r="A758" s="61"/>
      <c r="B758" s="16" t="str">
        <f t="array" ref="B758">IFERROR(MIN(IF(Raw!$A$2:$A$26=MHT!A758,Raw!$B$2:$B$20)),"")</f>
        <v/>
      </c>
      <c r="C758" s="13" t="str">
        <f t="array" ref="C758">IFERROR(MIN(IF(Raw!$A$2:$A$26=MHT!A758,Raw!$C$2:$C$20)),"")</f>
        <v/>
      </c>
      <c r="D758" s="14" t="str">
        <f t="array" ref="D758">IF(Raw!D751="","",IFERROR(MAX(IF(Raw!$A$2:$A$26=MHT!A758,Raw!$D$2:$D$20)),""))</f>
        <v/>
      </c>
      <c r="E758" s="6" t="str">
        <f>IF(SUMIF(Raw!$A$2:$A$500, MHT!A758, Raw!$F$2:$F$500) = TIME(0,0,0), "", SUMIF(Raw!$A$2:$A$500, MHT!A758, Raw!$F$2:$F$500))</f>
        <v/>
      </c>
      <c r="F758" s="12" t="str">
        <f t="array" ref="F758">IF(A758="", "", IF(COUNTIF(Raw!$H$1:$I$500, A758) &gt; 0, "Done", IF(COUNTIF(Raw!$J$1:$J$500, A758) &gt; 0, "Pause", IF(COUNTIF(Raw!$K$1:$K$500, A758) &gt; 0, "On-Going", "Pause"))))</f>
        <v/>
      </c>
      <c r="G758" s="51"/>
      <c r="H758" s="50"/>
    </row>
    <row r="759" spans="1:8" x14ac:dyDescent="0.4">
      <c r="A759" s="61"/>
      <c r="B759" s="16" t="str">
        <f t="array" ref="B759">IFERROR(MIN(IF(Raw!$A$2:$A$26=MHT!A759,Raw!$B$2:$B$20)),"")</f>
        <v/>
      </c>
      <c r="C759" s="13" t="str">
        <f t="array" ref="C759">IFERROR(MIN(IF(Raw!$A$2:$A$26=MHT!A759,Raw!$C$2:$C$20)),"")</f>
        <v/>
      </c>
      <c r="D759" s="14" t="str">
        <f t="array" ref="D759">IF(Raw!D752="","",IFERROR(MAX(IF(Raw!$A$2:$A$26=MHT!A759,Raw!$D$2:$D$20)),""))</f>
        <v/>
      </c>
      <c r="E759" s="6" t="str">
        <f>IF(SUMIF(Raw!$A$2:$A$500, MHT!A759, Raw!$F$2:$F$500) = TIME(0,0,0), "", SUMIF(Raw!$A$2:$A$500, MHT!A759, Raw!$F$2:$F$500))</f>
        <v/>
      </c>
      <c r="F759" s="12" t="str">
        <f t="array" ref="F759">IF(A759="", "", IF(COUNTIF(Raw!$H$1:$I$500, A759) &gt; 0, "Done", IF(COUNTIF(Raw!$J$1:$J$500, A759) &gt; 0, "Pause", IF(COUNTIF(Raw!$K$1:$K$500, A759) &gt; 0, "On-Going", "Pause"))))</f>
        <v/>
      </c>
      <c r="G759" s="51"/>
      <c r="H759" s="50"/>
    </row>
    <row r="760" spans="1:8" x14ac:dyDescent="0.4">
      <c r="A760" s="61"/>
      <c r="B760" s="16" t="str">
        <f t="array" ref="B760">IFERROR(MIN(IF(Raw!$A$2:$A$26=MHT!A760,Raw!$B$2:$B$20)),"")</f>
        <v/>
      </c>
      <c r="C760" s="13" t="str">
        <f t="array" ref="C760">IFERROR(MIN(IF(Raw!$A$2:$A$26=MHT!A760,Raw!$C$2:$C$20)),"")</f>
        <v/>
      </c>
      <c r="D760" s="14" t="str">
        <f t="array" ref="D760">IF(Raw!D753="","",IFERROR(MAX(IF(Raw!$A$2:$A$26=MHT!A760,Raw!$D$2:$D$20)),""))</f>
        <v/>
      </c>
      <c r="E760" s="6" t="str">
        <f>IF(SUMIF(Raw!$A$2:$A$500, MHT!A760, Raw!$F$2:$F$500) = TIME(0,0,0), "", SUMIF(Raw!$A$2:$A$500, MHT!A760, Raw!$F$2:$F$500))</f>
        <v/>
      </c>
      <c r="F760" s="12" t="str">
        <f t="array" ref="F760">IF(A760="", "", IF(COUNTIF(Raw!$H$1:$I$500, A760) &gt; 0, "Done", IF(COUNTIF(Raw!$J$1:$J$500, A760) &gt; 0, "Pause", IF(COUNTIF(Raw!$K$1:$K$500, A760) &gt; 0, "On-Going", "Pause"))))</f>
        <v/>
      </c>
      <c r="G760" s="51"/>
      <c r="H760" s="50"/>
    </row>
    <row r="761" spans="1:8" x14ac:dyDescent="0.4">
      <c r="A761" s="61"/>
      <c r="B761" s="16" t="str">
        <f t="array" ref="B761">IFERROR(MIN(IF(Raw!$A$2:$A$26=MHT!A761,Raw!$B$2:$B$20)),"")</f>
        <v/>
      </c>
      <c r="C761" s="13" t="str">
        <f t="array" ref="C761">IFERROR(MIN(IF(Raw!$A$2:$A$26=MHT!A761,Raw!$C$2:$C$20)),"")</f>
        <v/>
      </c>
      <c r="D761" s="14" t="str">
        <f t="array" ref="D761">IF(Raw!D754="","",IFERROR(MAX(IF(Raw!$A$2:$A$26=MHT!A761,Raw!$D$2:$D$20)),""))</f>
        <v/>
      </c>
      <c r="E761" s="6" t="str">
        <f>IF(SUMIF(Raw!$A$2:$A$500, MHT!A761, Raw!$F$2:$F$500) = TIME(0,0,0), "", SUMIF(Raw!$A$2:$A$500, MHT!A761, Raw!$F$2:$F$500))</f>
        <v/>
      </c>
      <c r="F761" s="12" t="str">
        <f t="array" ref="F761">IF(A761="", "", IF(COUNTIF(Raw!$H$1:$I$500, A761) &gt; 0, "Done", IF(COUNTIF(Raw!$J$1:$J$500, A761) &gt; 0, "Pause", IF(COUNTIF(Raw!$K$1:$K$500, A761) &gt; 0, "On-Going", "Pause"))))</f>
        <v/>
      </c>
      <c r="G761" s="51"/>
      <c r="H761" s="50"/>
    </row>
    <row r="762" spans="1:8" x14ac:dyDescent="0.4">
      <c r="A762" s="61"/>
      <c r="B762" s="16" t="str">
        <f t="array" ref="B762">IFERROR(MIN(IF(Raw!$A$2:$A$26=MHT!A762,Raw!$B$2:$B$20)),"")</f>
        <v/>
      </c>
      <c r="C762" s="13" t="str">
        <f t="array" ref="C762">IFERROR(MIN(IF(Raw!$A$2:$A$26=MHT!A762,Raw!$C$2:$C$20)),"")</f>
        <v/>
      </c>
      <c r="D762" s="14" t="str">
        <f t="array" ref="D762">IF(Raw!D755="","",IFERROR(MAX(IF(Raw!$A$2:$A$26=MHT!A762,Raw!$D$2:$D$20)),""))</f>
        <v/>
      </c>
      <c r="E762" s="6" t="str">
        <f>IF(SUMIF(Raw!$A$2:$A$500, MHT!A762, Raw!$F$2:$F$500) = TIME(0,0,0), "", SUMIF(Raw!$A$2:$A$500, MHT!A762, Raw!$F$2:$F$500))</f>
        <v/>
      </c>
      <c r="F762" s="12" t="str">
        <f t="array" ref="F762">IF(A762="", "", IF(COUNTIF(Raw!$H$1:$I$500, A762) &gt; 0, "Done", IF(COUNTIF(Raw!$J$1:$J$500, A762) &gt; 0, "Pause", IF(COUNTIF(Raw!$K$1:$K$500, A762) &gt; 0, "On-Going", "Pause"))))</f>
        <v/>
      </c>
      <c r="G762" s="51"/>
      <c r="H762" s="50"/>
    </row>
    <row r="763" spans="1:8" x14ac:dyDescent="0.4">
      <c r="A763" s="61"/>
      <c r="B763" s="16" t="str">
        <f t="array" ref="B763">IFERROR(MIN(IF(Raw!$A$2:$A$26=MHT!A763,Raw!$B$2:$B$20)),"")</f>
        <v/>
      </c>
      <c r="C763" s="13" t="str">
        <f t="array" ref="C763">IFERROR(MIN(IF(Raw!$A$2:$A$26=MHT!A763,Raw!$C$2:$C$20)),"")</f>
        <v/>
      </c>
      <c r="D763" s="14" t="str">
        <f t="array" ref="D763">IF(Raw!D756="","",IFERROR(MAX(IF(Raw!$A$2:$A$26=MHT!A763,Raw!$D$2:$D$20)),""))</f>
        <v/>
      </c>
      <c r="E763" s="6" t="str">
        <f>IF(SUMIF(Raw!$A$2:$A$500, MHT!A763, Raw!$F$2:$F$500) = TIME(0,0,0), "", SUMIF(Raw!$A$2:$A$500, MHT!A763, Raw!$F$2:$F$500))</f>
        <v/>
      </c>
      <c r="F763" s="12" t="str">
        <f t="array" ref="F763">IF(A763="", "", IF(COUNTIF(Raw!$H$1:$I$500, A763) &gt; 0, "Done", IF(COUNTIF(Raw!$J$1:$J$500, A763) &gt; 0, "Pause", IF(COUNTIF(Raw!$K$1:$K$500, A763) &gt; 0, "On-Going", "Pause"))))</f>
        <v/>
      </c>
      <c r="G763" s="51"/>
      <c r="H763" s="50"/>
    </row>
    <row r="764" spans="1:8" x14ac:dyDescent="0.4">
      <c r="A764" s="61"/>
      <c r="B764" s="16" t="str">
        <f t="array" ref="B764">IFERROR(MIN(IF(Raw!$A$2:$A$26=MHT!A764,Raw!$B$2:$B$20)),"")</f>
        <v/>
      </c>
      <c r="C764" s="13" t="str">
        <f t="array" ref="C764">IFERROR(MIN(IF(Raw!$A$2:$A$26=MHT!A764,Raw!$C$2:$C$20)),"")</f>
        <v/>
      </c>
      <c r="D764" s="14" t="str">
        <f t="array" ref="D764">IF(Raw!D757="","",IFERROR(MAX(IF(Raw!$A$2:$A$26=MHT!A764,Raw!$D$2:$D$20)),""))</f>
        <v/>
      </c>
      <c r="E764" s="6" t="str">
        <f>IF(SUMIF(Raw!$A$2:$A$500, MHT!A764, Raw!$F$2:$F$500) = TIME(0,0,0), "", SUMIF(Raw!$A$2:$A$500, MHT!A764, Raw!$F$2:$F$500))</f>
        <v/>
      </c>
      <c r="F764" s="12" t="str">
        <f t="array" ref="F764">IF(A764="", "", IF(COUNTIF(Raw!$H$1:$I$500, A764) &gt; 0, "Done", IF(COUNTIF(Raw!$J$1:$J$500, A764) &gt; 0, "Pause", IF(COUNTIF(Raw!$K$1:$K$500, A764) &gt; 0, "On-Going", "Pause"))))</f>
        <v/>
      </c>
      <c r="G764" s="51"/>
      <c r="H764" s="50"/>
    </row>
    <row r="765" spans="1:8" x14ac:dyDescent="0.4">
      <c r="A765" s="61"/>
      <c r="B765" s="16" t="str">
        <f t="array" ref="B765">IFERROR(MIN(IF(Raw!$A$2:$A$26=MHT!A765,Raw!$B$2:$B$20)),"")</f>
        <v/>
      </c>
      <c r="C765" s="13" t="str">
        <f t="array" ref="C765">IFERROR(MIN(IF(Raw!$A$2:$A$26=MHT!A765,Raw!$C$2:$C$20)),"")</f>
        <v/>
      </c>
      <c r="D765" s="14" t="str">
        <f t="array" ref="D765">IF(Raw!D758="","",IFERROR(MAX(IF(Raw!$A$2:$A$26=MHT!A765,Raw!$D$2:$D$20)),""))</f>
        <v/>
      </c>
      <c r="E765" s="6" t="str">
        <f>IF(SUMIF(Raw!$A$2:$A$500, MHT!A765, Raw!$F$2:$F$500) = TIME(0,0,0), "", SUMIF(Raw!$A$2:$A$500, MHT!A765, Raw!$F$2:$F$500))</f>
        <v/>
      </c>
      <c r="F765" s="12" t="str">
        <f t="array" ref="F765">IF(A765="", "", IF(COUNTIF(Raw!$H$1:$I$500, A765) &gt; 0, "Done", IF(COUNTIF(Raw!$J$1:$J$500, A765) &gt; 0, "Pause", IF(COUNTIF(Raw!$K$1:$K$500, A765) &gt; 0, "On-Going", "Pause"))))</f>
        <v/>
      </c>
      <c r="G765" s="51"/>
      <c r="H765" s="50"/>
    </row>
    <row r="766" spans="1:8" x14ac:dyDescent="0.4">
      <c r="A766" s="61"/>
      <c r="B766" s="16" t="str">
        <f t="array" ref="B766">IFERROR(MIN(IF(Raw!$A$2:$A$26=MHT!A766,Raw!$B$2:$B$20)),"")</f>
        <v/>
      </c>
      <c r="C766" s="13" t="str">
        <f t="array" ref="C766">IFERROR(MIN(IF(Raw!$A$2:$A$26=MHT!A766,Raw!$C$2:$C$20)),"")</f>
        <v/>
      </c>
      <c r="D766" s="14" t="str">
        <f t="array" ref="D766">IF(Raw!D759="","",IFERROR(MAX(IF(Raw!$A$2:$A$26=MHT!A766,Raw!$D$2:$D$20)),""))</f>
        <v/>
      </c>
      <c r="E766" s="6" t="str">
        <f>IF(SUMIF(Raw!$A$2:$A$500, MHT!A766, Raw!$F$2:$F$500) = TIME(0,0,0), "", SUMIF(Raw!$A$2:$A$500, MHT!A766, Raw!$F$2:$F$500))</f>
        <v/>
      </c>
      <c r="F766" s="12" t="str">
        <f t="array" ref="F766">IF(A766="", "", IF(COUNTIF(Raw!$H$1:$I$500, A766) &gt; 0, "Done", IF(COUNTIF(Raw!$J$1:$J$500, A766) &gt; 0, "Pause", IF(COUNTIF(Raw!$K$1:$K$500, A766) &gt; 0, "On-Going", "Pause"))))</f>
        <v/>
      </c>
      <c r="G766" s="51"/>
      <c r="H766" s="50"/>
    </row>
    <row r="767" spans="1:8" x14ac:dyDescent="0.4">
      <c r="A767" s="61"/>
      <c r="B767" s="16" t="str">
        <f t="array" ref="B767">IFERROR(MIN(IF(Raw!$A$2:$A$26=MHT!A767,Raw!$B$2:$B$20)),"")</f>
        <v/>
      </c>
      <c r="C767" s="13" t="str">
        <f t="array" ref="C767">IFERROR(MIN(IF(Raw!$A$2:$A$26=MHT!A767,Raw!$C$2:$C$20)),"")</f>
        <v/>
      </c>
      <c r="D767" s="14" t="str">
        <f t="array" ref="D767">IF(Raw!D760="","",IFERROR(MAX(IF(Raw!$A$2:$A$26=MHT!A767,Raw!$D$2:$D$20)),""))</f>
        <v/>
      </c>
      <c r="E767" s="6" t="str">
        <f>IF(SUMIF(Raw!$A$2:$A$500, MHT!A767, Raw!$F$2:$F$500) = TIME(0,0,0), "", SUMIF(Raw!$A$2:$A$500, MHT!A767, Raw!$F$2:$F$500))</f>
        <v/>
      </c>
      <c r="F767" s="12" t="str">
        <f t="array" ref="F767">IF(A767="", "", IF(COUNTIF(Raw!$H$1:$I$500, A767) &gt; 0, "Done", IF(COUNTIF(Raw!$J$1:$J$500, A767) &gt; 0, "Pause", IF(COUNTIF(Raw!$K$1:$K$500, A767) &gt; 0, "On-Going", "Pause"))))</f>
        <v/>
      </c>
      <c r="G767" s="51"/>
      <c r="H767" s="50"/>
    </row>
    <row r="768" spans="1:8" x14ac:dyDescent="0.4">
      <c r="A768" s="61"/>
      <c r="B768" s="16" t="str">
        <f t="array" ref="B768">IFERROR(MIN(IF(Raw!$A$2:$A$26=MHT!A768,Raw!$B$2:$B$20)),"")</f>
        <v/>
      </c>
      <c r="C768" s="13" t="str">
        <f t="array" ref="C768">IFERROR(MIN(IF(Raw!$A$2:$A$26=MHT!A768,Raw!$C$2:$C$20)),"")</f>
        <v/>
      </c>
      <c r="D768" s="14" t="str">
        <f t="array" ref="D768">IF(Raw!D761="","",IFERROR(MAX(IF(Raw!$A$2:$A$26=MHT!A768,Raw!$D$2:$D$20)),""))</f>
        <v/>
      </c>
      <c r="E768" s="6" t="str">
        <f>IF(SUMIF(Raw!$A$2:$A$500, MHT!A768, Raw!$F$2:$F$500) = TIME(0,0,0), "", SUMIF(Raw!$A$2:$A$500, MHT!A768, Raw!$F$2:$F$500))</f>
        <v/>
      </c>
      <c r="F768" s="12" t="str">
        <f t="array" ref="F768">IF(A768="", "", IF(COUNTIF(Raw!$H$1:$I$500, A768) &gt; 0, "Done", IF(COUNTIF(Raw!$J$1:$J$500, A768) &gt; 0, "Pause", IF(COUNTIF(Raw!$K$1:$K$500, A768) &gt; 0, "On-Going", "Pause"))))</f>
        <v/>
      </c>
      <c r="G768" s="51"/>
      <c r="H768" s="50"/>
    </row>
    <row r="769" spans="1:8" x14ac:dyDescent="0.4">
      <c r="A769" s="61"/>
      <c r="B769" s="16" t="str">
        <f t="array" ref="B769">IFERROR(MIN(IF(Raw!$A$2:$A$26=MHT!A769,Raw!$B$2:$B$20)),"")</f>
        <v/>
      </c>
      <c r="C769" s="13" t="str">
        <f t="array" ref="C769">IFERROR(MIN(IF(Raw!$A$2:$A$26=MHT!A769,Raw!$C$2:$C$20)),"")</f>
        <v/>
      </c>
      <c r="D769" s="14" t="str">
        <f t="array" ref="D769">IF(Raw!D762="","",IFERROR(MAX(IF(Raw!$A$2:$A$26=MHT!A769,Raw!$D$2:$D$20)),""))</f>
        <v/>
      </c>
      <c r="E769" s="6" t="str">
        <f>IF(SUMIF(Raw!$A$2:$A$500, MHT!A769, Raw!$F$2:$F$500) = TIME(0,0,0), "", SUMIF(Raw!$A$2:$A$500, MHT!A769, Raw!$F$2:$F$500))</f>
        <v/>
      </c>
      <c r="F769" s="12" t="str">
        <f t="array" ref="F769">IF(A769="", "", IF(COUNTIF(Raw!$H$1:$I$500, A769) &gt; 0, "Done", IF(COUNTIF(Raw!$J$1:$J$500, A769) &gt; 0, "Pause", IF(COUNTIF(Raw!$K$1:$K$500, A769) &gt; 0, "On-Going", "Pause"))))</f>
        <v/>
      </c>
      <c r="G769" s="51"/>
      <c r="H769" s="50"/>
    </row>
    <row r="770" spans="1:8" x14ac:dyDescent="0.4">
      <c r="A770" s="61"/>
      <c r="B770" s="16" t="str">
        <f t="array" ref="B770">IFERROR(MIN(IF(Raw!$A$2:$A$26=MHT!A770,Raw!$B$2:$B$20)),"")</f>
        <v/>
      </c>
      <c r="C770" s="13" t="str">
        <f t="array" ref="C770">IFERROR(MIN(IF(Raw!$A$2:$A$26=MHT!A770,Raw!$C$2:$C$20)),"")</f>
        <v/>
      </c>
      <c r="D770" s="14" t="str">
        <f t="array" ref="D770">IF(Raw!D763="","",IFERROR(MAX(IF(Raw!$A$2:$A$26=MHT!A770,Raw!$D$2:$D$20)),""))</f>
        <v/>
      </c>
      <c r="E770" s="6" t="str">
        <f>IF(SUMIF(Raw!$A$2:$A$500, MHT!A770, Raw!$F$2:$F$500) = TIME(0,0,0), "", SUMIF(Raw!$A$2:$A$500, MHT!A770, Raw!$F$2:$F$500))</f>
        <v/>
      </c>
      <c r="F770" s="12" t="str">
        <f t="array" ref="F770">IF(A770="", "", IF(COUNTIF(Raw!$H$1:$I$500, A770) &gt; 0, "Done", IF(COUNTIF(Raw!$J$1:$J$500, A770) &gt; 0, "Pause", IF(COUNTIF(Raw!$K$1:$K$500, A770) &gt; 0, "On-Going", "Pause"))))</f>
        <v/>
      </c>
      <c r="G770" s="51"/>
      <c r="H770" s="50"/>
    </row>
    <row r="771" spans="1:8" x14ac:dyDescent="0.4">
      <c r="A771" s="61"/>
      <c r="B771" s="16" t="str">
        <f t="array" ref="B771">IFERROR(MIN(IF(Raw!$A$2:$A$26=MHT!A771,Raw!$B$2:$B$20)),"")</f>
        <v/>
      </c>
      <c r="C771" s="13" t="str">
        <f t="array" ref="C771">IFERROR(MIN(IF(Raw!$A$2:$A$26=MHT!A771,Raw!$C$2:$C$20)),"")</f>
        <v/>
      </c>
      <c r="D771" s="14" t="str">
        <f t="array" ref="D771">IF(Raw!D764="","",IFERROR(MAX(IF(Raw!$A$2:$A$26=MHT!A771,Raw!$D$2:$D$20)),""))</f>
        <v/>
      </c>
      <c r="E771" s="6" t="str">
        <f>IF(SUMIF(Raw!$A$2:$A$500, MHT!A771, Raw!$F$2:$F$500) = TIME(0,0,0), "", SUMIF(Raw!$A$2:$A$500, MHT!A771, Raw!$F$2:$F$500))</f>
        <v/>
      </c>
      <c r="F771" s="12" t="str">
        <f t="array" ref="F771">IF(A771="", "", IF(COUNTIF(Raw!$H$1:$I$500, A771) &gt; 0, "Done", IF(COUNTIF(Raw!$J$1:$J$500, A771) &gt; 0, "Pause", IF(COUNTIF(Raw!$K$1:$K$500, A771) &gt; 0, "On-Going", "Pause"))))</f>
        <v/>
      </c>
      <c r="G771" s="51"/>
      <c r="H771" s="50"/>
    </row>
    <row r="772" spans="1:8" x14ac:dyDescent="0.4">
      <c r="A772" s="61"/>
      <c r="B772" s="16" t="str">
        <f t="array" ref="B772">IFERROR(MIN(IF(Raw!$A$2:$A$26=MHT!A772,Raw!$B$2:$B$20)),"")</f>
        <v/>
      </c>
      <c r="C772" s="13" t="str">
        <f t="array" ref="C772">IFERROR(MIN(IF(Raw!$A$2:$A$26=MHT!A772,Raw!$C$2:$C$20)),"")</f>
        <v/>
      </c>
      <c r="D772" s="14" t="str">
        <f t="array" ref="D772">IF(Raw!D765="","",IFERROR(MAX(IF(Raw!$A$2:$A$26=MHT!A772,Raw!$D$2:$D$20)),""))</f>
        <v/>
      </c>
      <c r="E772" s="6" t="str">
        <f>IF(SUMIF(Raw!$A$2:$A$500, MHT!A772, Raw!$F$2:$F$500) = TIME(0,0,0), "", SUMIF(Raw!$A$2:$A$500, MHT!A772, Raw!$F$2:$F$500))</f>
        <v/>
      </c>
      <c r="F772" s="12" t="str">
        <f t="array" ref="F772">IF(A772="", "", IF(COUNTIF(Raw!$H$1:$I$500, A772) &gt; 0, "Done", IF(COUNTIF(Raw!$J$1:$J$500, A772) &gt; 0, "Pause", IF(COUNTIF(Raw!$K$1:$K$500, A772) &gt; 0, "On-Going", "Pause"))))</f>
        <v/>
      </c>
      <c r="G772" s="51"/>
      <c r="H772" s="50"/>
    </row>
    <row r="773" spans="1:8" x14ac:dyDescent="0.4">
      <c r="A773" s="61"/>
      <c r="B773" s="16" t="str">
        <f t="array" ref="B773">IFERROR(MIN(IF(Raw!$A$2:$A$26=MHT!A773,Raw!$B$2:$B$20)),"")</f>
        <v/>
      </c>
      <c r="C773" s="13" t="str">
        <f t="array" ref="C773">IFERROR(MIN(IF(Raw!$A$2:$A$26=MHT!A773,Raw!$C$2:$C$20)),"")</f>
        <v/>
      </c>
      <c r="D773" s="14" t="str">
        <f t="array" ref="D773">IF(Raw!D766="","",IFERROR(MAX(IF(Raw!$A$2:$A$26=MHT!A773,Raw!$D$2:$D$20)),""))</f>
        <v/>
      </c>
      <c r="E773" s="6" t="str">
        <f>IF(SUMIF(Raw!$A$2:$A$500, MHT!A773, Raw!$F$2:$F$500) = TIME(0,0,0), "", SUMIF(Raw!$A$2:$A$500, MHT!A773, Raw!$F$2:$F$500))</f>
        <v/>
      </c>
      <c r="F773" s="12" t="str">
        <f t="array" ref="F773">IF(A773="", "", IF(COUNTIF(Raw!$H$1:$I$500, A773) &gt; 0, "Done", IF(COUNTIF(Raw!$J$1:$J$500, A773) &gt; 0, "Pause", IF(COUNTIF(Raw!$K$1:$K$500, A773) &gt; 0, "On-Going", "Pause"))))</f>
        <v/>
      </c>
      <c r="G773" s="51"/>
      <c r="H773" s="50"/>
    </row>
    <row r="774" spans="1:8" x14ac:dyDescent="0.4">
      <c r="A774" s="61"/>
      <c r="B774" s="16" t="str">
        <f t="array" ref="B774">IFERROR(MIN(IF(Raw!$A$2:$A$26=MHT!A774,Raw!$B$2:$B$20)),"")</f>
        <v/>
      </c>
      <c r="C774" s="13" t="str">
        <f t="array" ref="C774">IFERROR(MIN(IF(Raw!$A$2:$A$26=MHT!A774,Raw!$C$2:$C$20)),"")</f>
        <v/>
      </c>
      <c r="D774" s="14" t="str">
        <f t="array" ref="D774">IF(Raw!D767="","",IFERROR(MAX(IF(Raw!$A$2:$A$26=MHT!A774,Raw!$D$2:$D$20)),""))</f>
        <v/>
      </c>
      <c r="E774" s="6" t="str">
        <f>IF(SUMIF(Raw!$A$2:$A$500, MHT!A774, Raw!$F$2:$F$500) = TIME(0,0,0), "", SUMIF(Raw!$A$2:$A$500, MHT!A774, Raw!$F$2:$F$500))</f>
        <v/>
      </c>
      <c r="F774" s="12" t="str">
        <f t="array" ref="F774">IF(A774="", "", IF(COUNTIF(Raw!$H$1:$I$500, A774) &gt; 0, "Done", IF(COUNTIF(Raw!$J$1:$J$500, A774) &gt; 0, "Pause", IF(COUNTIF(Raw!$K$1:$K$500, A774) &gt; 0, "On-Going", "Pause"))))</f>
        <v/>
      </c>
      <c r="G774" s="51"/>
      <c r="H774" s="50"/>
    </row>
    <row r="775" spans="1:8" x14ac:dyDescent="0.4">
      <c r="A775" s="61"/>
      <c r="B775" s="16" t="str">
        <f t="array" ref="B775">IFERROR(MIN(IF(Raw!$A$2:$A$26=MHT!A775,Raw!$B$2:$B$20)),"")</f>
        <v/>
      </c>
      <c r="C775" s="13" t="str">
        <f t="array" ref="C775">IFERROR(MIN(IF(Raw!$A$2:$A$26=MHT!A775,Raw!$C$2:$C$20)),"")</f>
        <v/>
      </c>
      <c r="D775" s="14" t="str">
        <f t="array" ref="D775">IF(Raw!D768="","",IFERROR(MAX(IF(Raw!$A$2:$A$26=MHT!A775,Raw!$D$2:$D$20)),""))</f>
        <v/>
      </c>
      <c r="E775" s="6" t="str">
        <f>IF(SUMIF(Raw!$A$2:$A$500, MHT!A775, Raw!$F$2:$F$500) = TIME(0,0,0), "", SUMIF(Raw!$A$2:$A$500, MHT!A775, Raw!$F$2:$F$500))</f>
        <v/>
      </c>
      <c r="F775" s="12" t="str">
        <f t="array" ref="F775">IF(A775="", "", IF(COUNTIF(Raw!$H$1:$I$500, A775) &gt; 0, "Done", IF(COUNTIF(Raw!$J$1:$J$500, A775) &gt; 0, "Pause", IF(COUNTIF(Raw!$K$1:$K$500, A775) &gt; 0, "On-Going", "Pause"))))</f>
        <v/>
      </c>
      <c r="G775" s="51"/>
      <c r="H775" s="50"/>
    </row>
    <row r="776" spans="1:8" x14ac:dyDescent="0.4">
      <c r="A776" s="61"/>
      <c r="B776" s="16" t="str">
        <f t="array" ref="B776">IFERROR(MIN(IF(Raw!$A$2:$A$26=MHT!A776,Raw!$B$2:$B$20)),"")</f>
        <v/>
      </c>
      <c r="C776" s="13" t="str">
        <f t="array" ref="C776">IFERROR(MIN(IF(Raw!$A$2:$A$26=MHT!A776,Raw!$C$2:$C$20)),"")</f>
        <v/>
      </c>
      <c r="D776" s="14" t="str">
        <f t="array" ref="D776">IF(Raw!D769="","",IFERROR(MAX(IF(Raw!$A$2:$A$26=MHT!A776,Raw!$D$2:$D$20)),""))</f>
        <v/>
      </c>
      <c r="E776" s="6" t="str">
        <f>IF(SUMIF(Raw!$A$2:$A$500, MHT!A776, Raw!$F$2:$F$500) = TIME(0,0,0), "", SUMIF(Raw!$A$2:$A$500, MHT!A776, Raw!$F$2:$F$500))</f>
        <v/>
      </c>
      <c r="F776" s="12" t="str">
        <f t="array" ref="F776">IF(A776="", "", IF(COUNTIF(Raw!$H$1:$I$500, A776) &gt; 0, "Done", IF(COUNTIF(Raw!$J$1:$J$500, A776) &gt; 0, "Pause", IF(COUNTIF(Raw!$K$1:$K$500, A776) &gt; 0, "On-Going", "Pause"))))</f>
        <v/>
      </c>
      <c r="G776" s="51"/>
      <c r="H776" s="50"/>
    </row>
    <row r="777" spans="1:8" x14ac:dyDescent="0.4">
      <c r="A777" s="61"/>
      <c r="B777" s="16" t="str">
        <f t="array" ref="B777">IFERROR(MIN(IF(Raw!$A$2:$A$26=MHT!A777,Raw!$B$2:$B$20)),"")</f>
        <v/>
      </c>
      <c r="C777" s="13" t="str">
        <f t="array" ref="C777">IFERROR(MIN(IF(Raw!$A$2:$A$26=MHT!A777,Raw!$C$2:$C$20)),"")</f>
        <v/>
      </c>
      <c r="D777" s="14" t="str">
        <f t="array" ref="D777">IF(Raw!D770="","",IFERROR(MAX(IF(Raw!$A$2:$A$26=MHT!A777,Raw!$D$2:$D$20)),""))</f>
        <v/>
      </c>
      <c r="E777" s="6" t="str">
        <f>IF(SUMIF(Raw!$A$2:$A$500, MHT!A777, Raw!$F$2:$F$500) = TIME(0,0,0), "", SUMIF(Raw!$A$2:$A$500, MHT!A777, Raw!$F$2:$F$500))</f>
        <v/>
      </c>
      <c r="F777" s="12" t="str">
        <f t="array" ref="F777">IF(A777="", "", IF(COUNTIF(Raw!$H$1:$I$500, A777) &gt; 0, "Done", IF(COUNTIF(Raw!$J$1:$J$500, A777) &gt; 0, "Pause", IF(COUNTIF(Raw!$K$1:$K$500, A777) &gt; 0, "On-Going", "Pause"))))</f>
        <v/>
      </c>
      <c r="G777" s="51"/>
      <c r="H777" s="50"/>
    </row>
    <row r="778" spans="1:8" x14ac:dyDescent="0.4">
      <c r="A778" s="61"/>
      <c r="B778" s="16" t="str">
        <f t="array" ref="B778">IFERROR(MIN(IF(Raw!$A$2:$A$26=MHT!A778,Raw!$B$2:$B$20)),"")</f>
        <v/>
      </c>
      <c r="C778" s="13" t="str">
        <f t="array" ref="C778">IFERROR(MIN(IF(Raw!$A$2:$A$26=MHT!A778,Raw!$C$2:$C$20)),"")</f>
        <v/>
      </c>
      <c r="D778" s="14" t="str">
        <f t="array" ref="D778">IF(Raw!D771="","",IFERROR(MAX(IF(Raw!$A$2:$A$26=MHT!A778,Raw!$D$2:$D$20)),""))</f>
        <v/>
      </c>
      <c r="E778" s="6" t="str">
        <f>IF(SUMIF(Raw!$A$2:$A$500, MHT!A778, Raw!$F$2:$F$500) = TIME(0,0,0), "", SUMIF(Raw!$A$2:$A$500, MHT!A778, Raw!$F$2:$F$500))</f>
        <v/>
      </c>
      <c r="F778" s="12" t="str">
        <f t="array" ref="F778">IF(A778="", "", IF(COUNTIF(Raw!$H$1:$I$500, A778) &gt; 0, "Done", IF(COUNTIF(Raw!$J$1:$J$500, A778) &gt; 0, "Pause", IF(COUNTIF(Raw!$K$1:$K$500, A778) &gt; 0, "On-Going", "Pause"))))</f>
        <v/>
      </c>
      <c r="G778" s="51"/>
      <c r="H778" s="50"/>
    </row>
    <row r="779" spans="1:8" x14ac:dyDescent="0.4">
      <c r="A779" s="61"/>
      <c r="B779" s="16" t="str">
        <f t="array" ref="B779">IFERROR(MIN(IF(Raw!$A$2:$A$26=MHT!A779,Raw!$B$2:$B$20)),"")</f>
        <v/>
      </c>
      <c r="C779" s="13" t="str">
        <f t="array" ref="C779">IFERROR(MIN(IF(Raw!$A$2:$A$26=MHT!A779,Raw!$C$2:$C$20)),"")</f>
        <v/>
      </c>
      <c r="D779" s="14" t="str">
        <f t="array" ref="D779">IF(Raw!D772="","",IFERROR(MAX(IF(Raw!$A$2:$A$26=MHT!A779,Raw!$D$2:$D$20)),""))</f>
        <v/>
      </c>
      <c r="E779" s="6" t="str">
        <f>IF(SUMIF(Raw!$A$2:$A$500, MHT!A779, Raw!$F$2:$F$500) = TIME(0,0,0), "", SUMIF(Raw!$A$2:$A$500, MHT!A779, Raw!$F$2:$F$500))</f>
        <v/>
      </c>
      <c r="F779" s="12" t="str">
        <f t="array" ref="F779">IF(A779="", "", IF(COUNTIF(Raw!$H$1:$I$500, A779) &gt; 0, "Done", IF(COUNTIF(Raw!$J$1:$J$500, A779) &gt; 0, "Pause", IF(COUNTIF(Raw!$K$1:$K$500, A779) &gt; 0, "On-Going", "Pause"))))</f>
        <v/>
      </c>
      <c r="G779" s="51"/>
      <c r="H779" s="50"/>
    </row>
    <row r="780" spans="1:8" x14ac:dyDescent="0.4">
      <c r="A780" s="61"/>
      <c r="B780" s="16" t="str">
        <f t="array" ref="B780">IFERROR(MIN(IF(Raw!$A$2:$A$26=MHT!A780,Raw!$B$2:$B$20)),"")</f>
        <v/>
      </c>
      <c r="C780" s="13" t="str">
        <f t="array" ref="C780">IFERROR(MIN(IF(Raw!$A$2:$A$26=MHT!A780,Raw!$C$2:$C$20)),"")</f>
        <v/>
      </c>
      <c r="D780" s="14" t="str">
        <f t="array" ref="D780">IF(Raw!D773="","",IFERROR(MAX(IF(Raw!$A$2:$A$26=MHT!A780,Raw!$D$2:$D$20)),""))</f>
        <v/>
      </c>
      <c r="E780" s="6" t="str">
        <f>IF(SUMIF(Raw!$A$2:$A$500, MHT!A780, Raw!$F$2:$F$500) = TIME(0,0,0), "", SUMIF(Raw!$A$2:$A$500, MHT!A780, Raw!$F$2:$F$500))</f>
        <v/>
      </c>
      <c r="F780" s="12" t="str">
        <f t="array" ref="F780">IF(A780="", "", IF(COUNTIF(Raw!$H$1:$I$500, A780) &gt; 0, "Done", IF(COUNTIF(Raw!$J$1:$J$500, A780) &gt; 0, "Pause", IF(COUNTIF(Raw!$K$1:$K$500, A780) &gt; 0, "On-Going", "Pause"))))</f>
        <v/>
      </c>
      <c r="G780" s="51"/>
      <c r="H780" s="50"/>
    </row>
    <row r="781" spans="1:8" x14ac:dyDescent="0.4">
      <c r="A781" s="61"/>
      <c r="B781" s="16" t="str">
        <f t="array" ref="B781">IFERROR(MIN(IF(Raw!$A$2:$A$26=MHT!A781,Raw!$B$2:$B$20)),"")</f>
        <v/>
      </c>
      <c r="C781" s="13" t="str">
        <f t="array" ref="C781">IFERROR(MIN(IF(Raw!$A$2:$A$26=MHT!A781,Raw!$C$2:$C$20)),"")</f>
        <v/>
      </c>
      <c r="D781" s="14" t="str">
        <f t="array" ref="D781">IF(Raw!D774="","",IFERROR(MAX(IF(Raw!$A$2:$A$26=MHT!A781,Raw!$D$2:$D$20)),""))</f>
        <v/>
      </c>
      <c r="E781" s="6" t="str">
        <f>IF(SUMIF(Raw!$A$2:$A$500, MHT!A781, Raw!$F$2:$F$500) = TIME(0,0,0), "", SUMIF(Raw!$A$2:$A$500, MHT!A781, Raw!$F$2:$F$500))</f>
        <v/>
      </c>
      <c r="F781" s="12" t="str">
        <f t="array" ref="F781">IF(A781="", "", IF(COUNTIF(Raw!$H$1:$I$500, A781) &gt; 0, "Done", IF(COUNTIF(Raw!$J$1:$J$500, A781) &gt; 0, "Pause", IF(COUNTIF(Raw!$K$1:$K$500, A781) &gt; 0, "On-Going", "Pause"))))</f>
        <v/>
      </c>
      <c r="G781" s="51"/>
      <c r="H781" s="50"/>
    </row>
    <row r="782" spans="1:8" x14ac:dyDescent="0.4">
      <c r="A782" s="61"/>
      <c r="B782" s="16" t="str">
        <f t="array" ref="B782">IFERROR(MIN(IF(Raw!$A$2:$A$26=MHT!A782,Raw!$B$2:$B$20)),"")</f>
        <v/>
      </c>
      <c r="C782" s="13" t="str">
        <f t="array" ref="C782">IFERROR(MIN(IF(Raw!$A$2:$A$26=MHT!A782,Raw!$C$2:$C$20)),"")</f>
        <v/>
      </c>
      <c r="D782" s="14" t="str">
        <f t="array" ref="D782">IF(Raw!D775="","",IFERROR(MAX(IF(Raw!$A$2:$A$26=MHT!A782,Raw!$D$2:$D$20)),""))</f>
        <v/>
      </c>
      <c r="E782" s="6" t="str">
        <f>IF(SUMIF(Raw!$A$2:$A$500, MHT!A782, Raw!$F$2:$F$500) = TIME(0,0,0), "", SUMIF(Raw!$A$2:$A$500, MHT!A782, Raw!$F$2:$F$500))</f>
        <v/>
      </c>
      <c r="F782" s="12" t="str">
        <f t="array" ref="F782">IF(A782="", "", IF(COUNTIF(Raw!$H$1:$I$500, A782) &gt; 0, "Done", IF(COUNTIF(Raw!$J$1:$J$500, A782) &gt; 0, "Pause", IF(COUNTIF(Raw!$K$1:$K$500, A782) &gt; 0, "On-Going", "Pause"))))</f>
        <v/>
      </c>
      <c r="G782" s="51"/>
      <c r="H782" s="50"/>
    </row>
    <row r="783" spans="1:8" x14ac:dyDescent="0.4">
      <c r="A783" s="61"/>
      <c r="B783" s="16" t="str">
        <f t="array" ref="B783">IFERROR(MIN(IF(Raw!$A$2:$A$26=MHT!A783,Raw!$B$2:$B$20)),"")</f>
        <v/>
      </c>
      <c r="C783" s="13" t="str">
        <f t="array" ref="C783">IFERROR(MIN(IF(Raw!$A$2:$A$26=MHT!A783,Raw!$C$2:$C$20)),"")</f>
        <v/>
      </c>
      <c r="D783" s="14" t="str">
        <f t="array" ref="D783">IF(Raw!D776="","",IFERROR(MAX(IF(Raw!$A$2:$A$26=MHT!A783,Raw!$D$2:$D$20)),""))</f>
        <v/>
      </c>
      <c r="E783" s="6" t="str">
        <f>IF(SUMIF(Raw!$A$2:$A$500, MHT!A783, Raw!$F$2:$F$500) = TIME(0,0,0), "", SUMIF(Raw!$A$2:$A$500, MHT!A783, Raw!$F$2:$F$500))</f>
        <v/>
      </c>
      <c r="F783" s="12" t="str">
        <f t="array" ref="F783">IF(A783="", "", IF(COUNTIF(Raw!$H$1:$I$500, A783) &gt; 0, "Done", IF(COUNTIF(Raw!$J$1:$J$500, A783) &gt; 0, "Pause", IF(COUNTIF(Raw!$K$1:$K$500, A783) &gt; 0, "On-Going", "Pause"))))</f>
        <v/>
      </c>
      <c r="G783" s="51"/>
      <c r="H783" s="50"/>
    </row>
    <row r="784" spans="1:8" x14ac:dyDescent="0.4">
      <c r="A784" s="61"/>
      <c r="B784" s="16" t="str">
        <f t="array" ref="B784">IFERROR(MIN(IF(Raw!$A$2:$A$26=MHT!A784,Raw!$B$2:$B$20)),"")</f>
        <v/>
      </c>
      <c r="C784" s="13" t="str">
        <f t="array" ref="C784">IFERROR(MIN(IF(Raw!$A$2:$A$26=MHT!A784,Raw!$C$2:$C$20)),"")</f>
        <v/>
      </c>
      <c r="D784" s="14" t="str">
        <f t="array" ref="D784">IF(Raw!D777="","",IFERROR(MAX(IF(Raw!$A$2:$A$26=MHT!A784,Raw!$D$2:$D$20)),""))</f>
        <v/>
      </c>
      <c r="E784" s="6" t="str">
        <f>IF(SUMIF(Raw!$A$2:$A$500, MHT!A784, Raw!$F$2:$F$500) = TIME(0,0,0), "", SUMIF(Raw!$A$2:$A$500, MHT!A784, Raw!$F$2:$F$500))</f>
        <v/>
      </c>
      <c r="F784" s="12" t="str">
        <f t="array" ref="F784">IF(A784="", "", IF(COUNTIF(Raw!$H$1:$I$500, A784) &gt; 0, "Done", IF(COUNTIF(Raw!$J$1:$J$500, A784) &gt; 0, "Pause", IF(COUNTIF(Raw!$K$1:$K$500, A784) &gt; 0, "On-Going", "Pause"))))</f>
        <v/>
      </c>
      <c r="G784" s="51"/>
      <c r="H784" s="50"/>
    </row>
    <row r="785" spans="1:8" x14ac:dyDescent="0.4">
      <c r="A785" s="61"/>
      <c r="B785" s="16" t="str">
        <f t="array" ref="B785">IFERROR(MIN(IF(Raw!$A$2:$A$26=MHT!A785,Raw!$B$2:$B$20)),"")</f>
        <v/>
      </c>
      <c r="C785" s="13" t="str">
        <f t="array" ref="C785">IFERROR(MIN(IF(Raw!$A$2:$A$26=MHT!A785,Raw!$C$2:$C$20)),"")</f>
        <v/>
      </c>
      <c r="D785" s="14" t="str">
        <f t="array" ref="D785">IF(Raw!D778="","",IFERROR(MAX(IF(Raw!$A$2:$A$26=MHT!A785,Raw!$D$2:$D$20)),""))</f>
        <v/>
      </c>
      <c r="E785" s="6" t="str">
        <f>IF(SUMIF(Raw!$A$2:$A$500, MHT!A785, Raw!$F$2:$F$500) = TIME(0,0,0), "", SUMIF(Raw!$A$2:$A$500, MHT!A785, Raw!$F$2:$F$500))</f>
        <v/>
      </c>
      <c r="F785" s="12" t="str">
        <f t="array" ref="F785">IF(A785="", "", IF(COUNTIF(Raw!$H$1:$I$500, A785) &gt; 0, "Done", IF(COUNTIF(Raw!$J$1:$J$500, A785) &gt; 0, "Pause", IF(COUNTIF(Raw!$K$1:$K$500, A785) &gt; 0, "On-Going", "Pause"))))</f>
        <v/>
      </c>
      <c r="G785" s="51"/>
      <c r="H785" s="50"/>
    </row>
    <row r="786" spans="1:8" x14ac:dyDescent="0.4">
      <c r="A786" s="61"/>
      <c r="B786" s="16" t="str">
        <f t="array" ref="B786">IFERROR(MIN(IF(Raw!$A$2:$A$26=MHT!A786,Raw!$B$2:$B$20)),"")</f>
        <v/>
      </c>
      <c r="C786" s="13" t="str">
        <f t="array" ref="C786">IFERROR(MIN(IF(Raw!$A$2:$A$26=MHT!A786,Raw!$C$2:$C$20)),"")</f>
        <v/>
      </c>
      <c r="D786" s="14" t="str">
        <f t="array" ref="D786">IF(Raw!D779="","",IFERROR(MAX(IF(Raw!$A$2:$A$26=MHT!A786,Raw!$D$2:$D$20)),""))</f>
        <v/>
      </c>
      <c r="E786" s="6" t="str">
        <f>IF(SUMIF(Raw!$A$2:$A$500, MHT!A786, Raw!$F$2:$F$500) = TIME(0,0,0), "", SUMIF(Raw!$A$2:$A$500, MHT!A786, Raw!$F$2:$F$500))</f>
        <v/>
      </c>
      <c r="F786" s="12" t="str">
        <f t="array" ref="F786">IF(A786="", "", IF(COUNTIF(Raw!$H$1:$I$500, A786) &gt; 0, "Done", IF(COUNTIF(Raw!$J$1:$J$500, A786) &gt; 0, "Pause", IF(COUNTIF(Raw!$K$1:$K$500, A786) &gt; 0, "On-Going", "Pause"))))</f>
        <v/>
      </c>
      <c r="G786" s="51"/>
      <c r="H786" s="50"/>
    </row>
    <row r="787" spans="1:8" x14ac:dyDescent="0.4">
      <c r="A787" s="61"/>
      <c r="B787" s="16" t="str">
        <f t="array" ref="B787">IFERROR(MIN(IF(Raw!$A$2:$A$26=MHT!A787,Raw!$B$2:$B$20)),"")</f>
        <v/>
      </c>
      <c r="C787" s="13" t="str">
        <f t="array" ref="C787">IFERROR(MIN(IF(Raw!$A$2:$A$26=MHT!A787,Raw!$C$2:$C$20)),"")</f>
        <v/>
      </c>
      <c r="D787" s="14" t="str">
        <f t="array" ref="D787">IF(Raw!D780="","",IFERROR(MAX(IF(Raw!$A$2:$A$26=MHT!A787,Raw!$D$2:$D$20)),""))</f>
        <v/>
      </c>
      <c r="E787" s="6" t="str">
        <f>IF(SUMIF(Raw!$A$2:$A$500, MHT!A787, Raw!$F$2:$F$500) = TIME(0,0,0), "", SUMIF(Raw!$A$2:$A$500, MHT!A787, Raw!$F$2:$F$500))</f>
        <v/>
      </c>
      <c r="F787" s="12" t="str">
        <f t="array" ref="F787">IF(A787="", "", IF(COUNTIF(Raw!$H$1:$I$500, A787) &gt; 0, "Done", IF(COUNTIF(Raw!$J$1:$J$500, A787) &gt; 0, "Pause", IF(COUNTIF(Raw!$K$1:$K$500, A787) &gt; 0, "On-Going", "Pause"))))</f>
        <v/>
      </c>
      <c r="G787" s="51"/>
      <c r="H787" s="50"/>
    </row>
    <row r="788" spans="1:8" x14ac:dyDescent="0.4">
      <c r="A788" s="61"/>
      <c r="B788" s="16" t="str">
        <f t="array" ref="B788">IFERROR(MIN(IF(Raw!$A$2:$A$26=MHT!A788,Raw!$B$2:$B$20)),"")</f>
        <v/>
      </c>
      <c r="C788" s="13" t="str">
        <f t="array" ref="C788">IFERROR(MIN(IF(Raw!$A$2:$A$26=MHT!A788,Raw!$C$2:$C$20)),"")</f>
        <v/>
      </c>
      <c r="D788" s="14" t="str">
        <f t="array" ref="D788">IF(Raw!D781="","",IFERROR(MAX(IF(Raw!$A$2:$A$26=MHT!A788,Raw!$D$2:$D$20)),""))</f>
        <v/>
      </c>
      <c r="E788" s="6" t="str">
        <f>IF(SUMIF(Raw!$A$2:$A$500, MHT!A788, Raw!$F$2:$F$500) = TIME(0,0,0), "", SUMIF(Raw!$A$2:$A$500, MHT!A788, Raw!$F$2:$F$500))</f>
        <v/>
      </c>
      <c r="F788" s="12" t="str">
        <f t="array" ref="F788">IF(A788="", "", IF(COUNTIF(Raw!$H$1:$I$500, A788) &gt; 0, "Done", IF(COUNTIF(Raw!$J$1:$J$500, A788) &gt; 0, "Pause", IF(COUNTIF(Raw!$K$1:$K$500, A788) &gt; 0, "On-Going", "Pause"))))</f>
        <v/>
      </c>
      <c r="G788" s="51"/>
      <c r="H788" s="50"/>
    </row>
    <row r="789" spans="1:8" x14ac:dyDescent="0.4">
      <c r="A789" s="61"/>
      <c r="B789" s="16" t="str">
        <f t="array" ref="B789">IFERROR(MIN(IF(Raw!$A$2:$A$26=MHT!A789,Raw!$B$2:$B$20)),"")</f>
        <v/>
      </c>
      <c r="C789" s="13" t="str">
        <f t="array" ref="C789">IFERROR(MIN(IF(Raw!$A$2:$A$26=MHT!A789,Raw!$C$2:$C$20)),"")</f>
        <v/>
      </c>
      <c r="D789" s="14" t="str">
        <f t="array" ref="D789">IF(Raw!D782="","",IFERROR(MAX(IF(Raw!$A$2:$A$26=MHT!A789,Raw!$D$2:$D$20)),""))</f>
        <v/>
      </c>
      <c r="E789" s="6" t="str">
        <f>IF(SUMIF(Raw!$A$2:$A$500, MHT!A789, Raw!$F$2:$F$500) = TIME(0,0,0), "", SUMIF(Raw!$A$2:$A$500, MHT!A789, Raw!$F$2:$F$500))</f>
        <v/>
      </c>
      <c r="F789" s="12" t="str">
        <f t="array" ref="F789">IF(A789="", "", IF(COUNTIF(Raw!$H$1:$I$500, A789) &gt; 0, "Done", IF(COUNTIF(Raw!$J$1:$J$500, A789) &gt; 0, "Pause", IF(COUNTIF(Raw!$K$1:$K$500, A789) &gt; 0, "On-Going", "Pause"))))</f>
        <v/>
      </c>
      <c r="G789" s="51"/>
      <c r="H789" s="50"/>
    </row>
    <row r="790" spans="1:8" x14ac:dyDescent="0.4">
      <c r="A790" s="61"/>
      <c r="B790" s="16" t="str">
        <f t="array" ref="B790">IFERROR(MIN(IF(Raw!$A$2:$A$26=MHT!A790,Raw!$B$2:$B$20)),"")</f>
        <v/>
      </c>
      <c r="C790" s="13" t="str">
        <f t="array" ref="C790">IFERROR(MIN(IF(Raw!$A$2:$A$26=MHT!A790,Raw!$C$2:$C$20)),"")</f>
        <v/>
      </c>
      <c r="D790" s="14" t="str">
        <f t="array" ref="D790">IF(Raw!D783="","",IFERROR(MAX(IF(Raw!$A$2:$A$26=MHT!A790,Raw!$D$2:$D$20)),""))</f>
        <v/>
      </c>
      <c r="E790" s="6" t="str">
        <f>IF(SUMIF(Raw!$A$2:$A$500, MHT!A790, Raw!$F$2:$F$500) = TIME(0,0,0), "", SUMIF(Raw!$A$2:$A$500, MHT!A790, Raw!$F$2:$F$500))</f>
        <v/>
      </c>
      <c r="F790" s="12" t="str">
        <f t="array" ref="F790">IF(A790="", "", IF(COUNTIF(Raw!$H$1:$I$500, A790) &gt; 0, "Done", IF(COUNTIF(Raw!$J$1:$J$500, A790) &gt; 0, "Pause", IF(COUNTIF(Raw!$K$1:$K$500, A790) &gt; 0, "On-Going", "Pause"))))</f>
        <v/>
      </c>
      <c r="G790" s="51"/>
      <c r="H790" s="50"/>
    </row>
    <row r="791" spans="1:8" x14ac:dyDescent="0.4">
      <c r="A791" s="61"/>
      <c r="B791" s="16" t="str">
        <f t="array" ref="B791">IFERROR(MIN(IF(Raw!$A$2:$A$26=MHT!A791,Raw!$B$2:$B$20)),"")</f>
        <v/>
      </c>
      <c r="C791" s="13" t="str">
        <f t="array" ref="C791">IFERROR(MIN(IF(Raw!$A$2:$A$26=MHT!A791,Raw!$C$2:$C$20)),"")</f>
        <v/>
      </c>
      <c r="D791" s="14" t="str">
        <f t="array" ref="D791">IF(Raw!D784="","",IFERROR(MAX(IF(Raw!$A$2:$A$26=MHT!A791,Raw!$D$2:$D$20)),""))</f>
        <v/>
      </c>
      <c r="E791" s="6" t="str">
        <f>IF(SUMIF(Raw!$A$2:$A$500, MHT!A791, Raw!$F$2:$F$500) = TIME(0,0,0), "", SUMIF(Raw!$A$2:$A$500, MHT!A791, Raw!$F$2:$F$500))</f>
        <v/>
      </c>
      <c r="F791" s="12" t="str">
        <f t="array" ref="F791">IF(A791="", "", IF(COUNTIF(Raw!$H$1:$I$500, A791) &gt; 0, "Done", IF(COUNTIF(Raw!$J$1:$J$500, A791) &gt; 0, "Pause", IF(COUNTIF(Raw!$K$1:$K$500, A791) &gt; 0, "On-Going", "Pause"))))</f>
        <v/>
      </c>
      <c r="G791" s="51"/>
      <c r="H791" s="50"/>
    </row>
    <row r="792" spans="1:8" x14ac:dyDescent="0.4">
      <c r="A792" s="61"/>
      <c r="B792" s="16" t="str">
        <f t="array" ref="B792">IFERROR(MIN(IF(Raw!$A$2:$A$26=MHT!A792,Raw!$B$2:$B$20)),"")</f>
        <v/>
      </c>
      <c r="C792" s="13" t="str">
        <f t="array" ref="C792">IFERROR(MIN(IF(Raw!$A$2:$A$26=MHT!A792,Raw!$C$2:$C$20)),"")</f>
        <v/>
      </c>
      <c r="D792" s="14" t="str">
        <f t="array" ref="D792">IF(Raw!D785="","",IFERROR(MAX(IF(Raw!$A$2:$A$26=MHT!A792,Raw!$D$2:$D$20)),""))</f>
        <v/>
      </c>
      <c r="E792" s="6" t="str">
        <f>IF(SUMIF(Raw!$A$2:$A$500, MHT!A792, Raw!$F$2:$F$500) = TIME(0,0,0), "", SUMIF(Raw!$A$2:$A$500, MHT!A792, Raw!$F$2:$F$500))</f>
        <v/>
      </c>
      <c r="F792" s="12" t="str">
        <f t="array" ref="F792">IF(A792="", "", IF(COUNTIF(Raw!$H$1:$I$500, A792) &gt; 0, "Done", IF(COUNTIF(Raw!$J$1:$J$500, A792) &gt; 0, "Pause", IF(COUNTIF(Raw!$K$1:$K$500, A792) &gt; 0, "On-Going", "Pause"))))</f>
        <v/>
      </c>
      <c r="G792" s="51"/>
      <c r="H792" s="50"/>
    </row>
    <row r="793" spans="1:8" x14ac:dyDescent="0.4">
      <c r="A793" s="61"/>
      <c r="B793" s="16" t="str">
        <f t="array" ref="B793">IFERROR(MIN(IF(Raw!$A$2:$A$26=MHT!A793,Raw!$B$2:$B$20)),"")</f>
        <v/>
      </c>
      <c r="C793" s="13" t="str">
        <f t="array" ref="C793">IFERROR(MIN(IF(Raw!$A$2:$A$26=MHT!A793,Raw!$C$2:$C$20)),"")</f>
        <v/>
      </c>
      <c r="D793" s="14" t="str">
        <f t="array" ref="D793">IF(Raw!D786="","",IFERROR(MAX(IF(Raw!$A$2:$A$26=MHT!A793,Raw!$D$2:$D$20)),""))</f>
        <v/>
      </c>
      <c r="E793" s="6" t="str">
        <f>IF(SUMIF(Raw!$A$2:$A$500, MHT!A793, Raw!$F$2:$F$500) = TIME(0,0,0), "", SUMIF(Raw!$A$2:$A$500, MHT!A793, Raw!$F$2:$F$500))</f>
        <v/>
      </c>
      <c r="F793" s="12" t="str">
        <f t="array" ref="F793">IF(A793="", "", IF(COUNTIF(Raw!$H$1:$I$500, A793) &gt; 0, "Done", IF(COUNTIF(Raw!$J$1:$J$500, A793) &gt; 0, "Pause", IF(COUNTIF(Raw!$K$1:$K$500, A793) &gt; 0, "On-Going", "Pause"))))</f>
        <v/>
      </c>
      <c r="G793" s="51"/>
      <c r="H793" s="50"/>
    </row>
    <row r="794" spans="1:8" x14ac:dyDescent="0.4">
      <c r="A794" s="61"/>
      <c r="B794" s="16" t="str">
        <f t="array" ref="B794">IFERROR(MIN(IF(Raw!$A$2:$A$26=MHT!A794,Raw!$B$2:$B$20)),"")</f>
        <v/>
      </c>
      <c r="C794" s="13" t="str">
        <f t="array" ref="C794">IFERROR(MIN(IF(Raw!$A$2:$A$26=MHT!A794,Raw!$C$2:$C$20)),"")</f>
        <v/>
      </c>
      <c r="D794" s="14" t="str">
        <f t="array" ref="D794">IF(Raw!D787="","",IFERROR(MAX(IF(Raw!$A$2:$A$26=MHT!A794,Raw!$D$2:$D$20)),""))</f>
        <v/>
      </c>
      <c r="E794" s="6" t="str">
        <f>IF(SUMIF(Raw!$A$2:$A$500, MHT!A794, Raw!$F$2:$F$500) = TIME(0,0,0), "", SUMIF(Raw!$A$2:$A$500, MHT!A794, Raw!$F$2:$F$500))</f>
        <v/>
      </c>
      <c r="F794" s="12" t="str">
        <f t="array" ref="F794">IF(A794="", "", IF(COUNTIF(Raw!$H$1:$I$500, A794) &gt; 0, "Done", IF(COUNTIF(Raw!$J$1:$J$500, A794) &gt; 0, "Pause", IF(COUNTIF(Raw!$K$1:$K$500, A794) &gt; 0, "On-Going", "Pause"))))</f>
        <v/>
      </c>
      <c r="G794" s="51"/>
      <c r="H794" s="50"/>
    </row>
    <row r="795" spans="1:8" x14ac:dyDescent="0.4">
      <c r="A795" s="61"/>
      <c r="B795" s="16" t="str">
        <f t="array" ref="B795">IFERROR(MIN(IF(Raw!$A$2:$A$26=MHT!A795,Raw!$B$2:$B$20)),"")</f>
        <v/>
      </c>
      <c r="C795" s="13" t="str">
        <f t="array" ref="C795">IFERROR(MIN(IF(Raw!$A$2:$A$26=MHT!A795,Raw!$C$2:$C$20)),"")</f>
        <v/>
      </c>
      <c r="D795" s="14" t="str">
        <f t="array" ref="D795">IF(Raw!D788="","",IFERROR(MAX(IF(Raw!$A$2:$A$26=MHT!A795,Raw!$D$2:$D$20)),""))</f>
        <v/>
      </c>
      <c r="E795" s="6" t="str">
        <f>IF(SUMIF(Raw!$A$2:$A$500, MHT!A795, Raw!$F$2:$F$500) = TIME(0,0,0), "", SUMIF(Raw!$A$2:$A$500, MHT!A795, Raw!$F$2:$F$500))</f>
        <v/>
      </c>
      <c r="F795" s="12" t="str">
        <f t="array" ref="F795">IF(A795="", "", IF(COUNTIF(Raw!$H$1:$I$500, A795) &gt; 0, "Done", IF(COUNTIF(Raw!$J$1:$J$500, A795) &gt; 0, "Pause", IF(COUNTIF(Raw!$K$1:$K$500, A795) &gt; 0, "On-Going", "Pause"))))</f>
        <v/>
      </c>
      <c r="G795" s="51"/>
      <c r="H795" s="50"/>
    </row>
    <row r="796" spans="1:8" x14ac:dyDescent="0.4">
      <c r="A796" s="61"/>
      <c r="B796" s="16" t="str">
        <f t="array" ref="B796">IFERROR(MIN(IF(Raw!$A$2:$A$26=MHT!A796,Raw!$B$2:$B$20)),"")</f>
        <v/>
      </c>
      <c r="C796" s="13" t="str">
        <f t="array" ref="C796">IFERROR(MIN(IF(Raw!$A$2:$A$26=MHT!A796,Raw!$C$2:$C$20)),"")</f>
        <v/>
      </c>
      <c r="D796" s="14" t="str">
        <f t="array" ref="D796">IF(Raw!D789="","",IFERROR(MAX(IF(Raw!$A$2:$A$26=MHT!A796,Raw!$D$2:$D$20)),""))</f>
        <v/>
      </c>
      <c r="E796" s="6" t="str">
        <f>IF(SUMIF(Raw!$A$2:$A$500, MHT!A796, Raw!$F$2:$F$500) = TIME(0,0,0), "", SUMIF(Raw!$A$2:$A$500, MHT!A796, Raw!$F$2:$F$500))</f>
        <v/>
      </c>
      <c r="F796" s="12" t="str">
        <f t="array" ref="F796">IF(A796="", "", IF(COUNTIF(Raw!$H$1:$I$500, A796) &gt; 0, "Done", IF(COUNTIF(Raw!$J$1:$J$500, A796) &gt; 0, "Pause", IF(COUNTIF(Raw!$K$1:$K$500, A796) &gt; 0, "On-Going", "Pause"))))</f>
        <v/>
      </c>
      <c r="G796" s="51"/>
      <c r="H796" s="50"/>
    </row>
    <row r="797" spans="1:8" x14ac:dyDescent="0.4">
      <c r="A797" s="61"/>
      <c r="B797" s="16" t="str">
        <f t="array" ref="B797">IFERROR(MIN(IF(Raw!$A$2:$A$26=MHT!A797,Raw!$B$2:$B$20)),"")</f>
        <v/>
      </c>
      <c r="C797" s="13" t="str">
        <f t="array" ref="C797">IFERROR(MIN(IF(Raw!$A$2:$A$26=MHT!A797,Raw!$C$2:$C$20)),"")</f>
        <v/>
      </c>
      <c r="D797" s="14" t="str">
        <f t="array" ref="D797">IF(Raw!D790="","",IFERROR(MAX(IF(Raw!$A$2:$A$26=MHT!A797,Raw!$D$2:$D$20)),""))</f>
        <v/>
      </c>
      <c r="E797" s="6" t="str">
        <f>IF(SUMIF(Raw!$A$2:$A$500, MHT!A797, Raw!$F$2:$F$500) = TIME(0,0,0), "", SUMIF(Raw!$A$2:$A$500, MHT!A797, Raw!$F$2:$F$500))</f>
        <v/>
      </c>
      <c r="F797" s="12" t="str">
        <f t="array" ref="F797">IF(A797="", "", IF(COUNTIF(Raw!$H$1:$I$500, A797) &gt; 0, "Done", IF(COUNTIF(Raw!$J$1:$J$500, A797) &gt; 0, "Pause", IF(COUNTIF(Raw!$K$1:$K$500, A797) &gt; 0, "On-Going", "Pause"))))</f>
        <v/>
      </c>
      <c r="G797" s="51"/>
      <c r="H797" s="50"/>
    </row>
    <row r="798" spans="1:8" x14ac:dyDescent="0.4">
      <c r="A798" s="61"/>
      <c r="B798" s="16" t="str">
        <f t="array" ref="B798">IFERROR(MIN(IF(Raw!$A$2:$A$26=MHT!A798,Raw!$B$2:$B$20)),"")</f>
        <v/>
      </c>
      <c r="C798" s="13" t="str">
        <f t="array" ref="C798">IFERROR(MIN(IF(Raw!$A$2:$A$26=MHT!A798,Raw!$C$2:$C$20)),"")</f>
        <v/>
      </c>
      <c r="D798" s="14" t="str">
        <f t="array" ref="D798">IF(Raw!D791="","",IFERROR(MAX(IF(Raw!$A$2:$A$26=MHT!A798,Raw!$D$2:$D$20)),""))</f>
        <v/>
      </c>
      <c r="E798" s="6" t="str">
        <f>IF(SUMIF(Raw!$A$2:$A$500, MHT!A798, Raw!$F$2:$F$500) = TIME(0,0,0), "", SUMIF(Raw!$A$2:$A$500, MHT!A798, Raw!$F$2:$F$500))</f>
        <v/>
      </c>
      <c r="F798" s="12" t="str">
        <f t="array" ref="F798">IF(A798="", "", IF(COUNTIF(Raw!$H$1:$I$500, A798) &gt; 0, "Done", IF(COUNTIF(Raw!$J$1:$J$500, A798) &gt; 0, "Pause", IF(COUNTIF(Raw!$K$1:$K$500, A798) &gt; 0, "On-Going", "Pause"))))</f>
        <v/>
      </c>
      <c r="G798" s="51"/>
      <c r="H798" s="50"/>
    </row>
    <row r="799" spans="1:8" x14ac:dyDescent="0.4">
      <c r="A799" s="61"/>
      <c r="B799" s="16" t="str">
        <f t="array" ref="B799">IFERROR(MIN(IF(Raw!$A$2:$A$26=MHT!A799,Raw!$B$2:$B$20)),"")</f>
        <v/>
      </c>
      <c r="C799" s="13" t="str">
        <f t="array" ref="C799">IFERROR(MIN(IF(Raw!$A$2:$A$26=MHT!A799,Raw!$C$2:$C$20)),"")</f>
        <v/>
      </c>
      <c r="D799" s="14" t="str">
        <f t="array" ref="D799">IF(Raw!D792="","",IFERROR(MAX(IF(Raw!$A$2:$A$26=MHT!A799,Raw!$D$2:$D$20)),""))</f>
        <v/>
      </c>
      <c r="E799" s="6" t="str">
        <f>IF(SUMIF(Raw!$A$2:$A$500, MHT!A799, Raw!$F$2:$F$500) = TIME(0,0,0), "", SUMIF(Raw!$A$2:$A$500, MHT!A799, Raw!$F$2:$F$500))</f>
        <v/>
      </c>
      <c r="F799" s="12" t="str">
        <f t="array" ref="F799">IF(A799="", "", IF(COUNTIF(Raw!$H$1:$I$500, A799) &gt; 0, "Done", IF(COUNTIF(Raw!$J$1:$J$500, A799) &gt; 0, "Pause", IF(COUNTIF(Raw!$K$1:$K$500, A799) &gt; 0, "On-Going", "Pause"))))</f>
        <v/>
      </c>
      <c r="G799" s="51"/>
      <c r="H799" s="50"/>
    </row>
    <row r="800" spans="1:8" x14ac:dyDescent="0.4">
      <c r="A800" s="61"/>
      <c r="B800" s="16" t="str">
        <f t="array" ref="B800">IFERROR(MIN(IF(Raw!$A$2:$A$26=MHT!A800,Raw!$B$2:$B$20)),"")</f>
        <v/>
      </c>
      <c r="C800" s="13" t="str">
        <f t="array" ref="C800">IFERROR(MIN(IF(Raw!$A$2:$A$26=MHT!A800,Raw!$C$2:$C$20)),"")</f>
        <v/>
      </c>
      <c r="D800" s="14" t="str">
        <f t="array" ref="D800">IF(Raw!D793="","",IFERROR(MAX(IF(Raw!$A$2:$A$26=MHT!A800,Raw!$D$2:$D$20)),""))</f>
        <v/>
      </c>
      <c r="E800" s="6" t="str">
        <f>IF(SUMIF(Raw!$A$2:$A$500, MHT!A800, Raw!$F$2:$F$500) = TIME(0,0,0), "", SUMIF(Raw!$A$2:$A$500, MHT!A800, Raw!$F$2:$F$500))</f>
        <v/>
      </c>
      <c r="F800" s="12" t="str">
        <f t="array" ref="F800">IF(A800="", "", IF(COUNTIF(Raw!$H$1:$I$500, A800) &gt; 0, "Done", IF(COUNTIF(Raw!$J$1:$J$500, A800) &gt; 0, "Pause", IF(COUNTIF(Raw!$K$1:$K$500, A800) &gt; 0, "On-Going", "Pause"))))</f>
        <v/>
      </c>
      <c r="G800" s="51"/>
      <c r="H800" s="50"/>
    </row>
    <row r="801" spans="1:8" x14ac:dyDescent="0.4">
      <c r="A801" s="61"/>
      <c r="B801" s="16" t="str">
        <f t="array" ref="B801">IFERROR(MIN(IF(Raw!$A$2:$A$26=MHT!A801,Raw!$B$2:$B$20)),"")</f>
        <v/>
      </c>
      <c r="C801" s="13" t="str">
        <f t="array" ref="C801">IFERROR(MIN(IF(Raw!$A$2:$A$26=MHT!A801,Raw!$C$2:$C$20)),"")</f>
        <v/>
      </c>
      <c r="D801" s="14" t="str">
        <f t="array" ref="D801">IF(Raw!D794="","",IFERROR(MAX(IF(Raw!$A$2:$A$26=MHT!A801,Raw!$D$2:$D$20)),""))</f>
        <v/>
      </c>
      <c r="E801" s="6" t="str">
        <f>IF(SUMIF(Raw!$A$2:$A$500, MHT!A801, Raw!$F$2:$F$500) = TIME(0,0,0), "", SUMIF(Raw!$A$2:$A$500, MHT!A801, Raw!$F$2:$F$500))</f>
        <v/>
      </c>
      <c r="F801" s="12" t="str">
        <f t="array" ref="F801">IF(A801="", "", IF(COUNTIF(Raw!$H$1:$I$500, A801) &gt; 0, "Done", IF(COUNTIF(Raw!$J$1:$J$500, A801) &gt; 0, "Pause", IF(COUNTIF(Raw!$K$1:$K$500, A801) &gt; 0, "On-Going", "Pause"))))</f>
        <v/>
      </c>
      <c r="G801" s="51"/>
      <c r="H801" s="50"/>
    </row>
    <row r="802" spans="1:8" x14ac:dyDescent="0.4">
      <c r="A802" s="61"/>
      <c r="B802" s="16" t="str">
        <f t="array" ref="B802">IFERROR(MIN(IF(Raw!$A$2:$A$26=MHT!A802,Raw!$B$2:$B$20)),"")</f>
        <v/>
      </c>
      <c r="C802" s="13" t="str">
        <f t="array" ref="C802">IFERROR(MIN(IF(Raw!$A$2:$A$26=MHT!A802,Raw!$C$2:$C$20)),"")</f>
        <v/>
      </c>
      <c r="D802" s="14" t="str">
        <f t="array" ref="D802">IF(Raw!D795="","",IFERROR(MAX(IF(Raw!$A$2:$A$26=MHT!A802,Raw!$D$2:$D$20)),""))</f>
        <v/>
      </c>
      <c r="E802" s="6" t="str">
        <f>IF(SUMIF(Raw!$A$2:$A$500, MHT!A802, Raw!$F$2:$F$500) = TIME(0,0,0), "", SUMIF(Raw!$A$2:$A$500, MHT!A802, Raw!$F$2:$F$500))</f>
        <v/>
      </c>
      <c r="F802" s="12" t="str">
        <f t="array" ref="F802">IF(A802="", "", IF(COUNTIF(Raw!$H$1:$I$500, A802) &gt; 0, "Done", IF(COUNTIF(Raw!$J$1:$J$500, A802) &gt; 0, "Pause", IF(COUNTIF(Raw!$K$1:$K$500, A802) &gt; 0, "On-Going", "Pause"))))</f>
        <v/>
      </c>
      <c r="G802" s="51"/>
      <c r="H802" s="50"/>
    </row>
    <row r="803" spans="1:8" x14ac:dyDescent="0.4">
      <c r="A803" s="61"/>
      <c r="B803" s="16" t="str">
        <f t="array" ref="B803">IFERROR(MIN(IF(Raw!$A$2:$A$26=MHT!A803,Raw!$B$2:$B$20)),"")</f>
        <v/>
      </c>
      <c r="C803" s="13" t="str">
        <f t="array" ref="C803">IFERROR(MIN(IF(Raw!$A$2:$A$26=MHT!A803,Raw!$C$2:$C$20)),"")</f>
        <v/>
      </c>
      <c r="D803" s="14" t="str">
        <f t="array" ref="D803">IF(Raw!D796="","",IFERROR(MAX(IF(Raw!$A$2:$A$26=MHT!A803,Raw!$D$2:$D$20)),""))</f>
        <v/>
      </c>
      <c r="E803" s="6" t="str">
        <f>IF(SUMIF(Raw!$A$2:$A$500, MHT!A803, Raw!$F$2:$F$500) = TIME(0,0,0), "", SUMIF(Raw!$A$2:$A$500, MHT!A803, Raw!$F$2:$F$500))</f>
        <v/>
      </c>
      <c r="F803" s="12" t="str">
        <f t="array" ref="F803">IF(A803="", "", IF(COUNTIF(Raw!$H$1:$I$500, A803) &gt; 0, "Done", IF(COUNTIF(Raw!$J$1:$J$500, A803) &gt; 0, "Pause", IF(COUNTIF(Raw!$K$1:$K$500, A803) &gt; 0, "On-Going", "Pause"))))</f>
        <v/>
      </c>
      <c r="G803" s="51"/>
      <c r="H803" s="50"/>
    </row>
    <row r="804" spans="1:8" x14ac:dyDescent="0.4">
      <c r="A804" s="61"/>
      <c r="B804" s="16" t="str">
        <f t="array" ref="B804">IFERROR(MIN(IF(Raw!$A$2:$A$26=MHT!A804,Raw!$B$2:$B$20)),"")</f>
        <v/>
      </c>
      <c r="C804" s="13" t="str">
        <f t="array" ref="C804">IFERROR(MIN(IF(Raw!$A$2:$A$26=MHT!A804,Raw!$C$2:$C$20)),"")</f>
        <v/>
      </c>
      <c r="D804" s="14" t="str">
        <f t="array" ref="D804">IF(Raw!D797="","",IFERROR(MAX(IF(Raw!$A$2:$A$26=MHT!A804,Raw!$D$2:$D$20)),""))</f>
        <v/>
      </c>
      <c r="E804" s="6" t="str">
        <f>IF(SUMIF(Raw!$A$2:$A$500, MHT!A804, Raw!$F$2:$F$500) = TIME(0,0,0), "", SUMIF(Raw!$A$2:$A$500, MHT!A804, Raw!$F$2:$F$500))</f>
        <v/>
      </c>
      <c r="F804" s="12" t="str">
        <f t="array" ref="F804">IF(A804="", "", IF(COUNTIF(Raw!$H$1:$I$500, A804) &gt; 0, "Done", IF(COUNTIF(Raw!$J$1:$J$500, A804) &gt; 0, "Pause", IF(COUNTIF(Raw!$K$1:$K$500, A804) &gt; 0, "On-Going", "Pause"))))</f>
        <v/>
      </c>
      <c r="G804" s="51"/>
      <c r="H804" s="50"/>
    </row>
    <row r="805" spans="1:8" x14ac:dyDescent="0.4">
      <c r="A805" s="61"/>
      <c r="B805" s="16" t="str">
        <f t="array" ref="B805">IFERROR(MIN(IF(Raw!$A$2:$A$26=MHT!A805,Raw!$B$2:$B$20)),"")</f>
        <v/>
      </c>
      <c r="C805" s="13" t="str">
        <f t="array" ref="C805">IFERROR(MIN(IF(Raw!$A$2:$A$26=MHT!A805,Raw!$C$2:$C$20)),"")</f>
        <v/>
      </c>
      <c r="D805" s="14" t="str">
        <f t="array" ref="D805">IF(Raw!D798="","",IFERROR(MAX(IF(Raw!$A$2:$A$26=MHT!A805,Raw!$D$2:$D$20)),""))</f>
        <v/>
      </c>
      <c r="E805" s="6" t="str">
        <f>IF(SUMIF(Raw!$A$2:$A$500, MHT!A805, Raw!$F$2:$F$500) = TIME(0,0,0), "", SUMIF(Raw!$A$2:$A$500, MHT!A805, Raw!$F$2:$F$500))</f>
        <v/>
      </c>
      <c r="F805" s="12" t="str">
        <f t="array" ref="F805">IF(A805="", "", IF(COUNTIF(Raw!$H$1:$I$500, A805) &gt; 0, "Done", IF(COUNTIF(Raw!$J$1:$J$500, A805) &gt; 0, "Pause", IF(COUNTIF(Raw!$K$1:$K$500, A805) &gt; 0, "On-Going", "Pause"))))</f>
        <v/>
      </c>
      <c r="G805" s="51"/>
      <c r="H805" s="50"/>
    </row>
    <row r="806" spans="1:8" x14ac:dyDescent="0.4">
      <c r="A806" s="61"/>
      <c r="B806" s="16" t="str">
        <f t="array" ref="B806">IFERROR(MIN(IF(Raw!$A$2:$A$26=MHT!A806,Raw!$B$2:$B$20)),"")</f>
        <v/>
      </c>
      <c r="C806" s="13" t="str">
        <f t="array" ref="C806">IFERROR(MIN(IF(Raw!$A$2:$A$26=MHT!A806,Raw!$C$2:$C$20)),"")</f>
        <v/>
      </c>
      <c r="D806" s="14" t="str">
        <f t="array" ref="D806">IF(Raw!D799="","",IFERROR(MAX(IF(Raw!$A$2:$A$26=MHT!A806,Raw!$D$2:$D$20)),""))</f>
        <v/>
      </c>
      <c r="E806" s="6" t="str">
        <f>IF(SUMIF(Raw!$A$2:$A$500, MHT!A806, Raw!$F$2:$F$500) = TIME(0,0,0), "", SUMIF(Raw!$A$2:$A$500, MHT!A806, Raw!$F$2:$F$500))</f>
        <v/>
      </c>
      <c r="F806" s="12" t="str">
        <f t="array" ref="F806">IF(A806="", "", IF(COUNTIF(Raw!$H$1:$I$500, A806) &gt; 0, "Done", IF(COUNTIF(Raw!$J$1:$J$500, A806) &gt; 0, "Pause", IF(COUNTIF(Raw!$K$1:$K$500, A806) &gt; 0, "On-Going", "Pause"))))</f>
        <v/>
      </c>
      <c r="G806" s="51"/>
      <c r="H806" s="50"/>
    </row>
    <row r="807" spans="1:8" x14ac:dyDescent="0.4">
      <c r="A807" s="61"/>
      <c r="B807" s="16" t="str">
        <f t="array" ref="B807">IFERROR(MIN(IF(Raw!$A$2:$A$26=MHT!A807,Raw!$B$2:$B$20)),"")</f>
        <v/>
      </c>
      <c r="C807" s="13" t="str">
        <f t="array" ref="C807">IFERROR(MIN(IF(Raw!$A$2:$A$26=MHT!A807,Raw!$C$2:$C$20)),"")</f>
        <v/>
      </c>
      <c r="D807" s="14" t="str">
        <f t="array" ref="D807">IF(Raw!D800="","",IFERROR(MAX(IF(Raw!$A$2:$A$26=MHT!A807,Raw!$D$2:$D$20)),""))</f>
        <v/>
      </c>
      <c r="E807" s="6" t="str">
        <f>IF(SUMIF(Raw!$A$2:$A$500, MHT!A807, Raw!$F$2:$F$500) = TIME(0,0,0), "", SUMIF(Raw!$A$2:$A$500, MHT!A807, Raw!$F$2:$F$500))</f>
        <v/>
      </c>
      <c r="F807" s="12" t="str">
        <f t="array" ref="F807">IF(A807="", "", IF(COUNTIF(Raw!$H$1:$I$500, A807) &gt; 0, "Done", IF(COUNTIF(Raw!$J$1:$J$500, A807) &gt; 0, "Pause", IF(COUNTIF(Raw!$K$1:$K$500, A807) &gt; 0, "On-Going", "Pause"))))</f>
        <v/>
      </c>
      <c r="G807" s="51"/>
      <c r="H807" s="50"/>
    </row>
    <row r="808" spans="1:8" x14ac:dyDescent="0.4">
      <c r="A808" s="61"/>
      <c r="B808" s="16" t="str">
        <f t="array" ref="B808">IFERROR(MIN(IF(Raw!$A$2:$A$26=MHT!A808,Raw!$B$2:$B$20)),"")</f>
        <v/>
      </c>
      <c r="C808" s="13" t="str">
        <f t="array" ref="C808">IFERROR(MIN(IF(Raw!$A$2:$A$26=MHT!A808,Raw!$C$2:$C$20)),"")</f>
        <v/>
      </c>
      <c r="D808" s="14" t="str">
        <f t="array" ref="D808">IF(Raw!D801="","",IFERROR(MAX(IF(Raw!$A$2:$A$26=MHT!A808,Raw!$D$2:$D$20)),""))</f>
        <v/>
      </c>
      <c r="E808" s="6" t="str">
        <f>IF(SUMIF(Raw!$A$2:$A$500, MHT!A808, Raw!$F$2:$F$500) = TIME(0,0,0), "", SUMIF(Raw!$A$2:$A$500, MHT!A808, Raw!$F$2:$F$500))</f>
        <v/>
      </c>
      <c r="F808" s="12" t="str">
        <f t="array" ref="F808">IF(A808="", "", IF(COUNTIF(Raw!$H$1:$I$500, A808) &gt; 0, "Done", IF(COUNTIF(Raw!$J$1:$J$500, A808) &gt; 0, "Pause", IF(COUNTIF(Raw!$K$1:$K$500, A808) &gt; 0, "On-Going", "Pause"))))</f>
        <v/>
      </c>
      <c r="G808" s="51"/>
      <c r="H808" s="50"/>
    </row>
    <row r="809" spans="1:8" x14ac:dyDescent="0.4">
      <c r="A809" s="61"/>
      <c r="B809" s="16" t="str">
        <f t="array" ref="B809">IFERROR(MIN(IF(Raw!$A$2:$A$26=MHT!A809,Raw!$B$2:$B$20)),"")</f>
        <v/>
      </c>
      <c r="C809" s="13" t="str">
        <f t="array" ref="C809">IFERROR(MIN(IF(Raw!$A$2:$A$26=MHT!A809,Raw!$C$2:$C$20)),"")</f>
        <v/>
      </c>
      <c r="D809" s="14" t="str">
        <f t="array" ref="D809">IF(Raw!D802="","",IFERROR(MAX(IF(Raw!$A$2:$A$26=MHT!A809,Raw!$D$2:$D$20)),""))</f>
        <v/>
      </c>
      <c r="E809" s="6" t="str">
        <f>IF(SUMIF(Raw!$A$2:$A$500, MHT!A809, Raw!$F$2:$F$500) = TIME(0,0,0), "", SUMIF(Raw!$A$2:$A$500, MHT!A809, Raw!$F$2:$F$500))</f>
        <v/>
      </c>
      <c r="F809" s="12" t="str">
        <f t="array" ref="F809">IF(A809="", "", IF(COUNTIF(Raw!$H$1:$I$500, A809) &gt; 0, "Done", IF(COUNTIF(Raw!$J$1:$J$500, A809) &gt; 0, "Pause", IF(COUNTIF(Raw!$K$1:$K$500, A809) &gt; 0, "On-Going", "Pause"))))</f>
        <v/>
      </c>
      <c r="G809" s="51"/>
      <c r="H809" s="50"/>
    </row>
    <row r="810" spans="1:8" x14ac:dyDescent="0.4">
      <c r="A810" s="61"/>
      <c r="B810" s="16" t="str">
        <f t="array" ref="B810">IFERROR(MIN(IF(Raw!$A$2:$A$26=MHT!A810,Raw!$B$2:$B$20)),"")</f>
        <v/>
      </c>
      <c r="C810" s="13" t="str">
        <f t="array" ref="C810">IFERROR(MIN(IF(Raw!$A$2:$A$26=MHT!A810,Raw!$C$2:$C$20)),"")</f>
        <v/>
      </c>
      <c r="D810" s="14" t="str">
        <f t="array" ref="D810">IF(Raw!D803="","",IFERROR(MAX(IF(Raw!$A$2:$A$26=MHT!A810,Raw!$D$2:$D$20)),""))</f>
        <v/>
      </c>
      <c r="E810" s="6" t="str">
        <f>IF(SUMIF(Raw!$A$2:$A$500, MHT!A810, Raw!$F$2:$F$500) = TIME(0,0,0), "", SUMIF(Raw!$A$2:$A$500, MHT!A810, Raw!$F$2:$F$500))</f>
        <v/>
      </c>
      <c r="F810" s="12" t="str">
        <f t="array" ref="F810">IF(A810="", "", IF(COUNTIF(Raw!$H$1:$I$500, A810) &gt; 0, "Done", IF(COUNTIF(Raw!$J$1:$J$500, A810) &gt; 0, "Pause", IF(COUNTIF(Raw!$K$1:$K$500, A810) &gt; 0, "On-Going", "Pause"))))</f>
        <v/>
      </c>
      <c r="G810" s="51"/>
      <c r="H810" s="50"/>
    </row>
    <row r="811" spans="1:8" x14ac:dyDescent="0.4">
      <c r="A811" s="61"/>
      <c r="B811" s="16" t="str">
        <f t="array" ref="B811">IFERROR(MIN(IF(Raw!$A$2:$A$26=MHT!A811,Raw!$B$2:$B$20)),"")</f>
        <v/>
      </c>
      <c r="C811" s="13" t="str">
        <f t="array" ref="C811">IFERROR(MIN(IF(Raw!$A$2:$A$26=MHT!A811,Raw!$C$2:$C$20)),"")</f>
        <v/>
      </c>
      <c r="D811" s="14" t="str">
        <f t="array" ref="D811">IF(Raw!D804="","",IFERROR(MAX(IF(Raw!$A$2:$A$26=MHT!A811,Raw!$D$2:$D$20)),""))</f>
        <v/>
      </c>
      <c r="E811" s="6" t="str">
        <f>IF(SUMIF(Raw!$A$2:$A$500, MHT!A811, Raw!$F$2:$F$500) = TIME(0,0,0), "", SUMIF(Raw!$A$2:$A$500, MHT!A811, Raw!$F$2:$F$500))</f>
        <v/>
      </c>
      <c r="F811" s="12" t="str">
        <f t="array" ref="F811">IF(A811="", "", IF(COUNTIF(Raw!$H$1:$I$500, A811) &gt; 0, "Done", IF(COUNTIF(Raw!$J$1:$J$500, A811) &gt; 0, "Pause", IF(COUNTIF(Raw!$K$1:$K$500, A811) &gt; 0, "On-Going", "Pause"))))</f>
        <v/>
      </c>
      <c r="G811" s="51"/>
      <c r="H811" s="50"/>
    </row>
    <row r="812" spans="1:8" x14ac:dyDescent="0.4">
      <c r="A812" s="61"/>
      <c r="B812" s="16" t="str">
        <f t="array" ref="B812">IFERROR(MIN(IF(Raw!$A$2:$A$26=MHT!A812,Raw!$B$2:$B$20)),"")</f>
        <v/>
      </c>
      <c r="C812" s="13" t="str">
        <f t="array" ref="C812">IFERROR(MIN(IF(Raw!$A$2:$A$26=MHT!A812,Raw!$C$2:$C$20)),"")</f>
        <v/>
      </c>
      <c r="D812" s="14" t="str">
        <f t="array" ref="D812">IF(Raw!D805="","",IFERROR(MAX(IF(Raw!$A$2:$A$26=MHT!A812,Raw!$D$2:$D$20)),""))</f>
        <v/>
      </c>
      <c r="E812" s="6" t="str">
        <f>IF(SUMIF(Raw!$A$2:$A$500, MHT!A812, Raw!$F$2:$F$500) = TIME(0,0,0), "", SUMIF(Raw!$A$2:$A$500, MHT!A812, Raw!$F$2:$F$500))</f>
        <v/>
      </c>
      <c r="F812" s="12" t="str">
        <f t="array" ref="F812">IF(A812="", "", IF(COUNTIF(Raw!$H$1:$I$500, A812) &gt; 0, "Done", IF(COUNTIF(Raw!$J$1:$J$500, A812) &gt; 0, "Pause", IF(COUNTIF(Raw!$K$1:$K$500, A812) &gt; 0, "On-Going", "Pause"))))</f>
        <v/>
      </c>
      <c r="G812" s="51"/>
      <c r="H812" s="50"/>
    </row>
    <row r="813" spans="1:8" x14ac:dyDescent="0.4">
      <c r="A813" s="61"/>
      <c r="B813" s="16" t="str">
        <f t="array" ref="B813">IFERROR(MIN(IF(Raw!$A$2:$A$26=MHT!A813,Raw!$B$2:$B$20)),"")</f>
        <v/>
      </c>
      <c r="C813" s="13" t="str">
        <f t="array" ref="C813">IFERROR(MIN(IF(Raw!$A$2:$A$26=MHT!A813,Raw!$C$2:$C$20)),"")</f>
        <v/>
      </c>
      <c r="D813" s="14" t="str">
        <f t="array" ref="D813">IF(Raw!D806="","",IFERROR(MAX(IF(Raw!$A$2:$A$26=MHT!A813,Raw!$D$2:$D$20)),""))</f>
        <v/>
      </c>
      <c r="E813" s="6" t="str">
        <f>IF(SUMIF(Raw!$A$2:$A$500, MHT!A813, Raw!$F$2:$F$500) = TIME(0,0,0), "", SUMIF(Raw!$A$2:$A$500, MHT!A813, Raw!$F$2:$F$500))</f>
        <v/>
      </c>
      <c r="F813" s="12" t="str">
        <f t="array" ref="F813">IF(A813="", "", IF(COUNTIF(Raw!$H$1:$I$500, A813) &gt; 0, "Done", IF(COUNTIF(Raw!$J$1:$J$500, A813) &gt; 0, "Pause", IF(COUNTIF(Raw!$K$1:$K$500, A813) &gt; 0, "On-Going", "Pause"))))</f>
        <v/>
      </c>
      <c r="G813" s="51"/>
      <c r="H813" s="50"/>
    </row>
    <row r="814" spans="1:8" x14ac:dyDescent="0.4">
      <c r="A814" s="61"/>
      <c r="B814" s="16" t="str">
        <f t="array" ref="B814">IFERROR(MIN(IF(Raw!$A$2:$A$26=MHT!A814,Raw!$B$2:$B$20)),"")</f>
        <v/>
      </c>
      <c r="C814" s="13" t="str">
        <f t="array" ref="C814">IFERROR(MIN(IF(Raw!$A$2:$A$26=MHT!A814,Raw!$C$2:$C$20)),"")</f>
        <v/>
      </c>
      <c r="D814" s="14" t="str">
        <f t="array" ref="D814">IF(Raw!D807="","",IFERROR(MAX(IF(Raw!$A$2:$A$26=MHT!A814,Raw!$D$2:$D$20)),""))</f>
        <v/>
      </c>
      <c r="E814" s="6" t="str">
        <f>IF(SUMIF(Raw!$A$2:$A$500, MHT!A814, Raw!$F$2:$F$500) = TIME(0,0,0), "", SUMIF(Raw!$A$2:$A$500, MHT!A814, Raw!$F$2:$F$500))</f>
        <v/>
      </c>
      <c r="F814" s="12" t="str">
        <f t="array" ref="F814">IF(A814="", "", IF(COUNTIF(Raw!$H$1:$I$500, A814) &gt; 0, "Done", IF(COUNTIF(Raw!$J$1:$J$500, A814) &gt; 0, "Pause", IF(COUNTIF(Raw!$K$1:$K$500, A814) &gt; 0, "On-Going", "Pause"))))</f>
        <v/>
      </c>
      <c r="G814" s="51"/>
      <c r="H814" s="50"/>
    </row>
    <row r="815" spans="1:8" x14ac:dyDescent="0.4">
      <c r="A815" s="61"/>
      <c r="B815" s="16" t="str">
        <f t="array" ref="B815">IFERROR(MIN(IF(Raw!$A$2:$A$26=MHT!A815,Raw!$B$2:$B$20)),"")</f>
        <v/>
      </c>
      <c r="C815" s="13" t="str">
        <f t="array" ref="C815">IFERROR(MIN(IF(Raw!$A$2:$A$26=MHT!A815,Raw!$C$2:$C$20)),"")</f>
        <v/>
      </c>
      <c r="D815" s="14" t="str">
        <f t="array" ref="D815">IF(Raw!D808="","",IFERROR(MAX(IF(Raw!$A$2:$A$26=MHT!A815,Raw!$D$2:$D$20)),""))</f>
        <v/>
      </c>
      <c r="E815" s="6" t="str">
        <f>IF(SUMIF(Raw!$A$2:$A$500, MHT!A815, Raw!$F$2:$F$500) = TIME(0,0,0), "", SUMIF(Raw!$A$2:$A$500, MHT!A815, Raw!$F$2:$F$500))</f>
        <v/>
      </c>
      <c r="F815" s="12" t="str">
        <f t="array" ref="F815">IF(A815="", "", IF(COUNTIF(Raw!$H$1:$I$500, A815) &gt; 0, "Done", IF(COUNTIF(Raw!$J$1:$J$500, A815) &gt; 0, "Pause", IF(COUNTIF(Raw!$K$1:$K$500, A815) &gt; 0, "On-Going", "Pause"))))</f>
        <v/>
      </c>
      <c r="G815" s="51"/>
      <c r="H815" s="50"/>
    </row>
    <row r="816" spans="1:8" x14ac:dyDescent="0.4">
      <c r="A816" s="61"/>
      <c r="B816" s="16" t="str">
        <f t="array" ref="B816">IFERROR(MIN(IF(Raw!$A$2:$A$26=MHT!A816,Raw!$B$2:$B$20)),"")</f>
        <v/>
      </c>
      <c r="C816" s="13" t="str">
        <f t="array" ref="C816">IFERROR(MIN(IF(Raw!$A$2:$A$26=MHT!A816,Raw!$C$2:$C$20)),"")</f>
        <v/>
      </c>
      <c r="D816" s="14" t="str">
        <f t="array" ref="D816">IF(Raw!D809="","",IFERROR(MAX(IF(Raw!$A$2:$A$26=MHT!A816,Raw!$D$2:$D$20)),""))</f>
        <v/>
      </c>
      <c r="E816" s="6" t="str">
        <f>IF(SUMIF(Raw!$A$2:$A$500, MHT!A816, Raw!$F$2:$F$500) = TIME(0,0,0), "", SUMIF(Raw!$A$2:$A$500, MHT!A816, Raw!$F$2:$F$500))</f>
        <v/>
      </c>
      <c r="F816" s="12" t="str">
        <f t="array" ref="F816">IF(A816="", "", IF(COUNTIF(Raw!$H$1:$I$500, A816) &gt; 0, "Done", IF(COUNTIF(Raw!$J$1:$J$500, A816) &gt; 0, "Pause", IF(COUNTIF(Raw!$K$1:$K$500, A816) &gt; 0, "On-Going", "Pause"))))</f>
        <v/>
      </c>
      <c r="G816" s="51"/>
      <c r="H816" s="50"/>
    </row>
    <row r="817" spans="1:8" x14ac:dyDescent="0.4">
      <c r="A817" s="61"/>
      <c r="B817" s="16" t="str">
        <f t="array" ref="B817">IFERROR(MIN(IF(Raw!$A$2:$A$26=MHT!A817,Raw!$B$2:$B$20)),"")</f>
        <v/>
      </c>
      <c r="C817" s="13" t="str">
        <f t="array" ref="C817">IFERROR(MIN(IF(Raw!$A$2:$A$26=MHT!A817,Raw!$C$2:$C$20)),"")</f>
        <v/>
      </c>
      <c r="D817" s="14" t="str">
        <f t="array" ref="D817">IF(Raw!D810="","",IFERROR(MAX(IF(Raw!$A$2:$A$26=MHT!A817,Raw!$D$2:$D$20)),""))</f>
        <v/>
      </c>
      <c r="E817" s="6" t="str">
        <f>IF(SUMIF(Raw!$A$2:$A$500, MHT!A817, Raw!$F$2:$F$500) = TIME(0,0,0), "", SUMIF(Raw!$A$2:$A$500, MHT!A817, Raw!$F$2:$F$500))</f>
        <v/>
      </c>
      <c r="F817" s="12" t="str">
        <f t="array" ref="F817">IF(A817="", "", IF(COUNTIF(Raw!$H$1:$I$500, A817) &gt; 0, "Done", IF(COUNTIF(Raw!$J$1:$J$500, A817) &gt; 0, "Pause", IF(COUNTIF(Raw!$K$1:$K$500, A817) &gt; 0, "On-Going", "Pause"))))</f>
        <v/>
      </c>
      <c r="G817" s="51"/>
      <c r="H817" s="50"/>
    </row>
    <row r="818" spans="1:8" x14ac:dyDescent="0.4">
      <c r="A818" s="61"/>
      <c r="B818" s="16" t="str">
        <f t="array" ref="B818">IFERROR(MIN(IF(Raw!$A$2:$A$26=MHT!A818,Raw!$B$2:$B$20)),"")</f>
        <v/>
      </c>
      <c r="C818" s="13" t="str">
        <f t="array" ref="C818">IFERROR(MIN(IF(Raw!$A$2:$A$26=MHT!A818,Raw!$C$2:$C$20)),"")</f>
        <v/>
      </c>
      <c r="D818" s="14" t="str">
        <f t="array" ref="D818">IF(Raw!D811="","",IFERROR(MAX(IF(Raw!$A$2:$A$26=MHT!A818,Raw!$D$2:$D$20)),""))</f>
        <v/>
      </c>
      <c r="E818" s="6" t="str">
        <f>IF(SUMIF(Raw!$A$2:$A$500, MHT!A818, Raw!$F$2:$F$500) = TIME(0,0,0), "", SUMIF(Raw!$A$2:$A$500, MHT!A818, Raw!$F$2:$F$500))</f>
        <v/>
      </c>
      <c r="F818" s="12" t="str">
        <f t="array" ref="F818">IF(A818="", "", IF(COUNTIF(Raw!$H$1:$I$500, A818) &gt; 0, "Done", IF(COUNTIF(Raw!$J$1:$J$500, A818) &gt; 0, "Pause", IF(COUNTIF(Raw!$K$1:$K$500, A818) &gt; 0, "On-Going", "Pause"))))</f>
        <v/>
      </c>
      <c r="G818" s="51"/>
      <c r="H818" s="50"/>
    </row>
    <row r="819" spans="1:8" x14ac:dyDescent="0.4">
      <c r="A819" s="61"/>
      <c r="B819" s="16" t="str">
        <f t="array" ref="B819">IFERROR(MIN(IF(Raw!$A$2:$A$26=MHT!A819,Raw!$B$2:$B$20)),"")</f>
        <v/>
      </c>
      <c r="C819" s="13" t="str">
        <f t="array" ref="C819">IFERROR(MIN(IF(Raw!$A$2:$A$26=MHT!A819,Raw!$C$2:$C$20)),"")</f>
        <v/>
      </c>
      <c r="D819" s="14" t="str">
        <f t="array" ref="D819">IF(Raw!D812="","",IFERROR(MAX(IF(Raw!$A$2:$A$26=MHT!A819,Raw!$D$2:$D$20)),""))</f>
        <v/>
      </c>
      <c r="E819" s="6" t="str">
        <f>IF(SUMIF(Raw!$A$2:$A$500, MHT!A819, Raw!$F$2:$F$500) = TIME(0,0,0), "", SUMIF(Raw!$A$2:$A$500, MHT!A819, Raw!$F$2:$F$500))</f>
        <v/>
      </c>
      <c r="F819" s="12" t="str">
        <f t="array" ref="F819">IF(A819="", "", IF(COUNTIF(Raw!$H$1:$I$500, A819) &gt; 0, "Done", IF(COUNTIF(Raw!$J$1:$J$500, A819) &gt; 0, "Pause", IF(COUNTIF(Raw!$K$1:$K$500, A819) &gt; 0, "On-Going", "Pause"))))</f>
        <v/>
      </c>
      <c r="G819" s="51"/>
      <c r="H819" s="50"/>
    </row>
    <row r="820" spans="1:8" x14ac:dyDescent="0.4">
      <c r="A820" s="61"/>
      <c r="B820" s="16" t="str">
        <f t="array" ref="B820">IFERROR(MIN(IF(Raw!$A$2:$A$26=MHT!A820,Raw!$B$2:$B$20)),"")</f>
        <v/>
      </c>
      <c r="C820" s="13" t="str">
        <f t="array" ref="C820">IFERROR(MIN(IF(Raw!$A$2:$A$26=MHT!A820,Raw!$C$2:$C$20)),"")</f>
        <v/>
      </c>
      <c r="D820" s="14" t="str">
        <f t="array" ref="D820">IF(Raw!D813="","",IFERROR(MAX(IF(Raw!$A$2:$A$26=MHT!A820,Raw!$D$2:$D$20)),""))</f>
        <v/>
      </c>
      <c r="E820" s="6" t="str">
        <f>IF(SUMIF(Raw!$A$2:$A$500, MHT!A820, Raw!$F$2:$F$500) = TIME(0,0,0), "", SUMIF(Raw!$A$2:$A$500, MHT!A820, Raw!$F$2:$F$500))</f>
        <v/>
      </c>
      <c r="F820" s="12" t="str">
        <f t="array" ref="F820">IF(A820="", "", IF(COUNTIF(Raw!$H$1:$I$500, A820) &gt; 0, "Done", IF(COUNTIF(Raw!$J$1:$J$500, A820) &gt; 0, "Pause", IF(COUNTIF(Raw!$K$1:$K$500, A820) &gt; 0, "On-Going", "Pause"))))</f>
        <v/>
      </c>
      <c r="G820" s="51"/>
      <c r="H820" s="50"/>
    </row>
    <row r="821" spans="1:8" x14ac:dyDescent="0.4">
      <c r="A821" s="61"/>
      <c r="B821" s="16" t="str">
        <f t="array" ref="B821">IFERROR(MIN(IF(Raw!$A$2:$A$26=MHT!A821,Raw!$B$2:$B$20)),"")</f>
        <v/>
      </c>
      <c r="C821" s="13" t="str">
        <f t="array" ref="C821">IFERROR(MIN(IF(Raw!$A$2:$A$26=MHT!A821,Raw!$C$2:$C$20)),"")</f>
        <v/>
      </c>
      <c r="D821" s="14" t="str">
        <f t="array" ref="D821">IF(Raw!D814="","",IFERROR(MAX(IF(Raw!$A$2:$A$26=MHT!A821,Raw!$D$2:$D$20)),""))</f>
        <v/>
      </c>
      <c r="E821" s="6" t="str">
        <f>IF(SUMIF(Raw!$A$2:$A$500, MHT!A821, Raw!$F$2:$F$500) = TIME(0,0,0), "", SUMIF(Raw!$A$2:$A$500, MHT!A821, Raw!$F$2:$F$500))</f>
        <v/>
      </c>
      <c r="F821" s="12" t="str">
        <f t="array" ref="F821">IF(A821="", "", IF(COUNTIF(Raw!$H$1:$I$500, A821) &gt; 0, "Done", IF(COUNTIF(Raw!$J$1:$J$500, A821) &gt; 0, "Pause", IF(COUNTIF(Raw!$K$1:$K$500, A821) &gt; 0, "On-Going", "Pause"))))</f>
        <v/>
      </c>
      <c r="G821" s="51"/>
      <c r="H821" s="50"/>
    </row>
    <row r="822" spans="1:8" x14ac:dyDescent="0.4">
      <c r="A822" s="61"/>
      <c r="B822" s="16" t="str">
        <f t="array" ref="B822">IFERROR(MIN(IF(Raw!$A$2:$A$26=MHT!A822,Raw!$B$2:$B$20)),"")</f>
        <v/>
      </c>
      <c r="C822" s="13" t="str">
        <f t="array" ref="C822">IFERROR(MIN(IF(Raw!$A$2:$A$26=MHT!A822,Raw!$C$2:$C$20)),"")</f>
        <v/>
      </c>
      <c r="D822" s="14" t="str">
        <f t="array" ref="D822">IF(Raw!D815="","",IFERROR(MAX(IF(Raw!$A$2:$A$26=MHT!A822,Raw!$D$2:$D$20)),""))</f>
        <v/>
      </c>
      <c r="E822" s="6" t="str">
        <f>IF(SUMIF(Raw!$A$2:$A$500, MHT!A822, Raw!$F$2:$F$500) = TIME(0,0,0), "", SUMIF(Raw!$A$2:$A$500, MHT!A822, Raw!$F$2:$F$500))</f>
        <v/>
      </c>
      <c r="F822" s="12" t="str">
        <f t="array" ref="F822">IF(A822="", "", IF(COUNTIF(Raw!$H$1:$I$500, A822) &gt; 0, "Done", IF(COUNTIF(Raw!$J$1:$J$500, A822) &gt; 0, "Pause", IF(COUNTIF(Raw!$K$1:$K$500, A822) &gt; 0, "On-Going", "Pause"))))</f>
        <v/>
      </c>
      <c r="G822" s="51"/>
      <c r="H822" s="50"/>
    </row>
    <row r="823" spans="1:8" x14ac:dyDescent="0.4">
      <c r="A823" s="61"/>
      <c r="B823" s="16" t="str">
        <f t="array" ref="B823">IFERROR(MIN(IF(Raw!$A$2:$A$26=MHT!A823,Raw!$B$2:$B$20)),"")</f>
        <v/>
      </c>
      <c r="C823" s="13" t="str">
        <f t="array" ref="C823">IFERROR(MIN(IF(Raw!$A$2:$A$26=MHT!A823,Raw!$C$2:$C$20)),"")</f>
        <v/>
      </c>
      <c r="D823" s="14" t="str">
        <f t="array" ref="D823">IF(Raw!D816="","",IFERROR(MAX(IF(Raw!$A$2:$A$26=MHT!A823,Raw!$D$2:$D$20)),""))</f>
        <v/>
      </c>
      <c r="E823" s="6" t="str">
        <f>IF(SUMIF(Raw!$A$2:$A$500, MHT!A823, Raw!$F$2:$F$500) = TIME(0,0,0), "", SUMIF(Raw!$A$2:$A$500, MHT!A823, Raw!$F$2:$F$500))</f>
        <v/>
      </c>
      <c r="F823" s="12" t="str">
        <f t="array" ref="F823">IF(A823="", "", IF(COUNTIF(Raw!$H$1:$I$500, A823) &gt; 0, "Done", IF(COUNTIF(Raw!$J$1:$J$500, A823) &gt; 0, "Pause", IF(COUNTIF(Raw!$K$1:$K$500, A823) &gt; 0, "On-Going", "Pause"))))</f>
        <v/>
      </c>
      <c r="G823" s="51"/>
      <c r="H823" s="50"/>
    </row>
    <row r="824" spans="1:8" x14ac:dyDescent="0.4">
      <c r="A824" s="61"/>
      <c r="B824" s="16" t="str">
        <f t="array" ref="B824">IFERROR(MIN(IF(Raw!$A$2:$A$26=MHT!A824,Raw!$B$2:$B$20)),"")</f>
        <v/>
      </c>
      <c r="C824" s="13" t="str">
        <f t="array" ref="C824">IFERROR(MIN(IF(Raw!$A$2:$A$26=MHT!A824,Raw!$C$2:$C$20)),"")</f>
        <v/>
      </c>
      <c r="D824" s="14" t="str">
        <f t="array" ref="D824">IF(Raw!D817="","",IFERROR(MAX(IF(Raw!$A$2:$A$26=MHT!A824,Raw!$D$2:$D$20)),""))</f>
        <v/>
      </c>
      <c r="E824" s="6" t="str">
        <f>IF(SUMIF(Raw!$A$2:$A$500, MHT!A824, Raw!$F$2:$F$500) = TIME(0,0,0), "", SUMIF(Raw!$A$2:$A$500, MHT!A824, Raw!$F$2:$F$500))</f>
        <v/>
      </c>
      <c r="F824" s="12" t="str">
        <f t="array" ref="F824">IF(A824="", "", IF(COUNTIF(Raw!$H$1:$I$500, A824) &gt; 0, "Done", IF(COUNTIF(Raw!$J$1:$J$500, A824) &gt; 0, "Pause", IF(COUNTIF(Raw!$K$1:$K$500, A824) &gt; 0, "On-Going", "Pause"))))</f>
        <v/>
      </c>
      <c r="G824" s="51"/>
      <c r="H824" s="50"/>
    </row>
    <row r="825" spans="1:8" x14ac:dyDescent="0.4">
      <c r="A825" s="61"/>
      <c r="B825" s="16" t="str">
        <f t="array" ref="B825">IFERROR(MIN(IF(Raw!$A$2:$A$26=MHT!A825,Raw!$B$2:$B$20)),"")</f>
        <v/>
      </c>
      <c r="C825" s="13" t="str">
        <f t="array" ref="C825">IFERROR(MIN(IF(Raw!$A$2:$A$26=MHT!A825,Raw!$C$2:$C$20)),"")</f>
        <v/>
      </c>
      <c r="D825" s="14" t="str">
        <f t="array" ref="D825">IF(Raw!D818="","",IFERROR(MAX(IF(Raw!$A$2:$A$26=MHT!A825,Raw!$D$2:$D$20)),""))</f>
        <v/>
      </c>
      <c r="E825" s="6" t="str">
        <f>IF(SUMIF(Raw!$A$2:$A$500, MHT!A825, Raw!$F$2:$F$500) = TIME(0,0,0), "", SUMIF(Raw!$A$2:$A$500, MHT!A825, Raw!$F$2:$F$500))</f>
        <v/>
      </c>
      <c r="F825" s="12" t="str">
        <f t="array" ref="F825">IF(A825="", "", IF(COUNTIF(Raw!$H$1:$I$500, A825) &gt; 0, "Done", IF(COUNTIF(Raw!$J$1:$J$500, A825) &gt; 0, "Pause", IF(COUNTIF(Raw!$K$1:$K$500, A825) &gt; 0, "On-Going", "Pause"))))</f>
        <v/>
      </c>
      <c r="G825" s="51"/>
      <c r="H825" s="50"/>
    </row>
    <row r="826" spans="1:8" x14ac:dyDescent="0.4">
      <c r="A826" s="61"/>
      <c r="B826" s="16" t="str">
        <f t="array" ref="B826">IFERROR(MIN(IF(Raw!$A$2:$A$26=MHT!A826,Raw!$B$2:$B$20)),"")</f>
        <v/>
      </c>
      <c r="C826" s="13" t="str">
        <f t="array" ref="C826">IFERROR(MIN(IF(Raw!$A$2:$A$26=MHT!A826,Raw!$C$2:$C$20)),"")</f>
        <v/>
      </c>
      <c r="D826" s="14" t="str">
        <f t="array" ref="D826">IF(Raw!D819="","",IFERROR(MAX(IF(Raw!$A$2:$A$26=MHT!A826,Raw!$D$2:$D$20)),""))</f>
        <v/>
      </c>
      <c r="E826" s="6" t="str">
        <f>IF(SUMIF(Raw!$A$2:$A$500, MHT!A826, Raw!$F$2:$F$500) = TIME(0,0,0), "", SUMIF(Raw!$A$2:$A$500, MHT!A826, Raw!$F$2:$F$500))</f>
        <v/>
      </c>
      <c r="F826" s="12" t="str">
        <f t="array" ref="F826">IF(A826="", "", IF(COUNTIF(Raw!$H$1:$I$500, A826) &gt; 0, "Done", IF(COUNTIF(Raw!$J$1:$J$500, A826) &gt; 0, "Pause", IF(COUNTIF(Raw!$K$1:$K$500, A826) &gt; 0, "On-Going", "Pause"))))</f>
        <v/>
      </c>
      <c r="G826" s="51"/>
      <c r="H826" s="50"/>
    </row>
    <row r="827" spans="1:8" x14ac:dyDescent="0.4">
      <c r="A827" s="61"/>
      <c r="B827" s="16" t="str">
        <f t="array" ref="B827">IFERROR(MIN(IF(Raw!$A$2:$A$26=MHT!A827,Raw!$B$2:$B$20)),"")</f>
        <v/>
      </c>
      <c r="C827" s="13" t="str">
        <f t="array" ref="C827">IFERROR(MIN(IF(Raw!$A$2:$A$26=MHT!A827,Raw!$C$2:$C$20)),"")</f>
        <v/>
      </c>
      <c r="D827" s="14" t="str">
        <f t="array" ref="D827">IF(Raw!D820="","",IFERROR(MAX(IF(Raw!$A$2:$A$26=MHT!A827,Raw!$D$2:$D$20)),""))</f>
        <v/>
      </c>
      <c r="E827" s="6" t="str">
        <f>IF(SUMIF(Raw!$A$2:$A$500, MHT!A827, Raw!$F$2:$F$500) = TIME(0,0,0), "", SUMIF(Raw!$A$2:$A$500, MHT!A827, Raw!$F$2:$F$500))</f>
        <v/>
      </c>
      <c r="F827" s="12" t="str">
        <f t="array" ref="F827">IF(A827="", "", IF(COUNTIF(Raw!$H$1:$I$500, A827) &gt; 0, "Done", IF(COUNTIF(Raw!$J$1:$J$500, A827) &gt; 0, "Pause", IF(COUNTIF(Raw!$K$1:$K$500, A827) &gt; 0, "On-Going", "Pause"))))</f>
        <v/>
      </c>
      <c r="G827" s="51"/>
      <c r="H827" s="50"/>
    </row>
    <row r="828" spans="1:8" x14ac:dyDescent="0.4">
      <c r="A828" s="61"/>
      <c r="B828" s="16" t="str">
        <f t="array" ref="B828">IFERROR(MIN(IF(Raw!$A$2:$A$26=MHT!A828,Raw!$B$2:$B$20)),"")</f>
        <v/>
      </c>
      <c r="C828" s="13" t="str">
        <f t="array" ref="C828">IFERROR(MIN(IF(Raw!$A$2:$A$26=MHT!A828,Raw!$C$2:$C$20)),"")</f>
        <v/>
      </c>
      <c r="D828" s="14" t="str">
        <f t="array" ref="D828">IF(Raw!D821="","",IFERROR(MAX(IF(Raw!$A$2:$A$26=MHT!A828,Raw!$D$2:$D$20)),""))</f>
        <v/>
      </c>
      <c r="E828" s="6" t="str">
        <f>IF(SUMIF(Raw!$A$2:$A$500, MHT!A828, Raw!$F$2:$F$500) = TIME(0,0,0), "", SUMIF(Raw!$A$2:$A$500, MHT!A828, Raw!$F$2:$F$500))</f>
        <v/>
      </c>
      <c r="F828" s="12" t="str">
        <f t="array" ref="F828">IF(A828="", "", IF(COUNTIF(Raw!$H$1:$I$500, A828) &gt; 0, "Done", IF(COUNTIF(Raw!$J$1:$J$500, A828) &gt; 0, "Pause", IF(COUNTIF(Raw!$K$1:$K$500, A828) &gt; 0, "On-Going", "Pause"))))</f>
        <v/>
      </c>
      <c r="G828" s="51"/>
      <c r="H828" s="50"/>
    </row>
    <row r="829" spans="1:8" x14ac:dyDescent="0.4">
      <c r="A829" s="61"/>
      <c r="B829" s="16" t="str">
        <f t="array" ref="B829">IFERROR(MIN(IF(Raw!$A$2:$A$26=MHT!A829,Raw!$B$2:$B$20)),"")</f>
        <v/>
      </c>
      <c r="C829" s="13" t="str">
        <f t="array" ref="C829">IFERROR(MIN(IF(Raw!$A$2:$A$26=MHT!A829,Raw!$C$2:$C$20)),"")</f>
        <v/>
      </c>
      <c r="D829" s="14" t="str">
        <f t="array" ref="D829">IF(Raw!D822="","",IFERROR(MAX(IF(Raw!$A$2:$A$26=MHT!A829,Raw!$D$2:$D$20)),""))</f>
        <v/>
      </c>
      <c r="E829" s="6" t="str">
        <f>IF(SUMIF(Raw!$A$2:$A$500, MHT!A829, Raw!$F$2:$F$500) = TIME(0,0,0), "", SUMIF(Raw!$A$2:$A$500, MHT!A829, Raw!$F$2:$F$500))</f>
        <v/>
      </c>
      <c r="F829" s="12" t="str">
        <f t="array" ref="F829">IF(A829="", "", IF(COUNTIF(Raw!$H$1:$I$500, A829) &gt; 0, "Done", IF(COUNTIF(Raw!$J$1:$J$500, A829) &gt; 0, "Pause", IF(COUNTIF(Raw!$K$1:$K$500, A829) &gt; 0, "On-Going", "Pause"))))</f>
        <v/>
      </c>
      <c r="G829" s="51"/>
      <c r="H829" s="50"/>
    </row>
    <row r="830" spans="1:8" x14ac:dyDescent="0.4">
      <c r="A830" s="61"/>
      <c r="B830" s="16" t="str">
        <f t="array" ref="B830">IFERROR(MIN(IF(Raw!$A$2:$A$26=MHT!A830,Raw!$B$2:$B$20)),"")</f>
        <v/>
      </c>
      <c r="C830" s="13" t="str">
        <f t="array" ref="C830">IFERROR(MIN(IF(Raw!$A$2:$A$26=MHT!A830,Raw!$C$2:$C$20)),"")</f>
        <v/>
      </c>
      <c r="D830" s="14" t="str">
        <f t="array" ref="D830">IF(Raw!D823="","",IFERROR(MAX(IF(Raw!$A$2:$A$26=MHT!A830,Raw!$D$2:$D$20)),""))</f>
        <v/>
      </c>
      <c r="E830" s="6" t="str">
        <f>IF(SUMIF(Raw!$A$2:$A$500, MHT!A830, Raw!$F$2:$F$500) = TIME(0,0,0), "", SUMIF(Raw!$A$2:$A$500, MHT!A830, Raw!$F$2:$F$500))</f>
        <v/>
      </c>
      <c r="F830" s="12" t="str">
        <f t="array" ref="F830">IF(A830="", "", IF(COUNTIF(Raw!$H$1:$I$500, A830) &gt; 0, "Done", IF(COUNTIF(Raw!$J$1:$J$500, A830) &gt; 0, "Pause", IF(COUNTIF(Raw!$K$1:$K$500, A830) &gt; 0, "On-Going", "Pause"))))</f>
        <v/>
      </c>
      <c r="G830" s="51"/>
      <c r="H830" s="50"/>
    </row>
    <row r="831" spans="1:8" x14ac:dyDescent="0.4">
      <c r="A831" s="61"/>
      <c r="B831" s="16" t="str">
        <f t="array" ref="B831">IFERROR(MIN(IF(Raw!$A$2:$A$26=MHT!A831,Raw!$B$2:$B$20)),"")</f>
        <v/>
      </c>
      <c r="C831" s="13" t="str">
        <f t="array" ref="C831">IFERROR(MIN(IF(Raw!$A$2:$A$26=MHT!A831,Raw!$C$2:$C$20)),"")</f>
        <v/>
      </c>
      <c r="D831" s="14" t="str">
        <f t="array" ref="D831">IF(Raw!D824="","",IFERROR(MAX(IF(Raw!$A$2:$A$26=MHT!A831,Raw!$D$2:$D$20)),""))</f>
        <v/>
      </c>
      <c r="E831" s="6" t="str">
        <f>IF(SUMIF(Raw!$A$2:$A$500, MHT!A831, Raw!$F$2:$F$500) = TIME(0,0,0), "", SUMIF(Raw!$A$2:$A$500, MHT!A831, Raw!$F$2:$F$500))</f>
        <v/>
      </c>
      <c r="F831" s="12" t="str">
        <f t="array" ref="F831">IF(A831="", "", IF(COUNTIF(Raw!$H$1:$I$500, A831) &gt; 0, "Done", IF(COUNTIF(Raw!$J$1:$J$500, A831) &gt; 0, "Pause", IF(COUNTIF(Raw!$K$1:$K$500, A831) &gt; 0, "On-Going", "Pause"))))</f>
        <v/>
      </c>
      <c r="G831" s="51"/>
      <c r="H831" s="50"/>
    </row>
    <row r="832" spans="1:8" x14ac:dyDescent="0.4">
      <c r="A832" s="61"/>
      <c r="B832" s="16" t="str">
        <f t="array" ref="B832">IFERROR(MIN(IF(Raw!$A$2:$A$26=MHT!A832,Raw!$B$2:$B$20)),"")</f>
        <v/>
      </c>
      <c r="C832" s="13" t="str">
        <f t="array" ref="C832">IFERROR(MIN(IF(Raw!$A$2:$A$26=MHT!A832,Raw!$C$2:$C$20)),"")</f>
        <v/>
      </c>
      <c r="D832" s="14" t="str">
        <f t="array" ref="D832">IF(Raw!D825="","",IFERROR(MAX(IF(Raw!$A$2:$A$26=MHT!A832,Raw!$D$2:$D$20)),""))</f>
        <v/>
      </c>
      <c r="E832" s="6" t="str">
        <f>IF(SUMIF(Raw!$A$2:$A$500, MHT!A832, Raw!$F$2:$F$500) = TIME(0,0,0), "", SUMIF(Raw!$A$2:$A$500, MHT!A832, Raw!$F$2:$F$500))</f>
        <v/>
      </c>
      <c r="F832" s="12" t="str">
        <f t="array" ref="F832">IF(A832="", "", IF(COUNTIF(Raw!$H$1:$I$500, A832) &gt; 0, "Done", IF(COUNTIF(Raw!$J$1:$J$500, A832) &gt; 0, "Pause", IF(COUNTIF(Raw!$K$1:$K$500, A832) &gt; 0, "On-Going", "Pause"))))</f>
        <v/>
      </c>
      <c r="G832" s="51"/>
      <c r="H832" s="50"/>
    </row>
    <row r="833" spans="1:8" x14ac:dyDescent="0.4">
      <c r="A833" s="61"/>
      <c r="B833" s="16" t="str">
        <f t="array" ref="B833">IFERROR(MIN(IF(Raw!$A$2:$A$26=MHT!A833,Raw!$B$2:$B$20)),"")</f>
        <v/>
      </c>
      <c r="C833" s="13" t="str">
        <f t="array" ref="C833">IFERROR(MIN(IF(Raw!$A$2:$A$26=MHT!A833,Raw!$C$2:$C$20)),"")</f>
        <v/>
      </c>
      <c r="D833" s="14" t="str">
        <f t="array" ref="D833">IF(Raw!D826="","",IFERROR(MAX(IF(Raw!$A$2:$A$26=MHT!A833,Raw!$D$2:$D$20)),""))</f>
        <v/>
      </c>
      <c r="E833" s="6" t="str">
        <f>IF(SUMIF(Raw!$A$2:$A$500, MHT!A833, Raw!$F$2:$F$500) = TIME(0,0,0), "", SUMIF(Raw!$A$2:$A$500, MHT!A833, Raw!$F$2:$F$500))</f>
        <v/>
      </c>
      <c r="F833" s="12" t="str">
        <f t="array" ref="F833">IF(A833="", "", IF(COUNTIF(Raw!$H$1:$I$500, A833) &gt; 0, "Done", IF(COUNTIF(Raw!$J$1:$J$500, A833) &gt; 0, "Pause", IF(COUNTIF(Raw!$K$1:$K$500, A833) &gt; 0, "On-Going", "Pause"))))</f>
        <v/>
      </c>
      <c r="G833" s="51"/>
      <c r="H833" s="50"/>
    </row>
    <row r="834" spans="1:8" x14ac:dyDescent="0.4">
      <c r="A834" s="61"/>
      <c r="B834" s="16" t="str">
        <f t="array" ref="B834">IFERROR(MIN(IF(Raw!$A$2:$A$26=MHT!A834,Raw!$B$2:$B$20)),"")</f>
        <v/>
      </c>
      <c r="C834" s="13" t="str">
        <f t="array" ref="C834">IFERROR(MIN(IF(Raw!$A$2:$A$26=MHT!A834,Raw!$C$2:$C$20)),"")</f>
        <v/>
      </c>
      <c r="D834" s="14" t="str">
        <f t="array" ref="D834">IF(Raw!D827="","",IFERROR(MAX(IF(Raw!$A$2:$A$26=MHT!A834,Raw!$D$2:$D$20)),""))</f>
        <v/>
      </c>
      <c r="E834" s="6" t="str">
        <f>IF(SUMIF(Raw!$A$2:$A$500, MHT!A834, Raw!$F$2:$F$500) = TIME(0,0,0), "", SUMIF(Raw!$A$2:$A$500, MHT!A834, Raw!$F$2:$F$500))</f>
        <v/>
      </c>
      <c r="F834" s="12" t="str">
        <f t="array" ref="F834">IF(A834="", "", IF(COUNTIF(Raw!$H$1:$I$500, A834) &gt; 0, "Done", IF(COUNTIF(Raw!$J$1:$J$500, A834) &gt; 0, "Pause", IF(COUNTIF(Raw!$K$1:$K$500, A834) &gt; 0, "On-Going", "Pause"))))</f>
        <v/>
      </c>
      <c r="G834" s="51"/>
      <c r="H834" s="50"/>
    </row>
    <row r="835" spans="1:8" x14ac:dyDescent="0.4">
      <c r="A835" s="61"/>
      <c r="B835" s="16" t="str">
        <f t="array" ref="B835">IFERROR(MIN(IF(Raw!$A$2:$A$26=MHT!A835,Raw!$B$2:$B$20)),"")</f>
        <v/>
      </c>
      <c r="C835" s="13" t="str">
        <f t="array" ref="C835">IFERROR(MIN(IF(Raw!$A$2:$A$26=MHT!A835,Raw!$C$2:$C$20)),"")</f>
        <v/>
      </c>
      <c r="D835" s="14" t="str">
        <f t="array" ref="D835">IF(Raw!D828="","",IFERROR(MAX(IF(Raw!$A$2:$A$26=MHT!A835,Raw!$D$2:$D$20)),""))</f>
        <v/>
      </c>
      <c r="E835" s="6" t="str">
        <f>IF(SUMIF(Raw!$A$2:$A$500, MHT!A835, Raw!$F$2:$F$500) = TIME(0,0,0), "", SUMIF(Raw!$A$2:$A$500, MHT!A835, Raw!$F$2:$F$500))</f>
        <v/>
      </c>
      <c r="F835" s="12" t="str">
        <f t="array" ref="F835">IF(A835="", "", IF(COUNTIF(Raw!$H$1:$I$500, A835) &gt; 0, "Done", IF(COUNTIF(Raw!$J$1:$J$500, A835) &gt; 0, "Pause", IF(COUNTIF(Raw!$K$1:$K$500, A835) &gt; 0, "On-Going", "Pause"))))</f>
        <v/>
      </c>
      <c r="G835" s="51"/>
      <c r="H835" s="50"/>
    </row>
    <row r="836" spans="1:8" x14ac:dyDescent="0.4">
      <c r="A836" s="61"/>
      <c r="B836" s="16" t="str">
        <f t="array" ref="B836">IFERROR(MIN(IF(Raw!$A$2:$A$26=MHT!A836,Raw!$B$2:$B$20)),"")</f>
        <v/>
      </c>
      <c r="C836" s="13" t="str">
        <f t="array" ref="C836">IFERROR(MIN(IF(Raw!$A$2:$A$26=MHT!A836,Raw!$C$2:$C$20)),"")</f>
        <v/>
      </c>
      <c r="D836" s="14" t="str">
        <f t="array" ref="D836">IF(Raw!D829="","",IFERROR(MAX(IF(Raw!$A$2:$A$26=MHT!A836,Raw!$D$2:$D$20)),""))</f>
        <v/>
      </c>
      <c r="E836" s="6" t="str">
        <f>IF(SUMIF(Raw!$A$2:$A$500, MHT!A836, Raw!$F$2:$F$500) = TIME(0,0,0), "", SUMIF(Raw!$A$2:$A$500, MHT!A836, Raw!$F$2:$F$500))</f>
        <v/>
      </c>
      <c r="F836" s="12" t="str">
        <f t="array" ref="F836">IF(A836="", "", IF(COUNTIF(Raw!$H$1:$I$500, A836) &gt; 0, "Done", IF(COUNTIF(Raw!$J$1:$J$500, A836) &gt; 0, "Pause", IF(COUNTIF(Raw!$K$1:$K$500, A836) &gt; 0, "On-Going", "Pause"))))</f>
        <v/>
      </c>
      <c r="G836" s="51"/>
      <c r="H836" s="50"/>
    </row>
    <row r="837" spans="1:8" x14ac:dyDescent="0.4">
      <c r="A837" s="61"/>
      <c r="B837" s="16" t="str">
        <f t="array" ref="B837">IFERROR(MIN(IF(Raw!$A$2:$A$26=MHT!A837,Raw!$B$2:$B$20)),"")</f>
        <v/>
      </c>
      <c r="C837" s="13" t="str">
        <f t="array" ref="C837">IFERROR(MIN(IF(Raw!$A$2:$A$26=MHT!A837,Raw!$C$2:$C$20)),"")</f>
        <v/>
      </c>
      <c r="D837" s="14" t="str">
        <f t="array" ref="D837">IF(Raw!D830="","",IFERROR(MAX(IF(Raw!$A$2:$A$26=MHT!A837,Raw!$D$2:$D$20)),""))</f>
        <v/>
      </c>
      <c r="E837" s="6" t="str">
        <f>IF(SUMIF(Raw!$A$2:$A$500, MHT!A837, Raw!$F$2:$F$500) = TIME(0,0,0), "", SUMIF(Raw!$A$2:$A$500, MHT!A837, Raw!$F$2:$F$500))</f>
        <v/>
      </c>
      <c r="F837" s="12" t="str">
        <f t="array" ref="F837">IF(A837="", "", IF(COUNTIF(Raw!$H$1:$I$500, A837) &gt; 0, "Done", IF(COUNTIF(Raw!$J$1:$J$500, A837) &gt; 0, "Pause", IF(COUNTIF(Raw!$K$1:$K$500, A837) &gt; 0, "On-Going", "Pause"))))</f>
        <v/>
      </c>
      <c r="G837" s="51"/>
      <c r="H837" s="50"/>
    </row>
    <row r="838" spans="1:8" x14ac:dyDescent="0.4">
      <c r="A838" s="61"/>
      <c r="B838" s="16" t="str">
        <f t="array" ref="B838">IFERROR(MIN(IF(Raw!$A$2:$A$26=MHT!A838,Raw!$B$2:$B$20)),"")</f>
        <v/>
      </c>
      <c r="C838" s="13" t="str">
        <f t="array" ref="C838">IFERROR(MIN(IF(Raw!$A$2:$A$26=MHT!A838,Raw!$C$2:$C$20)),"")</f>
        <v/>
      </c>
      <c r="D838" s="14" t="str">
        <f t="array" ref="D838">IF(Raw!D831="","",IFERROR(MAX(IF(Raw!$A$2:$A$26=MHT!A838,Raw!$D$2:$D$20)),""))</f>
        <v/>
      </c>
      <c r="E838" s="6" t="str">
        <f>IF(SUMIF(Raw!$A$2:$A$500, MHT!A838, Raw!$F$2:$F$500) = TIME(0,0,0), "", SUMIF(Raw!$A$2:$A$500, MHT!A838, Raw!$F$2:$F$500))</f>
        <v/>
      </c>
      <c r="F838" s="12" t="str">
        <f t="array" ref="F838">IF(A838="", "", IF(COUNTIF(Raw!$H$1:$I$500, A838) &gt; 0, "Done", IF(COUNTIF(Raw!$J$1:$J$500, A838) &gt; 0, "Pause", IF(COUNTIF(Raw!$K$1:$K$500, A838) &gt; 0, "On-Going", "Pause"))))</f>
        <v/>
      </c>
      <c r="G838" s="51"/>
      <c r="H838" s="50"/>
    </row>
    <row r="839" spans="1:8" x14ac:dyDescent="0.4">
      <c r="A839" s="61"/>
      <c r="B839" s="16" t="str">
        <f t="array" ref="B839">IFERROR(MIN(IF(Raw!$A$2:$A$26=MHT!A839,Raw!$B$2:$B$20)),"")</f>
        <v/>
      </c>
      <c r="C839" s="13" t="str">
        <f t="array" ref="C839">IFERROR(MIN(IF(Raw!$A$2:$A$26=MHT!A839,Raw!$C$2:$C$20)),"")</f>
        <v/>
      </c>
      <c r="D839" s="14" t="str">
        <f t="array" ref="D839">IF(Raw!D832="","",IFERROR(MAX(IF(Raw!$A$2:$A$26=MHT!A839,Raw!$D$2:$D$20)),""))</f>
        <v/>
      </c>
      <c r="E839" s="6" t="str">
        <f>IF(SUMIF(Raw!$A$2:$A$500, MHT!A839, Raw!$F$2:$F$500) = TIME(0,0,0), "", SUMIF(Raw!$A$2:$A$500, MHT!A839, Raw!$F$2:$F$500))</f>
        <v/>
      </c>
      <c r="F839" s="12" t="str">
        <f t="array" ref="F839">IF(A839="", "", IF(COUNTIF(Raw!$H$1:$I$500, A839) &gt; 0, "Done", IF(COUNTIF(Raw!$J$1:$J$500, A839) &gt; 0, "Pause", IF(COUNTIF(Raw!$K$1:$K$500, A839) &gt; 0, "On-Going", "Pause"))))</f>
        <v/>
      </c>
      <c r="G839" s="51"/>
      <c r="H839" s="50"/>
    </row>
    <row r="840" spans="1:8" x14ac:dyDescent="0.4">
      <c r="A840" s="61"/>
      <c r="B840" s="16" t="str">
        <f t="array" ref="B840">IFERROR(MIN(IF(Raw!$A$2:$A$26=MHT!A840,Raw!$B$2:$B$20)),"")</f>
        <v/>
      </c>
      <c r="C840" s="13" t="str">
        <f t="array" ref="C840">IFERROR(MIN(IF(Raw!$A$2:$A$26=MHT!A840,Raw!$C$2:$C$20)),"")</f>
        <v/>
      </c>
      <c r="D840" s="14" t="str">
        <f t="array" ref="D840">IF(Raw!D833="","",IFERROR(MAX(IF(Raw!$A$2:$A$26=MHT!A840,Raw!$D$2:$D$20)),""))</f>
        <v/>
      </c>
      <c r="E840" s="6" t="str">
        <f>IF(SUMIF(Raw!$A$2:$A$500, MHT!A840, Raw!$F$2:$F$500) = TIME(0,0,0), "", SUMIF(Raw!$A$2:$A$500, MHT!A840, Raw!$F$2:$F$500))</f>
        <v/>
      </c>
      <c r="F840" s="12" t="str">
        <f t="array" ref="F840">IF(A840="", "", IF(COUNTIF(Raw!$H$1:$I$500, A840) &gt; 0, "Done", IF(COUNTIF(Raw!$J$1:$J$500, A840) &gt; 0, "Pause", IF(COUNTIF(Raw!$K$1:$K$500, A840) &gt; 0, "On-Going", "Pause"))))</f>
        <v/>
      </c>
      <c r="G840" s="51"/>
      <c r="H840" s="50"/>
    </row>
    <row r="841" spans="1:8" x14ac:dyDescent="0.4">
      <c r="A841" s="61"/>
      <c r="B841" s="16" t="str">
        <f t="array" ref="B841">IFERROR(MIN(IF(Raw!$A$2:$A$26=MHT!A841,Raw!$B$2:$B$20)),"")</f>
        <v/>
      </c>
      <c r="C841" s="13" t="str">
        <f t="array" ref="C841">IFERROR(MIN(IF(Raw!$A$2:$A$26=MHT!A841,Raw!$C$2:$C$20)),"")</f>
        <v/>
      </c>
      <c r="D841" s="14" t="str">
        <f t="array" ref="D841">IF(Raw!D834="","",IFERROR(MAX(IF(Raw!$A$2:$A$26=MHT!A841,Raw!$D$2:$D$20)),""))</f>
        <v/>
      </c>
      <c r="E841" s="6" t="str">
        <f>IF(SUMIF(Raw!$A$2:$A$500, MHT!A841, Raw!$F$2:$F$500) = TIME(0,0,0), "", SUMIF(Raw!$A$2:$A$500, MHT!A841, Raw!$F$2:$F$500))</f>
        <v/>
      </c>
      <c r="F841" s="12" t="str">
        <f t="array" ref="F841">IF(A841="", "", IF(COUNTIF(Raw!$H$1:$I$500, A841) &gt; 0, "Done", IF(COUNTIF(Raw!$J$1:$J$500, A841) &gt; 0, "Pause", IF(COUNTIF(Raw!$K$1:$K$500, A841) &gt; 0, "On-Going", "Pause"))))</f>
        <v/>
      </c>
      <c r="G841" s="51"/>
      <c r="H841" s="50"/>
    </row>
    <row r="842" spans="1:8" x14ac:dyDescent="0.4">
      <c r="A842" s="61"/>
      <c r="B842" s="16" t="str">
        <f t="array" ref="B842">IFERROR(MIN(IF(Raw!$A$2:$A$26=MHT!A842,Raw!$B$2:$B$20)),"")</f>
        <v/>
      </c>
      <c r="C842" s="13" t="str">
        <f t="array" ref="C842">IFERROR(MIN(IF(Raw!$A$2:$A$26=MHT!A842,Raw!$C$2:$C$20)),"")</f>
        <v/>
      </c>
      <c r="D842" s="14" t="str">
        <f t="array" ref="D842">IF(Raw!D835="","",IFERROR(MAX(IF(Raw!$A$2:$A$26=MHT!A842,Raw!$D$2:$D$20)),""))</f>
        <v/>
      </c>
      <c r="E842" s="6" t="str">
        <f>IF(SUMIF(Raw!$A$2:$A$500, MHT!A842, Raw!$F$2:$F$500) = TIME(0,0,0), "", SUMIF(Raw!$A$2:$A$500, MHT!A842, Raw!$F$2:$F$500))</f>
        <v/>
      </c>
      <c r="F842" s="12" t="str">
        <f t="array" ref="F842">IF(A842="", "", IF(COUNTIF(Raw!$H$1:$I$500, A842) &gt; 0, "Done", IF(COUNTIF(Raw!$J$1:$J$500, A842) &gt; 0, "Pause", IF(COUNTIF(Raw!$K$1:$K$500, A842) &gt; 0, "On-Going", "Pause"))))</f>
        <v/>
      </c>
      <c r="G842" s="51"/>
      <c r="H842" s="50"/>
    </row>
    <row r="843" spans="1:8" x14ac:dyDescent="0.4">
      <c r="A843" s="61"/>
      <c r="B843" s="16" t="str">
        <f t="array" ref="B843">IFERROR(MIN(IF(Raw!$A$2:$A$26=MHT!A843,Raw!$B$2:$B$20)),"")</f>
        <v/>
      </c>
      <c r="C843" s="13" t="str">
        <f t="array" ref="C843">IFERROR(MIN(IF(Raw!$A$2:$A$26=MHT!A843,Raw!$C$2:$C$20)),"")</f>
        <v/>
      </c>
      <c r="D843" s="14" t="str">
        <f t="array" ref="D843">IF(Raw!D836="","",IFERROR(MAX(IF(Raw!$A$2:$A$26=MHT!A843,Raw!$D$2:$D$20)),""))</f>
        <v/>
      </c>
      <c r="E843" s="6" t="str">
        <f>IF(SUMIF(Raw!$A$2:$A$500, MHT!A843, Raw!$F$2:$F$500) = TIME(0,0,0), "", SUMIF(Raw!$A$2:$A$500, MHT!A843, Raw!$F$2:$F$500))</f>
        <v/>
      </c>
      <c r="F843" s="12" t="str">
        <f t="array" ref="F843">IF(A843="", "", IF(COUNTIF(Raw!$H$1:$I$500, A843) &gt; 0, "Done", IF(COUNTIF(Raw!$J$1:$J$500, A843) &gt; 0, "Pause", IF(COUNTIF(Raw!$K$1:$K$500, A843) &gt; 0, "On-Going", "Pause"))))</f>
        <v/>
      </c>
      <c r="G843" s="51"/>
      <c r="H843" s="50"/>
    </row>
    <row r="844" spans="1:8" x14ac:dyDescent="0.4">
      <c r="A844" s="61"/>
      <c r="B844" s="16" t="str">
        <f t="array" ref="B844">IFERROR(MIN(IF(Raw!$A$2:$A$26=MHT!A844,Raw!$B$2:$B$20)),"")</f>
        <v/>
      </c>
      <c r="C844" s="13" t="str">
        <f t="array" ref="C844">IFERROR(MIN(IF(Raw!$A$2:$A$26=MHT!A844,Raw!$C$2:$C$20)),"")</f>
        <v/>
      </c>
      <c r="D844" s="14" t="str">
        <f t="array" ref="D844">IF(Raw!D837="","",IFERROR(MAX(IF(Raw!$A$2:$A$26=MHT!A844,Raw!$D$2:$D$20)),""))</f>
        <v/>
      </c>
      <c r="E844" s="6" t="str">
        <f>IF(SUMIF(Raw!$A$2:$A$500, MHT!A844, Raw!$F$2:$F$500) = TIME(0,0,0), "", SUMIF(Raw!$A$2:$A$500, MHT!A844, Raw!$F$2:$F$500))</f>
        <v/>
      </c>
      <c r="F844" s="12" t="str">
        <f t="array" ref="F844">IF(A844="", "", IF(COUNTIF(Raw!$H$1:$I$500, A844) &gt; 0, "Done", IF(COUNTIF(Raw!$J$1:$J$500, A844) &gt; 0, "Pause", IF(COUNTIF(Raw!$K$1:$K$500, A844) &gt; 0, "On-Going", "Pause"))))</f>
        <v/>
      </c>
      <c r="G844" s="51"/>
      <c r="H844" s="50"/>
    </row>
    <row r="845" spans="1:8" x14ac:dyDescent="0.4">
      <c r="A845" s="61"/>
      <c r="B845" s="16" t="str">
        <f t="array" ref="B845">IFERROR(MIN(IF(Raw!$A$2:$A$26=MHT!A845,Raw!$B$2:$B$20)),"")</f>
        <v/>
      </c>
      <c r="C845" s="13" t="str">
        <f t="array" ref="C845">IFERROR(MIN(IF(Raw!$A$2:$A$26=MHT!A845,Raw!$C$2:$C$20)),"")</f>
        <v/>
      </c>
      <c r="D845" s="14" t="str">
        <f t="array" ref="D845">IF(Raw!D838="","",IFERROR(MAX(IF(Raw!$A$2:$A$26=MHT!A845,Raw!$D$2:$D$20)),""))</f>
        <v/>
      </c>
      <c r="E845" s="6" t="str">
        <f>IF(SUMIF(Raw!$A$2:$A$500, MHT!A845, Raw!$F$2:$F$500) = TIME(0,0,0), "", SUMIF(Raw!$A$2:$A$500, MHT!A845, Raw!$F$2:$F$500))</f>
        <v/>
      </c>
      <c r="F845" s="12" t="str">
        <f t="array" ref="F845">IF(A845="", "", IF(COUNTIF(Raw!$H$1:$I$500, A845) &gt; 0, "Done", IF(COUNTIF(Raw!$J$1:$J$500, A845) &gt; 0, "Pause", IF(COUNTIF(Raw!$K$1:$K$500, A845) &gt; 0, "On-Going", "Pause"))))</f>
        <v/>
      </c>
      <c r="G845" s="51"/>
      <c r="H845" s="50"/>
    </row>
    <row r="846" spans="1:8" x14ac:dyDescent="0.4">
      <c r="A846" s="61"/>
      <c r="B846" s="16" t="str">
        <f t="array" ref="B846">IFERROR(MIN(IF(Raw!$A$2:$A$26=MHT!A846,Raw!$B$2:$B$20)),"")</f>
        <v/>
      </c>
      <c r="C846" s="13" t="str">
        <f t="array" ref="C846">IFERROR(MIN(IF(Raw!$A$2:$A$26=MHT!A846,Raw!$C$2:$C$20)),"")</f>
        <v/>
      </c>
      <c r="D846" s="14" t="str">
        <f t="array" ref="D846">IF(Raw!D839="","",IFERROR(MAX(IF(Raw!$A$2:$A$26=MHT!A846,Raw!$D$2:$D$20)),""))</f>
        <v/>
      </c>
      <c r="E846" s="6" t="str">
        <f>IF(SUMIF(Raw!$A$2:$A$500, MHT!A846, Raw!$F$2:$F$500) = TIME(0,0,0), "", SUMIF(Raw!$A$2:$A$500, MHT!A846, Raw!$F$2:$F$500))</f>
        <v/>
      </c>
      <c r="F846" s="12" t="str">
        <f t="array" ref="F846">IF(A846="", "", IF(COUNTIF(Raw!$H$1:$I$500, A846) &gt; 0, "Done", IF(COUNTIF(Raw!$J$1:$J$500, A846) &gt; 0, "Pause", IF(COUNTIF(Raw!$K$1:$K$500, A846) &gt; 0, "On-Going", "Pause"))))</f>
        <v/>
      </c>
      <c r="G846" s="51"/>
      <c r="H846" s="50"/>
    </row>
    <row r="847" spans="1:8" x14ac:dyDescent="0.4">
      <c r="A847" s="61"/>
      <c r="B847" s="16" t="str">
        <f t="array" ref="B847">IFERROR(MIN(IF(Raw!$A$2:$A$26=MHT!A847,Raw!$B$2:$B$20)),"")</f>
        <v/>
      </c>
      <c r="C847" s="13" t="str">
        <f t="array" ref="C847">IFERROR(MIN(IF(Raw!$A$2:$A$26=MHT!A847,Raw!$C$2:$C$20)),"")</f>
        <v/>
      </c>
      <c r="D847" s="14" t="str">
        <f t="array" ref="D847">IF(Raw!D840="","",IFERROR(MAX(IF(Raw!$A$2:$A$26=MHT!A847,Raw!$D$2:$D$20)),""))</f>
        <v/>
      </c>
      <c r="E847" s="6" t="str">
        <f>IF(SUMIF(Raw!$A$2:$A$500, MHT!A847, Raw!$F$2:$F$500) = TIME(0,0,0), "", SUMIF(Raw!$A$2:$A$500, MHT!A847, Raw!$F$2:$F$500))</f>
        <v/>
      </c>
      <c r="F847" s="12" t="str">
        <f t="array" ref="F847">IF(A847="", "", IF(COUNTIF(Raw!$H$1:$I$500, A847) &gt; 0, "Done", IF(COUNTIF(Raw!$J$1:$J$500, A847) &gt; 0, "Pause", IF(COUNTIF(Raw!$K$1:$K$500, A847) &gt; 0, "On-Going", "Pause"))))</f>
        <v/>
      </c>
      <c r="G847" s="51"/>
      <c r="H847" s="50"/>
    </row>
    <row r="848" spans="1:8" x14ac:dyDescent="0.4">
      <c r="A848" s="61"/>
      <c r="B848" s="16" t="str">
        <f t="array" ref="B848">IFERROR(MIN(IF(Raw!$A$2:$A$26=MHT!A848,Raw!$B$2:$B$20)),"")</f>
        <v/>
      </c>
      <c r="C848" s="13" t="str">
        <f t="array" ref="C848">IFERROR(MIN(IF(Raw!$A$2:$A$26=MHT!A848,Raw!$C$2:$C$20)),"")</f>
        <v/>
      </c>
      <c r="D848" s="14" t="str">
        <f t="array" ref="D848">IF(Raw!D841="","",IFERROR(MAX(IF(Raw!$A$2:$A$26=MHT!A848,Raw!$D$2:$D$20)),""))</f>
        <v/>
      </c>
      <c r="E848" s="6" t="str">
        <f>IF(SUMIF(Raw!$A$2:$A$500, MHT!A848, Raw!$F$2:$F$500) = TIME(0,0,0), "", SUMIF(Raw!$A$2:$A$500, MHT!A848, Raw!$F$2:$F$500))</f>
        <v/>
      </c>
      <c r="F848" s="12" t="str">
        <f t="array" ref="F848">IF(A848="", "", IF(COUNTIF(Raw!$H$1:$I$500, A848) &gt; 0, "Done", IF(COUNTIF(Raw!$J$1:$J$500, A848) &gt; 0, "Pause", IF(COUNTIF(Raw!$K$1:$K$500, A848) &gt; 0, "On-Going", "Pause"))))</f>
        <v/>
      </c>
      <c r="G848" s="51"/>
      <c r="H848" s="50"/>
    </row>
    <row r="849" spans="1:8" x14ac:dyDescent="0.4">
      <c r="A849" s="61"/>
      <c r="B849" s="16" t="str">
        <f t="array" ref="B849">IFERROR(MIN(IF(Raw!$A$2:$A$26=MHT!A849,Raw!$B$2:$B$20)),"")</f>
        <v/>
      </c>
      <c r="C849" s="13" t="str">
        <f t="array" ref="C849">IFERROR(MIN(IF(Raw!$A$2:$A$26=MHT!A849,Raw!$C$2:$C$20)),"")</f>
        <v/>
      </c>
      <c r="D849" s="14" t="str">
        <f t="array" ref="D849">IF(Raw!D842="","",IFERROR(MAX(IF(Raw!$A$2:$A$26=MHT!A849,Raw!$D$2:$D$20)),""))</f>
        <v/>
      </c>
      <c r="E849" s="6" t="str">
        <f>IF(SUMIF(Raw!$A$2:$A$500, MHT!A849, Raw!$F$2:$F$500) = TIME(0,0,0), "", SUMIF(Raw!$A$2:$A$500, MHT!A849, Raw!$F$2:$F$500))</f>
        <v/>
      </c>
      <c r="F849" s="12" t="str">
        <f t="array" ref="F849">IF(A849="", "", IF(COUNTIF(Raw!$H$1:$I$500, A849) &gt; 0, "Done", IF(COUNTIF(Raw!$J$1:$J$500, A849) &gt; 0, "Pause", IF(COUNTIF(Raw!$K$1:$K$500, A849) &gt; 0, "On-Going", "Pause"))))</f>
        <v/>
      </c>
      <c r="G849" s="51"/>
      <c r="H849" s="50"/>
    </row>
    <row r="850" spans="1:8" x14ac:dyDescent="0.4">
      <c r="A850" s="61"/>
      <c r="B850" s="16" t="str">
        <f t="array" ref="B850">IFERROR(MIN(IF(Raw!$A$2:$A$26=MHT!A850,Raw!$B$2:$B$20)),"")</f>
        <v/>
      </c>
      <c r="C850" s="13" t="str">
        <f t="array" ref="C850">IFERROR(MIN(IF(Raw!$A$2:$A$26=MHT!A850,Raw!$C$2:$C$20)),"")</f>
        <v/>
      </c>
      <c r="D850" s="14" t="str">
        <f t="array" ref="D850">IF(Raw!D843="","",IFERROR(MAX(IF(Raw!$A$2:$A$26=MHT!A850,Raw!$D$2:$D$20)),""))</f>
        <v/>
      </c>
      <c r="E850" s="6" t="str">
        <f>IF(SUMIF(Raw!$A$2:$A$500, MHT!A850, Raw!$F$2:$F$500) = TIME(0,0,0), "", SUMIF(Raw!$A$2:$A$500, MHT!A850, Raw!$F$2:$F$500))</f>
        <v/>
      </c>
      <c r="F850" s="12" t="str">
        <f t="array" ref="F850">IF(A850="", "", IF(COUNTIF(Raw!$H$1:$I$500, A850) &gt; 0, "Done", IF(COUNTIF(Raw!$J$1:$J$500, A850) &gt; 0, "Pause", IF(COUNTIF(Raw!$K$1:$K$500, A850) &gt; 0, "On-Going", "Pause"))))</f>
        <v/>
      </c>
      <c r="G850" s="51"/>
      <c r="H850" s="50"/>
    </row>
    <row r="851" spans="1:8" x14ac:dyDescent="0.4">
      <c r="A851" s="61"/>
      <c r="B851" s="16" t="str">
        <f t="array" ref="B851">IFERROR(MIN(IF(Raw!$A$2:$A$26=MHT!A851,Raw!$B$2:$B$20)),"")</f>
        <v/>
      </c>
      <c r="C851" s="13" t="str">
        <f t="array" ref="C851">IFERROR(MIN(IF(Raw!$A$2:$A$26=MHT!A851,Raw!$C$2:$C$20)),"")</f>
        <v/>
      </c>
      <c r="D851" s="14" t="str">
        <f t="array" ref="D851">IF(Raw!D844="","",IFERROR(MAX(IF(Raw!$A$2:$A$26=MHT!A851,Raw!$D$2:$D$20)),""))</f>
        <v/>
      </c>
      <c r="E851" s="6" t="str">
        <f>IF(SUMIF(Raw!$A$2:$A$500, MHT!A851, Raw!$F$2:$F$500) = TIME(0,0,0), "", SUMIF(Raw!$A$2:$A$500, MHT!A851, Raw!$F$2:$F$500))</f>
        <v/>
      </c>
      <c r="F851" s="12" t="str">
        <f t="array" ref="F851">IF(A851="", "", IF(COUNTIF(Raw!$H$1:$I$500, A851) &gt; 0, "Done", IF(COUNTIF(Raw!$J$1:$J$500, A851) &gt; 0, "Pause", IF(COUNTIF(Raw!$K$1:$K$500, A851) &gt; 0, "On-Going", "Pause"))))</f>
        <v/>
      </c>
      <c r="G851" s="51"/>
      <c r="H851" s="50"/>
    </row>
    <row r="852" spans="1:8" x14ac:dyDescent="0.4">
      <c r="A852" s="61"/>
      <c r="B852" s="16" t="str">
        <f t="array" ref="B852">IFERROR(MIN(IF(Raw!$A$2:$A$26=MHT!A852,Raw!$B$2:$B$20)),"")</f>
        <v/>
      </c>
      <c r="C852" s="13" t="str">
        <f t="array" ref="C852">IFERROR(MIN(IF(Raw!$A$2:$A$26=MHT!A852,Raw!$C$2:$C$20)),"")</f>
        <v/>
      </c>
      <c r="D852" s="14" t="str">
        <f t="array" ref="D852">IF(Raw!D845="","",IFERROR(MAX(IF(Raw!$A$2:$A$26=MHT!A852,Raw!$D$2:$D$20)),""))</f>
        <v/>
      </c>
      <c r="E852" s="6" t="str">
        <f>IF(SUMIF(Raw!$A$2:$A$500, MHT!A852, Raw!$F$2:$F$500) = TIME(0,0,0), "", SUMIF(Raw!$A$2:$A$500, MHT!A852, Raw!$F$2:$F$500))</f>
        <v/>
      </c>
      <c r="F852" s="12" t="str">
        <f t="array" ref="F852">IF(A852="", "", IF(COUNTIF(Raw!$H$1:$I$500, A852) &gt; 0, "Done", IF(COUNTIF(Raw!$J$1:$J$500, A852) &gt; 0, "Pause", IF(COUNTIF(Raw!$K$1:$K$500, A852) &gt; 0, "On-Going", "Pause"))))</f>
        <v/>
      </c>
      <c r="G852" s="51"/>
      <c r="H852" s="50"/>
    </row>
    <row r="853" spans="1:8" x14ac:dyDescent="0.4">
      <c r="A853" s="61"/>
      <c r="B853" s="16" t="str">
        <f t="array" ref="B853">IFERROR(MIN(IF(Raw!$A$2:$A$26=MHT!A853,Raw!$B$2:$B$20)),"")</f>
        <v/>
      </c>
      <c r="C853" s="13" t="str">
        <f t="array" ref="C853">IFERROR(MIN(IF(Raw!$A$2:$A$26=MHT!A853,Raw!$C$2:$C$20)),"")</f>
        <v/>
      </c>
      <c r="D853" s="14" t="str">
        <f t="array" ref="D853">IF(Raw!D846="","",IFERROR(MAX(IF(Raw!$A$2:$A$26=MHT!A853,Raw!$D$2:$D$20)),""))</f>
        <v/>
      </c>
      <c r="E853" s="6" t="str">
        <f>IF(SUMIF(Raw!$A$2:$A$500, MHT!A853, Raw!$F$2:$F$500) = TIME(0,0,0), "", SUMIF(Raw!$A$2:$A$500, MHT!A853, Raw!$F$2:$F$500))</f>
        <v/>
      </c>
      <c r="F853" s="12" t="str">
        <f t="array" ref="F853">IF(A853="", "", IF(COUNTIF(Raw!$H$1:$I$500, A853) &gt; 0, "Done", IF(COUNTIF(Raw!$J$1:$J$500, A853) &gt; 0, "Pause", IF(COUNTIF(Raw!$K$1:$K$500, A853) &gt; 0, "On-Going", "Pause"))))</f>
        <v/>
      </c>
      <c r="G853" s="51"/>
      <c r="H853" s="50"/>
    </row>
    <row r="854" spans="1:8" x14ac:dyDescent="0.4">
      <c r="A854" s="61"/>
      <c r="B854" s="16" t="str">
        <f t="array" ref="B854">IFERROR(MIN(IF(Raw!$A$2:$A$26=MHT!A854,Raw!$B$2:$B$20)),"")</f>
        <v/>
      </c>
      <c r="C854" s="13" t="str">
        <f t="array" ref="C854">IFERROR(MIN(IF(Raw!$A$2:$A$26=MHT!A854,Raw!$C$2:$C$20)),"")</f>
        <v/>
      </c>
      <c r="D854" s="14" t="str">
        <f t="array" ref="D854">IF(Raw!D847="","",IFERROR(MAX(IF(Raw!$A$2:$A$26=MHT!A854,Raw!$D$2:$D$20)),""))</f>
        <v/>
      </c>
      <c r="E854" s="6" t="str">
        <f>IF(SUMIF(Raw!$A$2:$A$500, MHT!A854, Raw!$F$2:$F$500) = TIME(0,0,0), "", SUMIF(Raw!$A$2:$A$500, MHT!A854, Raw!$F$2:$F$500))</f>
        <v/>
      </c>
      <c r="F854" s="12" t="str">
        <f t="array" ref="F854">IF(A854="", "", IF(COUNTIF(Raw!$H$1:$I$500, A854) &gt; 0, "Done", IF(COUNTIF(Raw!$J$1:$J$500, A854) &gt; 0, "Pause", IF(COUNTIF(Raw!$K$1:$K$500, A854) &gt; 0, "On-Going", "Pause"))))</f>
        <v/>
      </c>
      <c r="G854" s="51"/>
      <c r="H854" s="50"/>
    </row>
    <row r="855" spans="1:8" x14ac:dyDescent="0.4">
      <c r="A855" s="61"/>
      <c r="B855" s="16" t="str">
        <f t="array" ref="B855">IFERROR(MIN(IF(Raw!$A$2:$A$26=MHT!A855,Raw!$B$2:$B$20)),"")</f>
        <v/>
      </c>
      <c r="C855" s="13" t="str">
        <f t="array" ref="C855">IFERROR(MIN(IF(Raw!$A$2:$A$26=MHT!A855,Raw!$C$2:$C$20)),"")</f>
        <v/>
      </c>
      <c r="D855" s="14" t="str">
        <f t="array" ref="D855">IF(Raw!D848="","",IFERROR(MAX(IF(Raw!$A$2:$A$26=MHT!A855,Raw!$D$2:$D$20)),""))</f>
        <v/>
      </c>
      <c r="E855" s="6" t="str">
        <f>IF(SUMIF(Raw!$A$2:$A$500, MHT!A855, Raw!$F$2:$F$500) = TIME(0,0,0), "", SUMIF(Raw!$A$2:$A$500, MHT!A855, Raw!$F$2:$F$500))</f>
        <v/>
      </c>
      <c r="F855" s="12" t="str">
        <f t="array" ref="F855">IF(A855="", "", IF(COUNTIF(Raw!$H$1:$I$500, A855) &gt; 0, "Done", IF(COUNTIF(Raw!$J$1:$J$500, A855) &gt; 0, "Pause", IF(COUNTIF(Raw!$K$1:$K$500, A855) &gt; 0, "On-Going", "Pause"))))</f>
        <v/>
      </c>
      <c r="G855" s="51"/>
      <c r="H855" s="50"/>
    </row>
    <row r="856" spans="1:8" x14ac:dyDescent="0.4">
      <c r="A856" s="61"/>
      <c r="B856" s="16" t="str">
        <f t="array" ref="B856">IFERROR(MIN(IF(Raw!$A$2:$A$26=MHT!A856,Raw!$B$2:$B$20)),"")</f>
        <v/>
      </c>
      <c r="C856" s="13" t="str">
        <f t="array" ref="C856">IFERROR(MIN(IF(Raw!$A$2:$A$26=MHT!A856,Raw!$C$2:$C$20)),"")</f>
        <v/>
      </c>
      <c r="D856" s="14" t="str">
        <f t="array" ref="D856">IF(Raw!D849="","",IFERROR(MAX(IF(Raw!$A$2:$A$26=MHT!A856,Raw!$D$2:$D$20)),""))</f>
        <v/>
      </c>
      <c r="E856" s="6" t="str">
        <f>IF(SUMIF(Raw!$A$2:$A$500, MHT!A856, Raw!$F$2:$F$500) = TIME(0,0,0), "", SUMIF(Raw!$A$2:$A$500, MHT!A856, Raw!$F$2:$F$500))</f>
        <v/>
      </c>
      <c r="F856" s="12" t="str">
        <f t="array" ref="F856">IF(A856="", "", IF(COUNTIF(Raw!$H$1:$I$500, A856) &gt; 0, "Done", IF(COUNTIF(Raw!$J$1:$J$500, A856) &gt; 0, "Pause", IF(COUNTIF(Raw!$K$1:$K$500, A856) &gt; 0, "On-Going", "Pause"))))</f>
        <v/>
      </c>
      <c r="G856" s="51"/>
      <c r="H856" s="50"/>
    </row>
    <row r="857" spans="1:8" x14ac:dyDescent="0.4">
      <c r="A857" s="61"/>
      <c r="B857" s="16" t="str">
        <f t="array" ref="B857">IFERROR(MIN(IF(Raw!$A$2:$A$26=MHT!A857,Raw!$B$2:$B$20)),"")</f>
        <v/>
      </c>
      <c r="C857" s="13" t="str">
        <f t="array" ref="C857">IFERROR(MIN(IF(Raw!$A$2:$A$26=MHT!A857,Raw!$C$2:$C$20)),"")</f>
        <v/>
      </c>
      <c r="D857" s="14" t="str">
        <f t="array" ref="D857">IF(Raw!D850="","",IFERROR(MAX(IF(Raw!$A$2:$A$26=MHT!A857,Raw!$D$2:$D$20)),""))</f>
        <v/>
      </c>
      <c r="E857" s="6" t="str">
        <f>IF(SUMIF(Raw!$A$2:$A$500, MHT!A857, Raw!$F$2:$F$500) = TIME(0,0,0), "", SUMIF(Raw!$A$2:$A$500, MHT!A857, Raw!$F$2:$F$500))</f>
        <v/>
      </c>
      <c r="F857" s="12" t="str">
        <f t="array" ref="F857">IF(A857="", "", IF(COUNTIF(Raw!$H$1:$I$500, A857) &gt; 0, "Done", IF(COUNTIF(Raw!$J$1:$J$500, A857) &gt; 0, "Pause", IF(COUNTIF(Raw!$K$1:$K$500, A857) &gt; 0, "On-Going", "Pause"))))</f>
        <v/>
      </c>
      <c r="G857" s="51"/>
      <c r="H857" s="50"/>
    </row>
    <row r="858" spans="1:8" x14ac:dyDescent="0.4">
      <c r="A858" s="61"/>
      <c r="B858" s="16" t="str">
        <f t="array" ref="B858">IFERROR(MIN(IF(Raw!$A$2:$A$26=MHT!A858,Raw!$B$2:$B$20)),"")</f>
        <v/>
      </c>
      <c r="C858" s="13" t="str">
        <f t="array" ref="C858">IFERROR(MIN(IF(Raw!$A$2:$A$26=MHT!A858,Raw!$C$2:$C$20)),"")</f>
        <v/>
      </c>
      <c r="D858" s="14" t="str">
        <f t="array" ref="D858">IF(Raw!D851="","",IFERROR(MAX(IF(Raw!$A$2:$A$26=MHT!A858,Raw!$D$2:$D$20)),""))</f>
        <v/>
      </c>
      <c r="E858" s="6" t="str">
        <f>IF(SUMIF(Raw!$A$2:$A$500, MHT!A858, Raw!$F$2:$F$500) = TIME(0,0,0), "", SUMIF(Raw!$A$2:$A$500, MHT!A858, Raw!$F$2:$F$500))</f>
        <v/>
      </c>
      <c r="F858" s="12" t="str">
        <f t="array" ref="F858">IF(A858="", "", IF(COUNTIF(Raw!$H$1:$I$500, A858) &gt; 0, "Done", IF(COUNTIF(Raw!$J$1:$J$500, A858) &gt; 0, "Pause", IF(COUNTIF(Raw!$K$1:$K$500, A858) &gt; 0, "On-Going", "Pause"))))</f>
        <v/>
      </c>
      <c r="G858" s="51"/>
      <c r="H858" s="50"/>
    </row>
    <row r="859" spans="1:8" x14ac:dyDescent="0.4">
      <c r="A859" s="61"/>
      <c r="B859" s="16" t="str">
        <f t="array" ref="B859">IFERROR(MIN(IF(Raw!$A$2:$A$26=MHT!A859,Raw!$B$2:$B$20)),"")</f>
        <v/>
      </c>
      <c r="C859" s="13" t="str">
        <f t="array" ref="C859">IFERROR(MIN(IF(Raw!$A$2:$A$26=MHT!A859,Raw!$C$2:$C$20)),"")</f>
        <v/>
      </c>
      <c r="D859" s="14" t="str">
        <f t="array" ref="D859">IF(Raw!D852="","",IFERROR(MAX(IF(Raw!$A$2:$A$26=MHT!A859,Raw!$D$2:$D$20)),""))</f>
        <v/>
      </c>
      <c r="E859" s="6" t="str">
        <f>IF(SUMIF(Raw!$A$2:$A$500, MHT!A859, Raw!$F$2:$F$500) = TIME(0,0,0), "", SUMIF(Raw!$A$2:$A$500, MHT!A859, Raw!$F$2:$F$500))</f>
        <v/>
      </c>
      <c r="F859" s="12" t="str">
        <f t="array" ref="F859">IF(A859="", "", IF(COUNTIF(Raw!$H$1:$I$500, A859) &gt; 0, "Done", IF(COUNTIF(Raw!$J$1:$J$500, A859) &gt; 0, "Pause", IF(COUNTIF(Raw!$K$1:$K$500, A859) &gt; 0, "On-Going", "Pause"))))</f>
        <v/>
      </c>
      <c r="G859" s="51"/>
      <c r="H859" s="50"/>
    </row>
    <row r="860" spans="1:8" x14ac:dyDescent="0.4">
      <c r="A860" s="61"/>
      <c r="B860" s="16" t="str">
        <f t="array" ref="B860">IFERROR(MIN(IF(Raw!$A$2:$A$26=MHT!A860,Raw!$B$2:$B$20)),"")</f>
        <v/>
      </c>
      <c r="C860" s="13" t="str">
        <f t="array" ref="C860">IFERROR(MIN(IF(Raw!$A$2:$A$26=MHT!A860,Raw!$C$2:$C$20)),"")</f>
        <v/>
      </c>
      <c r="D860" s="14" t="str">
        <f t="array" ref="D860">IF(Raw!D853="","",IFERROR(MAX(IF(Raw!$A$2:$A$26=MHT!A860,Raw!$D$2:$D$20)),""))</f>
        <v/>
      </c>
      <c r="E860" s="6" t="str">
        <f>IF(SUMIF(Raw!$A$2:$A$500, MHT!A860, Raw!$F$2:$F$500) = TIME(0,0,0), "", SUMIF(Raw!$A$2:$A$500, MHT!A860, Raw!$F$2:$F$500))</f>
        <v/>
      </c>
      <c r="F860" s="12" t="str">
        <f t="array" ref="F860">IF(A860="", "", IF(COUNTIF(Raw!$H$1:$I$500, A860) &gt; 0, "Done", IF(COUNTIF(Raw!$J$1:$J$500, A860) &gt; 0, "Pause", IF(COUNTIF(Raw!$K$1:$K$500, A860) &gt; 0, "On-Going", "Pause"))))</f>
        <v/>
      </c>
      <c r="G860" s="51"/>
      <c r="H860" s="50"/>
    </row>
    <row r="861" spans="1:8" x14ac:dyDescent="0.4">
      <c r="A861" s="61"/>
      <c r="B861" s="16" t="str">
        <f t="array" ref="B861">IFERROR(MIN(IF(Raw!$A$2:$A$26=MHT!A861,Raw!$B$2:$B$20)),"")</f>
        <v/>
      </c>
      <c r="C861" s="13" t="str">
        <f t="array" ref="C861">IFERROR(MIN(IF(Raw!$A$2:$A$26=MHT!A861,Raw!$C$2:$C$20)),"")</f>
        <v/>
      </c>
      <c r="D861" s="14" t="str">
        <f t="array" ref="D861">IF(Raw!D854="","",IFERROR(MAX(IF(Raw!$A$2:$A$26=MHT!A861,Raw!$D$2:$D$20)),""))</f>
        <v/>
      </c>
      <c r="E861" s="6" t="str">
        <f>IF(SUMIF(Raw!$A$2:$A$500, MHT!A861, Raw!$F$2:$F$500) = TIME(0,0,0), "", SUMIF(Raw!$A$2:$A$500, MHT!A861, Raw!$F$2:$F$500))</f>
        <v/>
      </c>
      <c r="F861" s="12" t="str">
        <f t="array" ref="F861">IF(A861="", "", IF(COUNTIF(Raw!$H$1:$I$500, A861) &gt; 0, "Done", IF(COUNTIF(Raw!$J$1:$J$500, A861) &gt; 0, "Pause", IF(COUNTIF(Raw!$K$1:$K$500, A861) &gt; 0, "On-Going", "Pause"))))</f>
        <v/>
      </c>
      <c r="G861" s="51"/>
      <c r="H861" s="50"/>
    </row>
    <row r="862" spans="1:8" x14ac:dyDescent="0.4">
      <c r="A862" s="61"/>
      <c r="B862" s="16" t="str">
        <f t="array" ref="B862">IFERROR(MIN(IF(Raw!$A$2:$A$26=MHT!A862,Raw!$B$2:$B$20)),"")</f>
        <v/>
      </c>
      <c r="C862" s="13" t="str">
        <f t="array" ref="C862">IFERROR(MIN(IF(Raw!$A$2:$A$26=MHT!A862,Raw!$C$2:$C$20)),"")</f>
        <v/>
      </c>
      <c r="D862" s="14" t="str">
        <f t="array" ref="D862">IF(Raw!D855="","",IFERROR(MAX(IF(Raw!$A$2:$A$26=MHT!A862,Raw!$D$2:$D$20)),""))</f>
        <v/>
      </c>
      <c r="E862" s="6" t="str">
        <f>IF(SUMIF(Raw!$A$2:$A$500, MHT!A862, Raw!$F$2:$F$500) = TIME(0,0,0), "", SUMIF(Raw!$A$2:$A$500, MHT!A862, Raw!$F$2:$F$500))</f>
        <v/>
      </c>
      <c r="F862" s="12" t="str">
        <f t="array" ref="F862">IF(A862="", "", IF(COUNTIF(Raw!$H$1:$I$500, A862) &gt; 0, "Done", IF(COUNTIF(Raw!$J$1:$J$500, A862) &gt; 0, "Pause", IF(COUNTIF(Raw!$K$1:$K$500, A862) &gt; 0, "On-Going", "Pause"))))</f>
        <v/>
      </c>
      <c r="G862" s="51"/>
      <c r="H862" s="50"/>
    </row>
    <row r="863" spans="1:8" x14ac:dyDescent="0.4">
      <c r="A863" s="61"/>
      <c r="B863" s="16" t="str">
        <f t="array" ref="B863">IFERROR(MIN(IF(Raw!$A$2:$A$26=MHT!A863,Raw!$B$2:$B$20)),"")</f>
        <v/>
      </c>
      <c r="C863" s="13" t="str">
        <f t="array" ref="C863">IFERROR(MIN(IF(Raw!$A$2:$A$26=MHT!A863,Raw!$C$2:$C$20)),"")</f>
        <v/>
      </c>
      <c r="D863" s="14" t="str">
        <f t="array" ref="D863">IF(Raw!D856="","",IFERROR(MAX(IF(Raw!$A$2:$A$26=MHT!A863,Raw!$D$2:$D$20)),""))</f>
        <v/>
      </c>
      <c r="E863" s="6" t="str">
        <f>IF(SUMIF(Raw!$A$2:$A$500, MHT!A863, Raw!$F$2:$F$500) = TIME(0,0,0), "", SUMIF(Raw!$A$2:$A$500, MHT!A863, Raw!$F$2:$F$500))</f>
        <v/>
      </c>
      <c r="F863" s="12" t="str">
        <f t="array" ref="F863">IF(A863="", "", IF(COUNTIF(Raw!$H$1:$I$500, A863) &gt; 0, "Done", IF(COUNTIF(Raw!$J$1:$J$500, A863) &gt; 0, "Pause", IF(COUNTIF(Raw!$K$1:$K$500, A863) &gt; 0, "On-Going", "Pause"))))</f>
        <v/>
      </c>
      <c r="G863" s="51"/>
      <c r="H863" s="50"/>
    </row>
    <row r="864" spans="1:8" x14ac:dyDescent="0.4">
      <c r="A864" s="61"/>
      <c r="B864" s="16" t="str">
        <f t="array" ref="B864">IFERROR(MIN(IF(Raw!$A$2:$A$26=MHT!A864,Raw!$B$2:$B$20)),"")</f>
        <v/>
      </c>
      <c r="C864" s="13" t="str">
        <f t="array" ref="C864">IFERROR(MIN(IF(Raw!$A$2:$A$26=MHT!A864,Raw!$C$2:$C$20)),"")</f>
        <v/>
      </c>
      <c r="D864" s="14" t="str">
        <f t="array" ref="D864">IF(Raw!D857="","",IFERROR(MAX(IF(Raw!$A$2:$A$26=MHT!A864,Raw!$D$2:$D$20)),""))</f>
        <v/>
      </c>
      <c r="E864" s="6" t="str">
        <f>IF(SUMIF(Raw!$A$2:$A$500, MHT!A864, Raw!$F$2:$F$500) = TIME(0,0,0), "", SUMIF(Raw!$A$2:$A$500, MHT!A864, Raw!$F$2:$F$500))</f>
        <v/>
      </c>
      <c r="F864" s="12" t="str">
        <f t="array" ref="F864">IF(A864="", "", IF(COUNTIF(Raw!$H$1:$I$500, A864) &gt; 0, "Done", IF(COUNTIF(Raw!$J$1:$J$500, A864) &gt; 0, "Pause", IF(COUNTIF(Raw!$K$1:$K$500, A864) &gt; 0, "On-Going", "Pause"))))</f>
        <v/>
      </c>
      <c r="G864" s="51"/>
      <c r="H864" s="50"/>
    </row>
    <row r="865" spans="1:8" x14ac:dyDescent="0.4">
      <c r="A865" s="61"/>
      <c r="B865" s="16" t="str">
        <f t="array" ref="B865">IFERROR(MIN(IF(Raw!$A$2:$A$26=MHT!A865,Raw!$B$2:$B$20)),"")</f>
        <v/>
      </c>
      <c r="C865" s="13" t="str">
        <f t="array" ref="C865">IFERROR(MIN(IF(Raw!$A$2:$A$26=MHT!A865,Raw!$C$2:$C$20)),"")</f>
        <v/>
      </c>
      <c r="D865" s="14" t="str">
        <f t="array" ref="D865">IF(Raw!D858="","",IFERROR(MAX(IF(Raw!$A$2:$A$26=MHT!A865,Raw!$D$2:$D$20)),""))</f>
        <v/>
      </c>
      <c r="E865" s="6" t="str">
        <f>IF(SUMIF(Raw!$A$2:$A$500, MHT!A865, Raw!$F$2:$F$500) = TIME(0,0,0), "", SUMIF(Raw!$A$2:$A$500, MHT!A865, Raw!$F$2:$F$500))</f>
        <v/>
      </c>
      <c r="F865" s="12" t="str">
        <f t="array" ref="F865">IF(A865="", "", IF(COUNTIF(Raw!$H$1:$I$500, A865) &gt; 0, "Done", IF(COUNTIF(Raw!$J$1:$J$500, A865) &gt; 0, "Pause", IF(COUNTIF(Raw!$K$1:$K$500, A865) &gt; 0, "On-Going", "Pause"))))</f>
        <v/>
      </c>
      <c r="G865" s="51"/>
      <c r="H865" s="50"/>
    </row>
    <row r="866" spans="1:8" x14ac:dyDescent="0.4">
      <c r="A866" s="61"/>
      <c r="B866" s="16" t="str">
        <f t="array" ref="B866">IFERROR(MIN(IF(Raw!$A$2:$A$26=MHT!A866,Raw!$B$2:$B$20)),"")</f>
        <v/>
      </c>
      <c r="C866" s="13" t="str">
        <f t="array" ref="C866">IFERROR(MIN(IF(Raw!$A$2:$A$26=MHT!A866,Raw!$C$2:$C$20)),"")</f>
        <v/>
      </c>
      <c r="D866" s="14" t="str">
        <f t="array" ref="D866">IF(Raw!D859="","",IFERROR(MAX(IF(Raw!$A$2:$A$26=MHT!A866,Raw!$D$2:$D$20)),""))</f>
        <v/>
      </c>
      <c r="E866" s="6" t="str">
        <f>IF(SUMIF(Raw!$A$2:$A$500, MHT!A866, Raw!$F$2:$F$500) = TIME(0,0,0), "", SUMIF(Raw!$A$2:$A$500, MHT!A866, Raw!$F$2:$F$500))</f>
        <v/>
      </c>
      <c r="F866" s="12" t="str">
        <f t="array" ref="F866">IF(A866="", "", IF(COUNTIF(Raw!$H$1:$I$500, A866) &gt; 0, "Done", IF(COUNTIF(Raw!$J$1:$J$500, A866) &gt; 0, "Pause", IF(COUNTIF(Raw!$K$1:$K$500, A866) &gt; 0, "On-Going", "Pause"))))</f>
        <v/>
      </c>
      <c r="G866" s="51"/>
      <c r="H866" s="50"/>
    </row>
    <row r="867" spans="1:8" x14ac:dyDescent="0.4">
      <c r="A867" s="61"/>
      <c r="B867" s="16" t="str">
        <f t="array" ref="B867">IFERROR(MIN(IF(Raw!$A$2:$A$26=MHT!A867,Raw!$B$2:$B$20)),"")</f>
        <v/>
      </c>
      <c r="C867" s="13" t="str">
        <f t="array" ref="C867">IFERROR(MIN(IF(Raw!$A$2:$A$26=MHT!A867,Raw!$C$2:$C$20)),"")</f>
        <v/>
      </c>
      <c r="D867" s="14" t="str">
        <f t="array" ref="D867">IF(Raw!D860="","",IFERROR(MAX(IF(Raw!$A$2:$A$26=MHT!A867,Raw!$D$2:$D$20)),""))</f>
        <v/>
      </c>
      <c r="E867" s="6" t="str">
        <f>IF(SUMIF(Raw!$A$2:$A$500, MHT!A867, Raw!$F$2:$F$500) = TIME(0,0,0), "", SUMIF(Raw!$A$2:$A$500, MHT!A867, Raw!$F$2:$F$500))</f>
        <v/>
      </c>
      <c r="F867" s="12" t="str">
        <f t="array" ref="F867">IF(A867="", "", IF(COUNTIF(Raw!$H$1:$I$500, A867) &gt; 0, "Done", IF(COUNTIF(Raw!$J$1:$J$500, A867) &gt; 0, "Pause", IF(COUNTIF(Raw!$K$1:$K$500, A867) &gt; 0, "On-Going", "Pause"))))</f>
        <v/>
      </c>
      <c r="G867" s="51"/>
      <c r="H867" s="50"/>
    </row>
    <row r="868" spans="1:8" x14ac:dyDescent="0.4">
      <c r="A868" s="61"/>
      <c r="B868" s="16" t="str">
        <f t="array" ref="B868">IFERROR(MIN(IF(Raw!$A$2:$A$26=MHT!A868,Raw!$B$2:$B$20)),"")</f>
        <v/>
      </c>
      <c r="C868" s="13" t="str">
        <f t="array" ref="C868">IFERROR(MIN(IF(Raw!$A$2:$A$26=MHT!A868,Raw!$C$2:$C$20)),"")</f>
        <v/>
      </c>
      <c r="D868" s="14" t="str">
        <f t="array" ref="D868">IF(Raw!D861="","",IFERROR(MAX(IF(Raw!$A$2:$A$26=MHT!A868,Raw!$D$2:$D$20)),""))</f>
        <v/>
      </c>
      <c r="E868" s="6" t="str">
        <f>IF(SUMIF(Raw!$A$2:$A$500, MHT!A868, Raw!$F$2:$F$500) = TIME(0,0,0), "", SUMIF(Raw!$A$2:$A$500, MHT!A868, Raw!$F$2:$F$500))</f>
        <v/>
      </c>
      <c r="F868" s="12" t="str">
        <f t="array" ref="F868">IF(A868="", "", IF(COUNTIF(Raw!$H$1:$I$500, A868) &gt; 0, "Done", IF(COUNTIF(Raw!$J$1:$J$500, A868) &gt; 0, "Pause", IF(COUNTIF(Raw!$K$1:$K$500, A868) &gt; 0, "On-Going", "Pause"))))</f>
        <v/>
      </c>
      <c r="G868" s="51"/>
      <c r="H868" s="50"/>
    </row>
    <row r="869" spans="1:8" x14ac:dyDescent="0.4">
      <c r="A869" s="61"/>
      <c r="B869" s="16" t="str">
        <f t="array" ref="B869">IFERROR(MIN(IF(Raw!$A$2:$A$26=MHT!A869,Raw!$B$2:$B$20)),"")</f>
        <v/>
      </c>
      <c r="C869" s="13" t="str">
        <f t="array" ref="C869">IFERROR(MIN(IF(Raw!$A$2:$A$26=MHT!A869,Raw!$C$2:$C$20)),"")</f>
        <v/>
      </c>
      <c r="D869" s="14" t="str">
        <f t="array" ref="D869">IF(Raw!D862="","",IFERROR(MAX(IF(Raw!$A$2:$A$26=MHT!A869,Raw!$D$2:$D$20)),""))</f>
        <v/>
      </c>
      <c r="E869" s="6" t="str">
        <f>IF(SUMIF(Raw!$A$2:$A$500, MHT!A869, Raw!$F$2:$F$500) = TIME(0,0,0), "", SUMIF(Raw!$A$2:$A$500, MHT!A869, Raw!$F$2:$F$500))</f>
        <v/>
      </c>
      <c r="F869" s="12" t="str">
        <f t="array" ref="F869">IF(A869="", "", IF(COUNTIF(Raw!$H$1:$I$500, A869) &gt; 0, "Done", IF(COUNTIF(Raw!$J$1:$J$500, A869) &gt; 0, "Pause", IF(COUNTIF(Raw!$K$1:$K$500, A869) &gt; 0, "On-Going", "Pause"))))</f>
        <v/>
      </c>
      <c r="G869" s="51"/>
      <c r="H869" s="50"/>
    </row>
    <row r="870" spans="1:8" x14ac:dyDescent="0.4">
      <c r="A870" s="61"/>
      <c r="B870" s="16" t="str">
        <f t="array" ref="B870">IFERROR(MIN(IF(Raw!$A$2:$A$26=MHT!A870,Raw!$B$2:$B$20)),"")</f>
        <v/>
      </c>
      <c r="C870" s="13" t="str">
        <f t="array" ref="C870">IFERROR(MIN(IF(Raw!$A$2:$A$26=MHT!A870,Raw!$C$2:$C$20)),"")</f>
        <v/>
      </c>
      <c r="D870" s="14" t="str">
        <f t="array" ref="D870">IF(Raw!D863="","",IFERROR(MAX(IF(Raw!$A$2:$A$26=MHT!A870,Raw!$D$2:$D$20)),""))</f>
        <v/>
      </c>
      <c r="E870" s="6" t="str">
        <f>IF(SUMIF(Raw!$A$2:$A$500, MHT!A870, Raw!$F$2:$F$500) = TIME(0,0,0), "", SUMIF(Raw!$A$2:$A$500, MHT!A870, Raw!$F$2:$F$500))</f>
        <v/>
      </c>
      <c r="F870" s="12" t="str">
        <f t="array" ref="F870">IF(A870="", "", IF(COUNTIF(Raw!$H$1:$I$500, A870) &gt; 0, "Done", IF(COUNTIF(Raw!$J$1:$J$500, A870) &gt; 0, "Pause", IF(COUNTIF(Raw!$K$1:$K$500, A870) &gt; 0, "On-Going", "Pause"))))</f>
        <v/>
      </c>
      <c r="G870" s="51"/>
      <c r="H870" s="50"/>
    </row>
    <row r="871" spans="1:8" x14ac:dyDescent="0.4">
      <c r="A871" s="61"/>
      <c r="B871" s="16" t="str">
        <f t="array" ref="B871">IFERROR(MIN(IF(Raw!$A$2:$A$26=MHT!A871,Raw!$B$2:$B$20)),"")</f>
        <v/>
      </c>
      <c r="C871" s="13" t="str">
        <f t="array" ref="C871">IFERROR(MIN(IF(Raw!$A$2:$A$26=MHT!A871,Raw!$C$2:$C$20)),"")</f>
        <v/>
      </c>
      <c r="D871" s="14" t="str">
        <f t="array" ref="D871">IF(Raw!D864="","",IFERROR(MAX(IF(Raw!$A$2:$A$26=MHT!A871,Raw!$D$2:$D$20)),""))</f>
        <v/>
      </c>
      <c r="E871" s="6" t="str">
        <f>IF(SUMIF(Raw!$A$2:$A$500, MHT!A871, Raw!$F$2:$F$500) = TIME(0,0,0), "", SUMIF(Raw!$A$2:$A$500, MHT!A871, Raw!$F$2:$F$500))</f>
        <v/>
      </c>
      <c r="F871" s="12" t="str">
        <f t="array" ref="F871">IF(A871="", "", IF(COUNTIF(Raw!$H$1:$I$500, A871) &gt; 0, "Done", IF(COUNTIF(Raw!$J$1:$J$500, A871) &gt; 0, "Pause", IF(COUNTIF(Raw!$K$1:$K$500, A871) &gt; 0, "On-Going", "Pause"))))</f>
        <v/>
      </c>
      <c r="G871" s="51"/>
      <c r="H871" s="50"/>
    </row>
    <row r="872" spans="1:8" x14ac:dyDescent="0.4">
      <c r="A872" s="61"/>
      <c r="B872" s="16" t="str">
        <f t="array" ref="B872">IFERROR(MIN(IF(Raw!$A$2:$A$26=MHT!A872,Raw!$B$2:$B$20)),"")</f>
        <v/>
      </c>
      <c r="C872" s="13" t="str">
        <f t="array" ref="C872">IFERROR(MIN(IF(Raw!$A$2:$A$26=MHT!A872,Raw!$C$2:$C$20)),"")</f>
        <v/>
      </c>
      <c r="D872" s="14" t="str">
        <f t="array" ref="D872">IF(Raw!D865="","",IFERROR(MAX(IF(Raw!$A$2:$A$26=MHT!A872,Raw!$D$2:$D$20)),""))</f>
        <v/>
      </c>
      <c r="E872" s="6" t="str">
        <f>IF(SUMIF(Raw!$A$2:$A$500, MHT!A872, Raw!$F$2:$F$500) = TIME(0,0,0), "", SUMIF(Raw!$A$2:$A$500, MHT!A872, Raw!$F$2:$F$500))</f>
        <v/>
      </c>
      <c r="F872" s="12" t="str">
        <f t="array" ref="F872">IF(A872="", "", IF(COUNTIF(Raw!$H$1:$I$500, A872) &gt; 0, "Done", IF(COUNTIF(Raw!$J$1:$J$500, A872) &gt; 0, "Pause", IF(COUNTIF(Raw!$K$1:$K$500, A872) &gt; 0, "On-Going", "Pause"))))</f>
        <v/>
      </c>
      <c r="G872" s="51"/>
      <c r="H872" s="50"/>
    </row>
    <row r="873" spans="1:8" x14ac:dyDescent="0.4">
      <c r="A873" s="61"/>
      <c r="B873" s="16" t="str">
        <f t="array" ref="B873">IFERROR(MIN(IF(Raw!$A$2:$A$26=MHT!A873,Raw!$B$2:$B$20)),"")</f>
        <v/>
      </c>
      <c r="C873" s="13" t="str">
        <f t="array" ref="C873">IFERROR(MIN(IF(Raw!$A$2:$A$26=MHT!A873,Raw!$C$2:$C$20)),"")</f>
        <v/>
      </c>
      <c r="D873" s="14" t="str">
        <f t="array" ref="D873">IF(Raw!D866="","",IFERROR(MAX(IF(Raw!$A$2:$A$26=MHT!A873,Raw!$D$2:$D$20)),""))</f>
        <v/>
      </c>
      <c r="E873" s="6" t="str">
        <f>IF(SUMIF(Raw!$A$2:$A$500, MHT!A873, Raw!$F$2:$F$500) = TIME(0,0,0), "", SUMIF(Raw!$A$2:$A$500, MHT!A873, Raw!$F$2:$F$500))</f>
        <v/>
      </c>
      <c r="F873" s="12" t="str">
        <f t="array" ref="F873">IF(A873="", "", IF(COUNTIF(Raw!$H$1:$I$500, A873) &gt; 0, "Done", IF(COUNTIF(Raw!$J$1:$J$500, A873) &gt; 0, "Pause", IF(COUNTIF(Raw!$K$1:$K$500, A873) &gt; 0, "On-Going", "Pause"))))</f>
        <v/>
      </c>
      <c r="G873" s="51"/>
      <c r="H873" s="50"/>
    </row>
    <row r="874" spans="1:8" x14ac:dyDescent="0.4">
      <c r="A874" s="61"/>
      <c r="B874" s="16" t="str">
        <f t="array" ref="B874">IFERROR(MIN(IF(Raw!$A$2:$A$26=MHT!A874,Raw!$B$2:$B$20)),"")</f>
        <v/>
      </c>
      <c r="C874" s="13" t="str">
        <f t="array" ref="C874">IFERROR(MIN(IF(Raw!$A$2:$A$26=MHT!A874,Raw!$C$2:$C$20)),"")</f>
        <v/>
      </c>
      <c r="D874" s="14" t="str">
        <f t="array" ref="D874">IF(Raw!D867="","",IFERROR(MAX(IF(Raw!$A$2:$A$26=MHT!A874,Raw!$D$2:$D$20)),""))</f>
        <v/>
      </c>
      <c r="E874" s="6" t="str">
        <f>IF(SUMIF(Raw!$A$2:$A$500, MHT!A874, Raw!$F$2:$F$500) = TIME(0,0,0), "", SUMIF(Raw!$A$2:$A$500, MHT!A874, Raw!$F$2:$F$500))</f>
        <v/>
      </c>
      <c r="F874" s="12" t="str">
        <f t="array" ref="F874">IF(A874="", "", IF(COUNTIF(Raw!$H$1:$I$500, A874) &gt; 0, "Done", IF(COUNTIF(Raw!$J$1:$J$500, A874) &gt; 0, "Pause", IF(COUNTIF(Raw!$K$1:$K$500, A874) &gt; 0, "On-Going", "Pause"))))</f>
        <v/>
      </c>
      <c r="G874" s="51"/>
      <c r="H874" s="50"/>
    </row>
    <row r="875" spans="1:8" x14ac:dyDescent="0.4">
      <c r="A875" s="61"/>
      <c r="B875" s="16" t="str">
        <f t="array" ref="B875">IFERROR(MIN(IF(Raw!$A$2:$A$26=MHT!A875,Raw!$B$2:$B$20)),"")</f>
        <v/>
      </c>
      <c r="C875" s="13" t="str">
        <f t="array" ref="C875">IFERROR(MIN(IF(Raw!$A$2:$A$26=MHT!A875,Raw!$C$2:$C$20)),"")</f>
        <v/>
      </c>
      <c r="D875" s="14" t="str">
        <f t="array" ref="D875">IF(Raw!D868="","",IFERROR(MAX(IF(Raw!$A$2:$A$26=MHT!A875,Raw!$D$2:$D$20)),""))</f>
        <v/>
      </c>
      <c r="E875" s="6" t="str">
        <f>IF(SUMIF(Raw!$A$2:$A$500, MHT!A875, Raw!$F$2:$F$500) = TIME(0,0,0), "", SUMIF(Raw!$A$2:$A$500, MHT!A875, Raw!$F$2:$F$500))</f>
        <v/>
      </c>
      <c r="F875" s="12" t="str">
        <f t="array" ref="F875">IF(A875="", "", IF(COUNTIF(Raw!$H$1:$I$500, A875) &gt; 0, "Done", IF(COUNTIF(Raw!$J$1:$J$500, A875) &gt; 0, "Pause", IF(COUNTIF(Raw!$K$1:$K$500, A875) &gt; 0, "On-Going", "Pause"))))</f>
        <v/>
      </c>
      <c r="G875" s="51"/>
      <c r="H875" s="50"/>
    </row>
    <row r="876" spans="1:8" x14ac:dyDescent="0.4">
      <c r="A876" s="61"/>
      <c r="B876" s="16" t="str">
        <f t="array" ref="B876">IFERROR(MIN(IF(Raw!$A$2:$A$26=MHT!A876,Raw!$B$2:$B$20)),"")</f>
        <v/>
      </c>
      <c r="C876" s="13" t="str">
        <f t="array" ref="C876">IFERROR(MIN(IF(Raw!$A$2:$A$26=MHT!A876,Raw!$C$2:$C$20)),"")</f>
        <v/>
      </c>
      <c r="D876" s="14" t="str">
        <f t="array" ref="D876">IF(Raw!D869="","",IFERROR(MAX(IF(Raw!$A$2:$A$26=MHT!A876,Raw!$D$2:$D$20)),""))</f>
        <v/>
      </c>
      <c r="E876" s="6" t="str">
        <f>IF(SUMIF(Raw!$A$2:$A$500, MHT!A876, Raw!$F$2:$F$500) = TIME(0,0,0), "", SUMIF(Raw!$A$2:$A$500, MHT!A876, Raw!$F$2:$F$500))</f>
        <v/>
      </c>
      <c r="F876" s="12" t="str">
        <f t="array" ref="F876">IF(A876="", "", IF(COUNTIF(Raw!$H$1:$I$500, A876) &gt; 0, "Done", IF(COUNTIF(Raw!$J$1:$J$500, A876) &gt; 0, "Pause", IF(COUNTIF(Raw!$K$1:$K$500, A876) &gt; 0, "On-Going", "Pause"))))</f>
        <v/>
      </c>
      <c r="G876" s="51"/>
      <c r="H876" s="50"/>
    </row>
    <row r="877" spans="1:8" x14ac:dyDescent="0.4">
      <c r="A877" s="61"/>
      <c r="B877" s="16" t="str">
        <f t="array" ref="B877">IFERROR(MIN(IF(Raw!$A$2:$A$26=MHT!A877,Raw!$B$2:$B$20)),"")</f>
        <v/>
      </c>
      <c r="C877" s="13" t="str">
        <f t="array" ref="C877">IFERROR(MIN(IF(Raw!$A$2:$A$26=MHT!A877,Raw!$C$2:$C$20)),"")</f>
        <v/>
      </c>
      <c r="D877" s="14" t="str">
        <f t="array" ref="D877">IF(Raw!D870="","",IFERROR(MAX(IF(Raw!$A$2:$A$26=MHT!A877,Raw!$D$2:$D$20)),""))</f>
        <v/>
      </c>
      <c r="E877" s="6" t="str">
        <f>IF(SUMIF(Raw!$A$2:$A$500, MHT!A877, Raw!$F$2:$F$500) = TIME(0,0,0), "", SUMIF(Raw!$A$2:$A$500, MHT!A877, Raw!$F$2:$F$500))</f>
        <v/>
      </c>
      <c r="F877" s="12" t="str">
        <f t="array" ref="F877">IF(A877="", "", IF(COUNTIF(Raw!$H$1:$I$500, A877) &gt; 0, "Done", IF(COUNTIF(Raw!$J$1:$J$500, A877) &gt; 0, "Pause", IF(COUNTIF(Raw!$K$1:$K$500, A877) &gt; 0, "On-Going", "Pause"))))</f>
        <v/>
      </c>
      <c r="G877" s="51"/>
      <c r="H877" s="50"/>
    </row>
    <row r="878" spans="1:8" x14ac:dyDescent="0.4">
      <c r="A878" s="61"/>
      <c r="B878" s="16" t="str">
        <f t="array" ref="B878">IFERROR(MIN(IF(Raw!$A$2:$A$26=MHT!A878,Raw!$B$2:$B$20)),"")</f>
        <v/>
      </c>
      <c r="C878" s="13" t="str">
        <f t="array" ref="C878">IFERROR(MIN(IF(Raw!$A$2:$A$26=MHT!A878,Raw!$C$2:$C$20)),"")</f>
        <v/>
      </c>
      <c r="D878" s="14" t="str">
        <f t="array" ref="D878">IF(Raw!D871="","",IFERROR(MAX(IF(Raw!$A$2:$A$26=MHT!A878,Raw!$D$2:$D$20)),""))</f>
        <v/>
      </c>
      <c r="E878" s="6" t="str">
        <f>IF(SUMIF(Raw!$A$2:$A$500, MHT!A878, Raw!$F$2:$F$500) = TIME(0,0,0), "", SUMIF(Raw!$A$2:$A$500, MHT!A878, Raw!$F$2:$F$500))</f>
        <v/>
      </c>
      <c r="F878" s="12" t="str">
        <f t="array" ref="F878">IF(A878="", "", IF(COUNTIF(Raw!$H$1:$I$500, A878) &gt; 0, "Done", IF(COUNTIF(Raw!$J$1:$J$500, A878) &gt; 0, "Pause", IF(COUNTIF(Raw!$K$1:$K$500, A878) &gt; 0, "On-Going", "Pause"))))</f>
        <v/>
      </c>
      <c r="G878" s="51"/>
      <c r="H878" s="50"/>
    </row>
    <row r="879" spans="1:8" x14ac:dyDescent="0.4">
      <c r="A879" s="61"/>
      <c r="B879" s="16" t="str">
        <f t="array" ref="B879">IFERROR(MIN(IF(Raw!$A$2:$A$26=MHT!A879,Raw!$B$2:$B$20)),"")</f>
        <v/>
      </c>
      <c r="C879" s="13" t="str">
        <f t="array" ref="C879">IFERROR(MIN(IF(Raw!$A$2:$A$26=MHT!A879,Raw!$C$2:$C$20)),"")</f>
        <v/>
      </c>
      <c r="D879" s="14" t="str">
        <f t="array" ref="D879">IF(Raw!D872="","",IFERROR(MAX(IF(Raw!$A$2:$A$26=MHT!A879,Raw!$D$2:$D$20)),""))</f>
        <v/>
      </c>
      <c r="E879" s="6" t="str">
        <f>IF(SUMIF(Raw!$A$2:$A$500, MHT!A879, Raw!$F$2:$F$500) = TIME(0,0,0), "", SUMIF(Raw!$A$2:$A$500, MHT!A879, Raw!$F$2:$F$500))</f>
        <v/>
      </c>
      <c r="F879" s="12" t="str">
        <f t="array" ref="F879">IF(A879="", "", IF(COUNTIF(Raw!$H$1:$I$500, A879) &gt; 0, "Done", IF(COUNTIF(Raw!$J$1:$J$500, A879) &gt; 0, "Pause", IF(COUNTIF(Raw!$K$1:$K$500, A879) &gt; 0, "On-Going", "Pause"))))</f>
        <v/>
      </c>
      <c r="G879" s="51"/>
      <c r="H879" s="50"/>
    </row>
    <row r="880" spans="1:8" x14ac:dyDescent="0.4">
      <c r="A880" s="61"/>
      <c r="B880" s="16" t="str">
        <f t="array" ref="B880">IFERROR(MIN(IF(Raw!$A$2:$A$26=MHT!A880,Raw!$B$2:$B$20)),"")</f>
        <v/>
      </c>
      <c r="C880" s="13" t="str">
        <f t="array" ref="C880">IFERROR(MIN(IF(Raw!$A$2:$A$26=MHT!A880,Raw!$C$2:$C$20)),"")</f>
        <v/>
      </c>
      <c r="D880" s="14" t="str">
        <f t="array" ref="D880">IF(Raw!D873="","",IFERROR(MAX(IF(Raw!$A$2:$A$26=MHT!A880,Raw!$D$2:$D$20)),""))</f>
        <v/>
      </c>
      <c r="E880" s="6" t="str">
        <f>IF(SUMIF(Raw!$A$2:$A$500, MHT!A880, Raw!$F$2:$F$500) = TIME(0,0,0), "", SUMIF(Raw!$A$2:$A$500, MHT!A880, Raw!$F$2:$F$500))</f>
        <v/>
      </c>
      <c r="F880" s="12" t="str">
        <f t="array" ref="F880">IF(A880="", "", IF(COUNTIF(Raw!$H$1:$I$500, A880) &gt; 0, "Done", IF(COUNTIF(Raw!$J$1:$J$500, A880) &gt; 0, "Pause", IF(COUNTIF(Raw!$K$1:$K$500, A880) &gt; 0, "On-Going", "Pause"))))</f>
        <v/>
      </c>
      <c r="G880" s="51"/>
      <c r="H880" s="50"/>
    </row>
    <row r="881" spans="1:8" x14ac:dyDescent="0.4">
      <c r="A881" s="61"/>
      <c r="B881" s="16" t="str">
        <f t="array" ref="B881">IFERROR(MIN(IF(Raw!$A$2:$A$26=MHT!A881,Raw!$B$2:$B$20)),"")</f>
        <v/>
      </c>
      <c r="C881" s="13" t="str">
        <f t="array" ref="C881">IFERROR(MIN(IF(Raw!$A$2:$A$26=MHT!A881,Raw!$C$2:$C$20)),"")</f>
        <v/>
      </c>
      <c r="D881" s="14" t="str">
        <f t="array" ref="D881">IF(Raw!D874="","",IFERROR(MAX(IF(Raw!$A$2:$A$26=MHT!A881,Raw!$D$2:$D$20)),""))</f>
        <v/>
      </c>
      <c r="E881" s="6" t="str">
        <f>IF(SUMIF(Raw!$A$2:$A$500, MHT!A881, Raw!$F$2:$F$500) = TIME(0,0,0), "", SUMIF(Raw!$A$2:$A$500, MHT!A881, Raw!$F$2:$F$500))</f>
        <v/>
      </c>
      <c r="F881" s="12" t="str">
        <f t="array" ref="F881">IF(A881="", "", IF(COUNTIF(Raw!$H$1:$I$500, A881) &gt; 0, "Done", IF(COUNTIF(Raw!$J$1:$J$500, A881) &gt; 0, "Pause", IF(COUNTIF(Raw!$K$1:$K$500, A881) &gt; 0, "On-Going", "Pause"))))</f>
        <v/>
      </c>
      <c r="G881" s="51"/>
      <c r="H881" s="50"/>
    </row>
    <row r="882" spans="1:8" x14ac:dyDescent="0.4">
      <c r="A882" s="61"/>
      <c r="B882" s="16" t="str">
        <f t="array" ref="B882">IFERROR(MIN(IF(Raw!$A$2:$A$26=MHT!A882,Raw!$B$2:$B$20)),"")</f>
        <v/>
      </c>
      <c r="C882" s="13" t="str">
        <f t="array" ref="C882">IFERROR(MIN(IF(Raw!$A$2:$A$26=MHT!A882,Raw!$C$2:$C$20)),"")</f>
        <v/>
      </c>
      <c r="D882" s="14" t="str">
        <f t="array" ref="D882">IF(Raw!D875="","",IFERROR(MAX(IF(Raw!$A$2:$A$26=MHT!A882,Raw!$D$2:$D$20)),""))</f>
        <v/>
      </c>
      <c r="E882" s="6" t="str">
        <f>IF(SUMIF(Raw!$A$2:$A$500, MHT!A882, Raw!$F$2:$F$500) = TIME(0,0,0), "", SUMIF(Raw!$A$2:$A$500, MHT!A882, Raw!$F$2:$F$500))</f>
        <v/>
      </c>
      <c r="F882" s="12" t="str">
        <f t="array" ref="F882">IF(A882="", "", IF(COUNTIF(Raw!$H$1:$I$500, A882) &gt; 0, "Done", IF(COUNTIF(Raw!$J$1:$J$500, A882) &gt; 0, "Pause", IF(COUNTIF(Raw!$K$1:$K$500, A882) &gt; 0, "On-Going", "Pause"))))</f>
        <v/>
      </c>
      <c r="G882" s="51"/>
      <c r="H882" s="50"/>
    </row>
    <row r="883" spans="1:8" x14ac:dyDescent="0.4">
      <c r="A883" s="61"/>
      <c r="B883" s="16" t="str">
        <f t="array" ref="B883">IFERROR(MIN(IF(Raw!$A$2:$A$26=MHT!A883,Raw!$B$2:$B$20)),"")</f>
        <v/>
      </c>
      <c r="C883" s="13" t="str">
        <f t="array" ref="C883">IFERROR(MIN(IF(Raw!$A$2:$A$26=MHT!A883,Raw!$C$2:$C$20)),"")</f>
        <v/>
      </c>
      <c r="D883" s="14" t="str">
        <f t="array" ref="D883">IF(Raw!D876="","",IFERROR(MAX(IF(Raw!$A$2:$A$26=MHT!A883,Raw!$D$2:$D$20)),""))</f>
        <v/>
      </c>
      <c r="E883" s="6" t="str">
        <f>IF(SUMIF(Raw!$A$2:$A$500, MHT!A883, Raw!$F$2:$F$500) = TIME(0,0,0), "", SUMIF(Raw!$A$2:$A$500, MHT!A883, Raw!$F$2:$F$500))</f>
        <v/>
      </c>
      <c r="F883" s="12" t="str">
        <f t="array" ref="F883">IF(A883="", "", IF(COUNTIF(Raw!$H$1:$I$500, A883) &gt; 0, "Done", IF(COUNTIF(Raw!$J$1:$J$500, A883) &gt; 0, "Pause", IF(COUNTIF(Raw!$K$1:$K$500, A883) &gt; 0, "On-Going", "Pause"))))</f>
        <v/>
      </c>
      <c r="G883" s="51"/>
      <c r="H883" s="50"/>
    </row>
    <row r="884" spans="1:8" x14ac:dyDescent="0.4">
      <c r="A884" s="61"/>
      <c r="B884" s="16" t="str">
        <f t="array" ref="B884">IFERROR(MIN(IF(Raw!$A$2:$A$26=MHT!A884,Raw!$B$2:$B$20)),"")</f>
        <v/>
      </c>
      <c r="C884" s="13" t="str">
        <f t="array" ref="C884">IFERROR(MIN(IF(Raw!$A$2:$A$26=MHT!A884,Raw!$C$2:$C$20)),"")</f>
        <v/>
      </c>
      <c r="D884" s="14" t="str">
        <f t="array" ref="D884">IF(Raw!D877="","",IFERROR(MAX(IF(Raw!$A$2:$A$26=MHT!A884,Raw!$D$2:$D$20)),""))</f>
        <v/>
      </c>
      <c r="E884" s="6" t="str">
        <f>IF(SUMIF(Raw!$A$2:$A$500, MHT!A884, Raw!$F$2:$F$500) = TIME(0,0,0), "", SUMIF(Raw!$A$2:$A$500, MHT!A884, Raw!$F$2:$F$500))</f>
        <v/>
      </c>
      <c r="F884" s="12" t="str">
        <f t="array" ref="F884">IF(A884="", "", IF(COUNTIF(Raw!$H$1:$I$500, A884) &gt; 0, "Done", IF(COUNTIF(Raw!$J$1:$J$500, A884) &gt; 0, "Pause", IF(COUNTIF(Raw!$K$1:$K$500, A884) &gt; 0, "On-Going", "Pause"))))</f>
        <v/>
      </c>
      <c r="G884" s="51"/>
      <c r="H884" s="50"/>
    </row>
    <row r="885" spans="1:8" x14ac:dyDescent="0.4">
      <c r="A885" s="61"/>
      <c r="B885" s="16" t="str">
        <f t="array" ref="B885">IFERROR(MIN(IF(Raw!$A$2:$A$26=MHT!A885,Raw!$B$2:$B$20)),"")</f>
        <v/>
      </c>
      <c r="C885" s="13" t="str">
        <f t="array" ref="C885">IFERROR(MIN(IF(Raw!$A$2:$A$26=MHT!A885,Raw!$C$2:$C$20)),"")</f>
        <v/>
      </c>
      <c r="D885" s="14" t="str">
        <f t="array" ref="D885">IF(Raw!D878="","",IFERROR(MAX(IF(Raw!$A$2:$A$26=MHT!A885,Raw!$D$2:$D$20)),""))</f>
        <v/>
      </c>
      <c r="E885" s="6" t="str">
        <f>IF(SUMIF(Raw!$A$2:$A$500, MHT!A885, Raw!$F$2:$F$500) = TIME(0,0,0), "", SUMIF(Raw!$A$2:$A$500, MHT!A885, Raw!$F$2:$F$500))</f>
        <v/>
      </c>
      <c r="F885" s="12" t="str">
        <f t="array" ref="F885">IF(A885="", "", IF(COUNTIF(Raw!$H$1:$I$500, A885) &gt; 0, "Done", IF(COUNTIF(Raw!$J$1:$J$500, A885) &gt; 0, "Pause", IF(COUNTIF(Raw!$K$1:$K$500, A885) &gt; 0, "On-Going", "Pause"))))</f>
        <v/>
      </c>
      <c r="G885" s="51"/>
      <c r="H885" s="50"/>
    </row>
    <row r="886" spans="1:8" x14ac:dyDescent="0.4">
      <c r="A886" s="61"/>
      <c r="B886" s="16" t="str">
        <f t="array" ref="B886">IFERROR(MIN(IF(Raw!$A$2:$A$26=MHT!A886,Raw!$B$2:$B$20)),"")</f>
        <v/>
      </c>
      <c r="C886" s="13" t="str">
        <f t="array" ref="C886">IFERROR(MIN(IF(Raw!$A$2:$A$26=MHT!A886,Raw!$C$2:$C$20)),"")</f>
        <v/>
      </c>
      <c r="D886" s="14" t="str">
        <f t="array" ref="D886">IF(Raw!D879="","",IFERROR(MAX(IF(Raw!$A$2:$A$26=MHT!A886,Raw!$D$2:$D$20)),""))</f>
        <v/>
      </c>
      <c r="E886" s="6" t="str">
        <f>IF(SUMIF(Raw!$A$2:$A$500, MHT!A886, Raw!$F$2:$F$500) = TIME(0,0,0), "", SUMIF(Raw!$A$2:$A$500, MHT!A886, Raw!$F$2:$F$500))</f>
        <v/>
      </c>
      <c r="F886" s="12" t="str">
        <f t="array" ref="F886">IF(A886="", "", IF(COUNTIF(Raw!$H$1:$I$500, A886) &gt; 0, "Done", IF(COUNTIF(Raw!$J$1:$J$500, A886) &gt; 0, "Pause", IF(COUNTIF(Raw!$K$1:$K$500, A886) &gt; 0, "On-Going", "Pause"))))</f>
        <v/>
      </c>
      <c r="G886" s="51"/>
      <c r="H886" s="50"/>
    </row>
    <row r="887" spans="1:8" x14ac:dyDescent="0.4">
      <c r="A887" s="61"/>
      <c r="B887" s="16" t="str">
        <f t="array" ref="B887">IFERROR(MIN(IF(Raw!$A$2:$A$26=MHT!A887,Raw!$B$2:$B$20)),"")</f>
        <v/>
      </c>
      <c r="C887" s="13" t="str">
        <f t="array" ref="C887">IFERROR(MIN(IF(Raw!$A$2:$A$26=MHT!A887,Raw!$C$2:$C$20)),"")</f>
        <v/>
      </c>
      <c r="D887" s="14" t="str">
        <f t="array" ref="D887">IF(Raw!D880="","",IFERROR(MAX(IF(Raw!$A$2:$A$26=MHT!A887,Raw!$D$2:$D$20)),""))</f>
        <v/>
      </c>
      <c r="E887" s="6" t="str">
        <f>IF(SUMIF(Raw!$A$2:$A$500, MHT!A887, Raw!$F$2:$F$500) = TIME(0,0,0), "", SUMIF(Raw!$A$2:$A$500, MHT!A887, Raw!$F$2:$F$500))</f>
        <v/>
      </c>
      <c r="F887" s="12" t="str">
        <f t="array" ref="F887">IF(A887="", "", IF(COUNTIF(Raw!$H$1:$I$500, A887) &gt; 0, "Done", IF(COUNTIF(Raw!$J$1:$J$500, A887) &gt; 0, "Pause", IF(COUNTIF(Raw!$K$1:$K$500, A887) &gt; 0, "On-Going", "Pause"))))</f>
        <v/>
      </c>
      <c r="G887" s="51"/>
      <c r="H887" s="50"/>
    </row>
    <row r="888" spans="1:8" x14ac:dyDescent="0.4">
      <c r="A888" s="61"/>
      <c r="B888" s="16" t="str">
        <f t="array" ref="B888">IFERROR(MIN(IF(Raw!$A$2:$A$26=MHT!A888,Raw!$B$2:$B$20)),"")</f>
        <v/>
      </c>
      <c r="C888" s="13" t="str">
        <f t="array" ref="C888">IFERROR(MIN(IF(Raw!$A$2:$A$26=MHT!A888,Raw!$C$2:$C$20)),"")</f>
        <v/>
      </c>
      <c r="D888" s="14" t="str">
        <f t="array" ref="D888">IF(Raw!D881="","",IFERROR(MAX(IF(Raw!$A$2:$A$26=MHT!A888,Raw!$D$2:$D$20)),""))</f>
        <v/>
      </c>
      <c r="E888" s="6" t="str">
        <f>IF(SUMIF(Raw!$A$2:$A$500, MHT!A888, Raw!$F$2:$F$500) = TIME(0,0,0), "", SUMIF(Raw!$A$2:$A$500, MHT!A888, Raw!$F$2:$F$500))</f>
        <v/>
      </c>
      <c r="F888" s="12" t="str">
        <f t="array" ref="F888">IF(A888="", "", IF(COUNTIF(Raw!$H$1:$I$500, A888) &gt; 0, "Done", IF(COUNTIF(Raw!$J$1:$J$500, A888) &gt; 0, "Pause", IF(COUNTIF(Raw!$K$1:$K$500, A888) &gt; 0, "On-Going", "Pause"))))</f>
        <v/>
      </c>
      <c r="G888" s="51"/>
      <c r="H888" s="50"/>
    </row>
    <row r="889" spans="1:8" x14ac:dyDescent="0.4">
      <c r="A889" s="61"/>
      <c r="B889" s="16" t="str">
        <f t="array" ref="B889">IFERROR(MIN(IF(Raw!$A$2:$A$26=MHT!A889,Raw!$B$2:$B$20)),"")</f>
        <v/>
      </c>
      <c r="C889" s="13" t="str">
        <f t="array" ref="C889">IFERROR(MIN(IF(Raw!$A$2:$A$26=MHT!A889,Raw!$C$2:$C$20)),"")</f>
        <v/>
      </c>
      <c r="D889" s="14" t="str">
        <f t="array" ref="D889">IF(Raw!D882="","",IFERROR(MAX(IF(Raw!$A$2:$A$26=MHT!A889,Raw!$D$2:$D$20)),""))</f>
        <v/>
      </c>
      <c r="E889" s="6" t="str">
        <f>IF(SUMIF(Raw!$A$2:$A$500, MHT!A889, Raw!$F$2:$F$500) = TIME(0,0,0), "", SUMIF(Raw!$A$2:$A$500, MHT!A889, Raw!$F$2:$F$500))</f>
        <v/>
      </c>
      <c r="F889" s="12" t="str">
        <f t="array" ref="F889">IF(A889="", "", IF(COUNTIF(Raw!$H$1:$I$500, A889) &gt; 0, "Done", IF(COUNTIF(Raw!$J$1:$J$500, A889) &gt; 0, "Pause", IF(COUNTIF(Raw!$K$1:$K$500, A889) &gt; 0, "On-Going", "Pause"))))</f>
        <v/>
      </c>
      <c r="G889" s="51"/>
      <c r="H889" s="50"/>
    </row>
    <row r="890" spans="1:8" x14ac:dyDescent="0.4">
      <c r="A890" s="61"/>
      <c r="B890" s="16" t="str">
        <f t="array" ref="B890">IFERROR(MIN(IF(Raw!$A$2:$A$26=MHT!A890,Raw!$B$2:$B$20)),"")</f>
        <v/>
      </c>
      <c r="C890" s="13" t="str">
        <f t="array" ref="C890">IFERROR(MIN(IF(Raw!$A$2:$A$26=MHT!A890,Raw!$C$2:$C$20)),"")</f>
        <v/>
      </c>
      <c r="D890" s="14" t="str">
        <f t="array" ref="D890">IF(Raw!D883="","",IFERROR(MAX(IF(Raw!$A$2:$A$26=MHT!A890,Raw!$D$2:$D$20)),""))</f>
        <v/>
      </c>
      <c r="E890" s="6" t="str">
        <f>IF(SUMIF(Raw!$A$2:$A$500, MHT!A890, Raw!$F$2:$F$500) = TIME(0,0,0), "", SUMIF(Raw!$A$2:$A$500, MHT!A890, Raw!$F$2:$F$500))</f>
        <v/>
      </c>
      <c r="F890" s="12" t="str">
        <f t="array" ref="F890">IF(A890="", "", IF(COUNTIF(Raw!$H$1:$I$500, A890) &gt; 0, "Done", IF(COUNTIF(Raw!$J$1:$J$500, A890) &gt; 0, "Pause", IF(COUNTIF(Raw!$K$1:$K$500, A890) &gt; 0, "On-Going", "Pause"))))</f>
        <v/>
      </c>
      <c r="G890" s="51"/>
      <c r="H890" s="50"/>
    </row>
    <row r="891" spans="1:8" x14ac:dyDescent="0.4">
      <c r="A891" s="61"/>
      <c r="B891" s="16" t="str">
        <f t="array" ref="B891">IFERROR(MIN(IF(Raw!$A$2:$A$26=MHT!A891,Raw!$B$2:$B$20)),"")</f>
        <v/>
      </c>
      <c r="C891" s="13" t="str">
        <f t="array" ref="C891">IFERROR(MIN(IF(Raw!$A$2:$A$26=MHT!A891,Raw!$C$2:$C$20)),"")</f>
        <v/>
      </c>
      <c r="D891" s="14" t="str">
        <f t="array" ref="D891">IF(Raw!D884="","",IFERROR(MAX(IF(Raw!$A$2:$A$26=MHT!A891,Raw!$D$2:$D$20)),""))</f>
        <v/>
      </c>
      <c r="E891" s="6" t="str">
        <f>IF(SUMIF(Raw!$A$2:$A$500, MHT!A891, Raw!$F$2:$F$500) = TIME(0,0,0), "", SUMIF(Raw!$A$2:$A$500, MHT!A891, Raw!$F$2:$F$500))</f>
        <v/>
      </c>
      <c r="F891" s="12" t="str">
        <f t="array" ref="F891">IF(A891="", "", IF(COUNTIF(Raw!$H$1:$I$500, A891) &gt; 0, "Done", IF(COUNTIF(Raw!$J$1:$J$500, A891) &gt; 0, "Pause", IF(COUNTIF(Raw!$K$1:$K$500, A891) &gt; 0, "On-Going", "Pause"))))</f>
        <v/>
      </c>
      <c r="G891" s="51"/>
      <c r="H891" s="50"/>
    </row>
    <row r="892" spans="1:8" x14ac:dyDescent="0.4">
      <c r="A892" s="61"/>
      <c r="B892" s="16" t="str">
        <f t="array" ref="B892">IFERROR(MIN(IF(Raw!$A$2:$A$26=MHT!A892,Raw!$B$2:$B$20)),"")</f>
        <v/>
      </c>
      <c r="C892" s="13" t="str">
        <f t="array" ref="C892">IFERROR(MIN(IF(Raw!$A$2:$A$26=MHT!A892,Raw!$C$2:$C$20)),"")</f>
        <v/>
      </c>
      <c r="D892" s="14" t="str">
        <f t="array" ref="D892">IF(Raw!D885="","",IFERROR(MAX(IF(Raw!$A$2:$A$26=MHT!A892,Raw!$D$2:$D$20)),""))</f>
        <v/>
      </c>
      <c r="E892" s="6" t="str">
        <f>IF(SUMIF(Raw!$A$2:$A$500, MHT!A892, Raw!$F$2:$F$500) = TIME(0,0,0), "", SUMIF(Raw!$A$2:$A$500, MHT!A892, Raw!$F$2:$F$500))</f>
        <v/>
      </c>
      <c r="F892" s="12" t="str">
        <f t="array" ref="F892">IF(A892="", "", IF(COUNTIF(Raw!$H$1:$I$500, A892) &gt; 0, "Done", IF(COUNTIF(Raw!$J$1:$J$500, A892) &gt; 0, "Pause", IF(COUNTIF(Raw!$K$1:$K$500, A892) &gt; 0, "On-Going", "Pause"))))</f>
        <v/>
      </c>
      <c r="G892" s="51"/>
      <c r="H892" s="50"/>
    </row>
    <row r="893" spans="1:8" x14ac:dyDescent="0.4">
      <c r="A893" s="61"/>
      <c r="B893" s="16" t="str">
        <f t="array" ref="B893">IFERROR(MIN(IF(Raw!$A$2:$A$26=MHT!A893,Raw!$B$2:$B$20)),"")</f>
        <v/>
      </c>
      <c r="C893" s="13" t="str">
        <f t="array" ref="C893">IFERROR(MIN(IF(Raw!$A$2:$A$26=MHT!A893,Raw!$C$2:$C$20)),"")</f>
        <v/>
      </c>
      <c r="D893" s="14" t="str">
        <f t="array" ref="D893">IF(Raw!D886="","",IFERROR(MAX(IF(Raw!$A$2:$A$26=MHT!A893,Raw!$D$2:$D$20)),""))</f>
        <v/>
      </c>
      <c r="E893" s="6" t="str">
        <f>IF(SUMIF(Raw!$A$2:$A$500, MHT!A893, Raw!$F$2:$F$500) = TIME(0,0,0), "", SUMIF(Raw!$A$2:$A$500, MHT!A893, Raw!$F$2:$F$500))</f>
        <v/>
      </c>
      <c r="F893" s="12" t="str">
        <f t="array" ref="F893">IF(A893="", "", IF(COUNTIF(Raw!$H$1:$I$500, A893) &gt; 0, "Done", IF(COUNTIF(Raw!$J$1:$J$500, A893) &gt; 0, "Pause", IF(COUNTIF(Raw!$K$1:$K$500, A893) &gt; 0, "On-Going", "Pause"))))</f>
        <v/>
      </c>
      <c r="G893" s="51"/>
      <c r="H893" s="50"/>
    </row>
    <row r="894" spans="1:8" x14ac:dyDescent="0.4">
      <c r="A894" s="61"/>
      <c r="B894" s="16" t="str">
        <f t="array" ref="B894">IFERROR(MIN(IF(Raw!$A$2:$A$26=MHT!A894,Raw!$B$2:$B$20)),"")</f>
        <v/>
      </c>
      <c r="C894" s="13" t="str">
        <f t="array" ref="C894">IFERROR(MIN(IF(Raw!$A$2:$A$26=MHT!A894,Raw!$C$2:$C$20)),"")</f>
        <v/>
      </c>
      <c r="D894" s="14" t="str">
        <f t="array" ref="D894">IF(Raw!D887="","",IFERROR(MAX(IF(Raw!$A$2:$A$26=MHT!A894,Raw!$D$2:$D$20)),""))</f>
        <v/>
      </c>
      <c r="E894" s="6" t="str">
        <f>IF(SUMIF(Raw!$A$2:$A$500, MHT!A894, Raw!$F$2:$F$500) = TIME(0,0,0), "", SUMIF(Raw!$A$2:$A$500, MHT!A894, Raw!$F$2:$F$500))</f>
        <v/>
      </c>
      <c r="F894" s="12" t="str">
        <f t="array" ref="F894">IF(A894="", "", IF(COUNTIF(Raw!$H$1:$I$500, A894) &gt; 0, "Done", IF(COUNTIF(Raw!$J$1:$J$500, A894) &gt; 0, "Pause", IF(COUNTIF(Raw!$K$1:$K$500, A894) &gt; 0, "On-Going", "Pause"))))</f>
        <v/>
      </c>
      <c r="G894" s="51"/>
      <c r="H894" s="50"/>
    </row>
    <row r="895" spans="1:8" x14ac:dyDescent="0.4">
      <c r="A895" s="61"/>
      <c r="B895" s="16" t="str">
        <f t="array" ref="B895">IFERROR(MIN(IF(Raw!$A$2:$A$26=MHT!A895,Raw!$B$2:$B$20)),"")</f>
        <v/>
      </c>
      <c r="C895" s="13" t="str">
        <f t="array" ref="C895">IFERROR(MIN(IF(Raw!$A$2:$A$26=MHT!A895,Raw!$C$2:$C$20)),"")</f>
        <v/>
      </c>
      <c r="D895" s="14" t="str">
        <f t="array" ref="D895">IF(Raw!D888="","",IFERROR(MAX(IF(Raw!$A$2:$A$26=MHT!A895,Raw!$D$2:$D$20)),""))</f>
        <v/>
      </c>
      <c r="E895" s="6" t="str">
        <f>IF(SUMIF(Raw!$A$2:$A$500, MHT!A895, Raw!$F$2:$F$500) = TIME(0,0,0), "", SUMIF(Raw!$A$2:$A$500, MHT!A895, Raw!$F$2:$F$500))</f>
        <v/>
      </c>
      <c r="F895" s="12" t="str">
        <f t="array" ref="F895">IF(A895="", "", IF(COUNTIF(Raw!$H$1:$I$500, A895) &gt; 0, "Done", IF(COUNTIF(Raw!$J$1:$J$500, A895) &gt; 0, "Pause", IF(COUNTIF(Raw!$K$1:$K$500, A895) &gt; 0, "On-Going", "Pause"))))</f>
        <v/>
      </c>
      <c r="G895" s="51"/>
      <c r="H895" s="50"/>
    </row>
    <row r="896" spans="1:8" x14ac:dyDescent="0.4">
      <c r="A896" s="61"/>
      <c r="B896" s="16" t="str">
        <f t="array" ref="B896">IFERROR(MIN(IF(Raw!$A$2:$A$26=MHT!A896,Raw!$B$2:$B$20)),"")</f>
        <v/>
      </c>
      <c r="C896" s="13" t="str">
        <f t="array" ref="C896">IFERROR(MIN(IF(Raw!$A$2:$A$26=MHT!A896,Raw!$C$2:$C$20)),"")</f>
        <v/>
      </c>
      <c r="D896" s="14" t="str">
        <f t="array" ref="D896">IF(Raw!D889="","",IFERROR(MAX(IF(Raw!$A$2:$A$26=MHT!A896,Raw!$D$2:$D$20)),""))</f>
        <v/>
      </c>
      <c r="E896" s="6" t="str">
        <f>IF(SUMIF(Raw!$A$2:$A$500, MHT!A896, Raw!$F$2:$F$500) = TIME(0,0,0), "", SUMIF(Raw!$A$2:$A$500, MHT!A896, Raw!$F$2:$F$500))</f>
        <v/>
      </c>
      <c r="F896" s="12" t="str">
        <f t="array" ref="F896">IF(A896="", "", IF(COUNTIF(Raw!$H$1:$I$500, A896) &gt; 0, "Done", IF(COUNTIF(Raw!$J$1:$J$500, A896) &gt; 0, "Pause", IF(COUNTIF(Raw!$K$1:$K$500, A896) &gt; 0, "On-Going", "Pause"))))</f>
        <v/>
      </c>
      <c r="G896" s="51"/>
      <c r="H896" s="50"/>
    </row>
    <row r="897" spans="1:8" x14ac:dyDescent="0.4">
      <c r="A897" s="61"/>
      <c r="B897" s="16" t="str">
        <f t="array" ref="B897">IFERROR(MIN(IF(Raw!$A$2:$A$26=MHT!A897,Raw!$B$2:$B$20)),"")</f>
        <v/>
      </c>
      <c r="C897" s="13" t="str">
        <f t="array" ref="C897">IFERROR(MIN(IF(Raw!$A$2:$A$26=MHT!A897,Raw!$C$2:$C$20)),"")</f>
        <v/>
      </c>
      <c r="D897" s="14" t="str">
        <f t="array" ref="D897">IF(Raw!D890="","",IFERROR(MAX(IF(Raw!$A$2:$A$26=MHT!A897,Raw!$D$2:$D$20)),""))</f>
        <v/>
      </c>
      <c r="E897" s="6" t="str">
        <f>IF(SUMIF(Raw!$A$2:$A$500, MHT!A897, Raw!$F$2:$F$500) = TIME(0,0,0), "", SUMIF(Raw!$A$2:$A$500, MHT!A897, Raw!$F$2:$F$500))</f>
        <v/>
      </c>
      <c r="F897" s="12" t="str">
        <f t="array" ref="F897">IF(A897="", "", IF(COUNTIF(Raw!$H$1:$I$500, A897) &gt; 0, "Done", IF(COUNTIF(Raw!$J$1:$J$500, A897) &gt; 0, "Pause", IF(COUNTIF(Raw!$K$1:$K$500, A897) &gt; 0, "On-Going", "Pause"))))</f>
        <v/>
      </c>
      <c r="G897" s="51"/>
      <c r="H897" s="50"/>
    </row>
    <row r="898" spans="1:8" x14ac:dyDescent="0.4">
      <c r="A898" s="61"/>
      <c r="B898" s="16" t="str">
        <f t="array" ref="B898">IFERROR(MIN(IF(Raw!$A$2:$A$26=MHT!A898,Raw!$B$2:$B$20)),"")</f>
        <v/>
      </c>
      <c r="C898" s="13" t="str">
        <f t="array" ref="C898">IFERROR(MIN(IF(Raw!$A$2:$A$26=MHT!A898,Raw!$C$2:$C$20)),"")</f>
        <v/>
      </c>
      <c r="D898" s="14" t="str">
        <f t="array" ref="D898">IF(Raw!D891="","",IFERROR(MAX(IF(Raw!$A$2:$A$26=MHT!A898,Raw!$D$2:$D$20)),""))</f>
        <v/>
      </c>
      <c r="E898" s="6" t="str">
        <f>IF(SUMIF(Raw!$A$2:$A$500, MHT!A898, Raw!$F$2:$F$500) = TIME(0,0,0), "", SUMIF(Raw!$A$2:$A$500, MHT!A898, Raw!$F$2:$F$500))</f>
        <v/>
      </c>
      <c r="F898" s="12" t="str">
        <f t="array" ref="F898">IF(A898="", "", IF(COUNTIF(Raw!$H$1:$I$500, A898) &gt; 0, "Done", IF(COUNTIF(Raw!$J$1:$J$500, A898) &gt; 0, "Pause", IF(COUNTIF(Raw!$K$1:$K$500, A898) &gt; 0, "On-Going", "Pause"))))</f>
        <v/>
      </c>
      <c r="G898" s="51"/>
      <c r="H898" s="50"/>
    </row>
    <row r="899" spans="1:8" x14ac:dyDescent="0.4">
      <c r="A899" s="61"/>
      <c r="B899" s="16" t="str">
        <f t="array" ref="B899">IFERROR(MIN(IF(Raw!$A$2:$A$26=MHT!A899,Raw!$B$2:$B$20)),"")</f>
        <v/>
      </c>
      <c r="C899" s="13" t="str">
        <f t="array" ref="C899">IFERROR(MIN(IF(Raw!$A$2:$A$26=MHT!A899,Raw!$C$2:$C$20)),"")</f>
        <v/>
      </c>
      <c r="D899" s="14" t="str">
        <f t="array" ref="D899">IF(Raw!D892="","",IFERROR(MAX(IF(Raw!$A$2:$A$26=MHT!A899,Raw!$D$2:$D$20)),""))</f>
        <v/>
      </c>
      <c r="E899" s="6" t="str">
        <f>IF(SUMIF(Raw!$A$2:$A$500, MHT!A899, Raw!$F$2:$F$500) = TIME(0,0,0), "", SUMIF(Raw!$A$2:$A$500, MHT!A899, Raw!$F$2:$F$500))</f>
        <v/>
      </c>
      <c r="F899" s="12" t="str">
        <f t="array" ref="F899">IF(A899="", "", IF(COUNTIF(Raw!$H$1:$I$500, A899) &gt; 0, "Done", IF(COUNTIF(Raw!$J$1:$J$500, A899) &gt; 0, "Pause", IF(COUNTIF(Raw!$K$1:$K$500, A899) &gt; 0, "On-Going", "Pause"))))</f>
        <v/>
      </c>
      <c r="G899" s="51"/>
      <c r="H899" s="50"/>
    </row>
    <row r="900" spans="1:8" x14ac:dyDescent="0.4">
      <c r="A900" s="61"/>
      <c r="B900" s="16" t="str">
        <f t="array" ref="B900">IFERROR(MIN(IF(Raw!$A$2:$A$26=MHT!A900,Raw!$B$2:$B$20)),"")</f>
        <v/>
      </c>
      <c r="C900" s="13" t="str">
        <f t="array" ref="C900">IFERROR(MIN(IF(Raw!$A$2:$A$26=MHT!A900,Raw!$C$2:$C$20)),"")</f>
        <v/>
      </c>
      <c r="D900" s="14" t="str">
        <f t="array" ref="D900">IF(Raw!D893="","",IFERROR(MAX(IF(Raw!$A$2:$A$26=MHT!A900,Raw!$D$2:$D$20)),""))</f>
        <v/>
      </c>
      <c r="E900" s="6" t="str">
        <f>IF(SUMIF(Raw!$A$2:$A$500, MHT!A900, Raw!$F$2:$F$500) = TIME(0,0,0), "", SUMIF(Raw!$A$2:$A$500, MHT!A900, Raw!$F$2:$F$500))</f>
        <v/>
      </c>
      <c r="F900" s="12" t="str">
        <f t="array" ref="F900">IF(A900="", "", IF(COUNTIF(Raw!$H$1:$I$500, A900) &gt; 0, "Done", IF(COUNTIF(Raw!$J$1:$J$500, A900) &gt; 0, "Pause", IF(COUNTIF(Raw!$K$1:$K$500, A900) &gt; 0, "On-Going", "Pause"))))</f>
        <v/>
      </c>
      <c r="G900" s="51"/>
      <c r="H900" s="50"/>
    </row>
    <row r="901" spans="1:8" x14ac:dyDescent="0.4">
      <c r="A901" s="61"/>
      <c r="B901" s="16" t="str">
        <f t="array" ref="B901">IFERROR(MIN(IF(Raw!$A$2:$A$26=MHT!A901,Raw!$B$2:$B$20)),"")</f>
        <v/>
      </c>
      <c r="C901" s="13" t="str">
        <f t="array" ref="C901">IFERROR(MIN(IF(Raw!$A$2:$A$26=MHT!A901,Raw!$C$2:$C$20)),"")</f>
        <v/>
      </c>
      <c r="D901" s="14" t="str">
        <f t="array" ref="D901">IF(Raw!D894="","",IFERROR(MAX(IF(Raw!$A$2:$A$26=MHT!A901,Raw!$D$2:$D$20)),""))</f>
        <v/>
      </c>
      <c r="E901" s="6" t="str">
        <f>IF(SUMIF(Raw!$A$2:$A$500, MHT!A901, Raw!$F$2:$F$500) = TIME(0,0,0), "", SUMIF(Raw!$A$2:$A$500, MHT!A901, Raw!$F$2:$F$500))</f>
        <v/>
      </c>
      <c r="F901" s="12" t="str">
        <f t="array" ref="F901">IF(A901="", "", IF(COUNTIF(Raw!$H$1:$I$500, A901) &gt; 0, "Done", IF(COUNTIF(Raw!$J$1:$J$500, A901) &gt; 0, "Pause", IF(COUNTIF(Raw!$K$1:$K$500, A901) &gt; 0, "On-Going", "Pause"))))</f>
        <v/>
      </c>
      <c r="G901" s="51"/>
      <c r="H901" s="50"/>
    </row>
    <row r="902" spans="1:8" x14ac:dyDescent="0.4">
      <c r="A902" s="61"/>
      <c r="B902" s="16" t="str">
        <f t="array" ref="B902">IFERROR(MIN(IF(Raw!$A$2:$A$26=MHT!A902,Raw!$B$2:$B$20)),"")</f>
        <v/>
      </c>
      <c r="C902" s="13" t="str">
        <f t="array" ref="C902">IFERROR(MIN(IF(Raw!$A$2:$A$26=MHT!A902,Raw!$C$2:$C$20)),"")</f>
        <v/>
      </c>
      <c r="D902" s="14" t="str">
        <f t="array" ref="D902">IF(Raw!D895="","",IFERROR(MAX(IF(Raw!$A$2:$A$26=MHT!A902,Raw!$D$2:$D$20)),""))</f>
        <v/>
      </c>
      <c r="E902" s="6" t="str">
        <f>IF(SUMIF(Raw!$A$2:$A$500, MHT!A902, Raw!$F$2:$F$500) = TIME(0,0,0), "", SUMIF(Raw!$A$2:$A$500, MHT!A902, Raw!$F$2:$F$500))</f>
        <v/>
      </c>
      <c r="F902" s="12" t="str">
        <f t="array" ref="F902">IF(A902="", "", IF(COUNTIF(Raw!$H$1:$I$500, A902) &gt; 0, "Done", IF(COUNTIF(Raw!$J$1:$J$500, A902) &gt; 0, "Pause", IF(COUNTIF(Raw!$K$1:$K$500, A902) &gt; 0, "On-Going", "Pause"))))</f>
        <v/>
      </c>
      <c r="G902" s="51"/>
      <c r="H902" s="50"/>
    </row>
    <row r="903" spans="1:8" x14ac:dyDescent="0.4">
      <c r="A903" s="61"/>
      <c r="B903" s="16" t="str">
        <f t="array" ref="B903">IFERROR(MIN(IF(Raw!$A$2:$A$26=MHT!A903,Raw!$B$2:$B$20)),"")</f>
        <v/>
      </c>
      <c r="C903" s="13" t="str">
        <f t="array" ref="C903">IFERROR(MIN(IF(Raw!$A$2:$A$26=MHT!A903,Raw!$C$2:$C$20)),"")</f>
        <v/>
      </c>
      <c r="D903" s="14" t="str">
        <f t="array" ref="D903">IF(Raw!D896="","",IFERROR(MAX(IF(Raw!$A$2:$A$26=MHT!A903,Raw!$D$2:$D$20)),""))</f>
        <v/>
      </c>
      <c r="E903" s="6" t="str">
        <f>IF(SUMIF(Raw!$A$2:$A$500, MHT!A903, Raw!$F$2:$F$500) = TIME(0,0,0), "", SUMIF(Raw!$A$2:$A$500, MHT!A903, Raw!$F$2:$F$500))</f>
        <v/>
      </c>
      <c r="F903" s="12" t="str">
        <f t="array" ref="F903">IF(A903="", "", IF(COUNTIF(Raw!$H$1:$I$500, A903) &gt; 0, "Done", IF(COUNTIF(Raw!$J$1:$J$500, A903) &gt; 0, "Pause", IF(COUNTIF(Raw!$K$1:$K$500, A903) &gt; 0, "On-Going", "Pause"))))</f>
        <v/>
      </c>
      <c r="G903" s="51"/>
      <c r="H903" s="50"/>
    </row>
    <row r="904" spans="1:8" x14ac:dyDescent="0.4">
      <c r="A904" s="61"/>
      <c r="B904" s="16" t="str">
        <f t="array" ref="B904">IFERROR(MIN(IF(Raw!$A$2:$A$26=MHT!A904,Raw!$B$2:$B$20)),"")</f>
        <v/>
      </c>
      <c r="C904" s="13" t="str">
        <f t="array" ref="C904">IFERROR(MIN(IF(Raw!$A$2:$A$26=MHT!A904,Raw!$C$2:$C$20)),"")</f>
        <v/>
      </c>
      <c r="D904" s="14" t="str">
        <f t="array" ref="D904">IF(Raw!D897="","",IFERROR(MAX(IF(Raw!$A$2:$A$26=MHT!A904,Raw!$D$2:$D$20)),""))</f>
        <v/>
      </c>
      <c r="E904" s="6" t="str">
        <f>IF(SUMIF(Raw!$A$2:$A$500, MHT!A904, Raw!$F$2:$F$500) = TIME(0,0,0), "", SUMIF(Raw!$A$2:$A$500, MHT!A904, Raw!$F$2:$F$500))</f>
        <v/>
      </c>
      <c r="F904" s="12" t="str">
        <f t="array" ref="F904">IF(A904="", "", IF(COUNTIF(Raw!$H$1:$I$500, A904) &gt; 0, "Done", IF(COUNTIF(Raw!$J$1:$J$500, A904) &gt; 0, "Pause", IF(COUNTIF(Raw!$K$1:$K$500, A904) &gt; 0, "On-Going", "Pause"))))</f>
        <v/>
      </c>
      <c r="G904" s="51"/>
      <c r="H904" s="50"/>
    </row>
    <row r="905" spans="1:8" x14ac:dyDescent="0.4">
      <c r="A905" s="61"/>
      <c r="B905" s="16" t="str">
        <f t="array" ref="B905">IFERROR(MIN(IF(Raw!$A$2:$A$26=MHT!A905,Raw!$B$2:$B$20)),"")</f>
        <v/>
      </c>
      <c r="C905" s="13" t="str">
        <f t="array" ref="C905">IFERROR(MIN(IF(Raw!$A$2:$A$26=MHT!A905,Raw!$C$2:$C$20)),"")</f>
        <v/>
      </c>
      <c r="D905" s="14" t="str">
        <f t="array" ref="D905">IF(Raw!D898="","",IFERROR(MAX(IF(Raw!$A$2:$A$26=MHT!A905,Raw!$D$2:$D$20)),""))</f>
        <v/>
      </c>
      <c r="E905" s="6" t="str">
        <f>IF(SUMIF(Raw!$A$2:$A$500, MHT!A905, Raw!$F$2:$F$500) = TIME(0,0,0), "", SUMIF(Raw!$A$2:$A$500, MHT!A905, Raw!$F$2:$F$500))</f>
        <v/>
      </c>
      <c r="F905" s="12" t="str">
        <f t="array" ref="F905">IF(A905="", "", IF(COUNTIF(Raw!$H$1:$I$500, A905) &gt; 0, "Done", IF(COUNTIF(Raw!$J$1:$J$500, A905) &gt; 0, "Pause", IF(COUNTIF(Raw!$K$1:$K$500, A905) &gt; 0, "On-Going", "Pause"))))</f>
        <v/>
      </c>
      <c r="G905" s="51"/>
      <c r="H905" s="50"/>
    </row>
    <row r="906" spans="1:8" x14ac:dyDescent="0.4">
      <c r="A906" s="61"/>
      <c r="B906" s="16" t="str">
        <f t="array" ref="B906">IFERROR(MIN(IF(Raw!$A$2:$A$26=MHT!A906,Raw!$B$2:$B$20)),"")</f>
        <v/>
      </c>
      <c r="C906" s="13" t="str">
        <f t="array" ref="C906">IFERROR(MIN(IF(Raw!$A$2:$A$26=MHT!A906,Raw!$C$2:$C$20)),"")</f>
        <v/>
      </c>
      <c r="D906" s="14" t="str">
        <f t="array" ref="D906">IF(Raw!D899="","",IFERROR(MAX(IF(Raw!$A$2:$A$26=MHT!A906,Raw!$D$2:$D$20)),""))</f>
        <v/>
      </c>
      <c r="E906" s="6" t="str">
        <f>IF(SUMIF(Raw!$A$2:$A$500, MHT!A906, Raw!$F$2:$F$500) = TIME(0,0,0), "", SUMIF(Raw!$A$2:$A$500, MHT!A906, Raw!$F$2:$F$500))</f>
        <v/>
      </c>
      <c r="F906" s="12" t="str">
        <f t="array" ref="F906">IF(A906="", "", IF(COUNTIF(Raw!$H$1:$I$500, A906) &gt; 0, "Done", IF(COUNTIF(Raw!$J$1:$J$500, A906) &gt; 0, "Pause", IF(COUNTIF(Raw!$K$1:$K$500, A906) &gt; 0, "On-Going", "Pause"))))</f>
        <v/>
      </c>
      <c r="G906" s="51"/>
      <c r="H906" s="50"/>
    </row>
    <row r="907" spans="1:8" x14ac:dyDescent="0.4">
      <c r="A907" s="61"/>
      <c r="B907" s="16" t="str">
        <f t="array" ref="B907">IFERROR(MIN(IF(Raw!$A$2:$A$26=MHT!A907,Raw!$B$2:$B$20)),"")</f>
        <v/>
      </c>
      <c r="C907" s="13" t="str">
        <f t="array" ref="C907">IFERROR(MIN(IF(Raw!$A$2:$A$26=MHT!A907,Raw!$C$2:$C$20)),"")</f>
        <v/>
      </c>
      <c r="D907" s="14" t="str">
        <f t="array" ref="D907">IF(Raw!D900="","",IFERROR(MAX(IF(Raw!$A$2:$A$26=MHT!A907,Raw!$D$2:$D$20)),""))</f>
        <v/>
      </c>
      <c r="E907" s="6" t="str">
        <f>IF(SUMIF(Raw!$A$2:$A$500, MHT!A907, Raw!$F$2:$F$500) = TIME(0,0,0), "", SUMIF(Raw!$A$2:$A$500, MHT!A907, Raw!$F$2:$F$500))</f>
        <v/>
      </c>
      <c r="F907" s="12" t="str">
        <f t="array" ref="F907">IF(A907="", "", IF(COUNTIF(Raw!$H$1:$I$500, A907) &gt; 0, "Done", IF(COUNTIF(Raw!$J$1:$J$500, A907) &gt; 0, "Pause", IF(COUNTIF(Raw!$K$1:$K$500, A907) &gt; 0, "On-Going", "Pause"))))</f>
        <v/>
      </c>
      <c r="G907" s="51"/>
      <c r="H907" s="50"/>
    </row>
    <row r="908" spans="1:8" x14ac:dyDescent="0.4">
      <c r="A908" s="61"/>
      <c r="B908" s="16" t="str">
        <f t="array" ref="B908">IFERROR(MIN(IF(Raw!$A$2:$A$26=MHT!A908,Raw!$B$2:$B$20)),"")</f>
        <v/>
      </c>
      <c r="C908" s="13" t="str">
        <f t="array" ref="C908">IFERROR(MIN(IF(Raw!$A$2:$A$26=MHT!A908,Raw!$C$2:$C$20)),"")</f>
        <v/>
      </c>
      <c r="D908" s="14" t="str">
        <f t="array" ref="D908">IF(Raw!D901="","",IFERROR(MAX(IF(Raw!$A$2:$A$26=MHT!A908,Raw!$D$2:$D$20)),""))</f>
        <v/>
      </c>
      <c r="E908" s="6" t="str">
        <f>IF(SUMIF(Raw!$A$2:$A$500, MHT!A908, Raw!$F$2:$F$500) = TIME(0,0,0), "", SUMIF(Raw!$A$2:$A$500, MHT!A908, Raw!$F$2:$F$500))</f>
        <v/>
      </c>
      <c r="F908" s="12" t="str">
        <f t="array" ref="F908">IF(A908="", "", IF(COUNTIF(Raw!$H$1:$I$500, A908) &gt; 0, "Done", IF(COUNTIF(Raw!$J$1:$J$500, A908) &gt; 0, "Pause", IF(COUNTIF(Raw!$K$1:$K$500, A908) &gt; 0, "On-Going", "Pause"))))</f>
        <v/>
      </c>
      <c r="G908" s="51"/>
      <c r="H908" s="50"/>
    </row>
    <row r="909" spans="1:8" x14ac:dyDescent="0.4">
      <c r="A909" s="61"/>
      <c r="B909" s="16" t="str">
        <f t="array" ref="B909">IFERROR(MIN(IF(Raw!$A$2:$A$26=MHT!A909,Raw!$B$2:$B$20)),"")</f>
        <v/>
      </c>
      <c r="C909" s="13" t="str">
        <f t="array" ref="C909">IFERROR(MIN(IF(Raw!$A$2:$A$26=MHT!A909,Raw!$C$2:$C$20)),"")</f>
        <v/>
      </c>
      <c r="D909" s="14" t="str">
        <f t="array" ref="D909">IF(Raw!D902="","",IFERROR(MAX(IF(Raw!$A$2:$A$26=MHT!A909,Raw!$D$2:$D$20)),""))</f>
        <v/>
      </c>
      <c r="E909" s="6" t="str">
        <f>IF(SUMIF(Raw!$A$2:$A$500, MHT!A909, Raw!$F$2:$F$500) = TIME(0,0,0), "", SUMIF(Raw!$A$2:$A$500, MHT!A909, Raw!$F$2:$F$500))</f>
        <v/>
      </c>
      <c r="F909" s="12" t="str">
        <f t="array" ref="F909">IF(A909="", "", IF(COUNTIF(Raw!$H$1:$I$500, A909) &gt; 0, "Done", IF(COUNTIF(Raw!$J$1:$J$500, A909) &gt; 0, "Pause", IF(COUNTIF(Raw!$K$1:$K$500, A909) &gt; 0, "On-Going", "Pause"))))</f>
        <v/>
      </c>
      <c r="G909" s="51"/>
      <c r="H909" s="50"/>
    </row>
    <row r="910" spans="1:8" x14ac:dyDescent="0.4">
      <c r="A910" s="61"/>
      <c r="B910" s="16" t="str">
        <f t="array" ref="B910">IFERROR(MIN(IF(Raw!$A$2:$A$26=MHT!A910,Raw!$B$2:$B$20)),"")</f>
        <v/>
      </c>
      <c r="C910" s="13" t="str">
        <f t="array" ref="C910">IFERROR(MIN(IF(Raw!$A$2:$A$26=MHT!A910,Raw!$C$2:$C$20)),"")</f>
        <v/>
      </c>
      <c r="D910" s="14" t="str">
        <f t="array" ref="D910">IF(Raw!D903="","",IFERROR(MAX(IF(Raw!$A$2:$A$26=MHT!A910,Raw!$D$2:$D$20)),""))</f>
        <v/>
      </c>
      <c r="E910" s="6" t="str">
        <f>IF(SUMIF(Raw!$A$2:$A$500, MHT!A910, Raw!$F$2:$F$500) = TIME(0,0,0), "", SUMIF(Raw!$A$2:$A$500, MHT!A910, Raw!$F$2:$F$500))</f>
        <v/>
      </c>
      <c r="F910" s="12" t="str">
        <f t="array" ref="F910">IF(A910="", "", IF(COUNTIF(Raw!$H$1:$I$500, A910) &gt; 0, "Done", IF(COUNTIF(Raw!$J$1:$J$500, A910) &gt; 0, "Pause", IF(COUNTIF(Raw!$K$1:$K$500, A910) &gt; 0, "On-Going", "Pause"))))</f>
        <v/>
      </c>
      <c r="G910" s="51"/>
      <c r="H910" s="50"/>
    </row>
    <row r="911" spans="1:8" x14ac:dyDescent="0.4">
      <c r="A911" s="61"/>
      <c r="B911" s="16" t="str">
        <f t="array" ref="B911">IFERROR(MIN(IF(Raw!$A$2:$A$26=MHT!A911,Raw!$B$2:$B$20)),"")</f>
        <v/>
      </c>
      <c r="C911" s="13" t="str">
        <f t="array" ref="C911">IFERROR(MIN(IF(Raw!$A$2:$A$26=MHT!A911,Raw!$C$2:$C$20)),"")</f>
        <v/>
      </c>
      <c r="D911" s="14" t="str">
        <f t="array" ref="D911">IF(Raw!D904="","",IFERROR(MAX(IF(Raw!$A$2:$A$26=MHT!A911,Raw!$D$2:$D$20)),""))</f>
        <v/>
      </c>
      <c r="E911" s="6" t="str">
        <f>IF(SUMIF(Raw!$A$2:$A$500, MHT!A911, Raw!$F$2:$F$500) = TIME(0,0,0), "", SUMIF(Raw!$A$2:$A$500, MHT!A911, Raw!$F$2:$F$500))</f>
        <v/>
      </c>
      <c r="F911" s="12" t="str">
        <f t="array" ref="F911">IF(A911="", "", IF(COUNTIF(Raw!$H$1:$I$500, A911) &gt; 0, "Done", IF(COUNTIF(Raw!$J$1:$J$500, A911) &gt; 0, "Pause", IF(COUNTIF(Raw!$K$1:$K$500, A911) &gt; 0, "On-Going", "Pause"))))</f>
        <v/>
      </c>
      <c r="G911" s="51"/>
      <c r="H911" s="50"/>
    </row>
    <row r="912" spans="1:8" x14ac:dyDescent="0.4">
      <c r="A912" s="61"/>
      <c r="B912" s="16" t="str">
        <f t="array" ref="B912">IFERROR(MIN(IF(Raw!$A$2:$A$26=MHT!A912,Raw!$B$2:$B$20)),"")</f>
        <v/>
      </c>
      <c r="C912" s="13" t="str">
        <f t="array" ref="C912">IFERROR(MIN(IF(Raw!$A$2:$A$26=MHT!A912,Raw!$C$2:$C$20)),"")</f>
        <v/>
      </c>
      <c r="D912" s="14" t="str">
        <f t="array" ref="D912">IF(Raw!D905="","",IFERROR(MAX(IF(Raw!$A$2:$A$26=MHT!A912,Raw!$D$2:$D$20)),""))</f>
        <v/>
      </c>
      <c r="E912" s="6" t="str">
        <f>IF(SUMIF(Raw!$A$2:$A$500, MHT!A912, Raw!$F$2:$F$500) = TIME(0,0,0), "", SUMIF(Raw!$A$2:$A$500, MHT!A912, Raw!$F$2:$F$500))</f>
        <v/>
      </c>
      <c r="F912" s="12" t="str">
        <f t="array" ref="F912">IF(A912="", "", IF(COUNTIF(Raw!$H$1:$I$500, A912) &gt; 0, "Done", IF(COUNTIF(Raw!$J$1:$J$500, A912) &gt; 0, "Pause", IF(COUNTIF(Raw!$K$1:$K$500, A912) &gt; 0, "On-Going", "Pause"))))</f>
        <v/>
      </c>
      <c r="G912" s="51"/>
      <c r="H912" s="50"/>
    </row>
    <row r="913" spans="1:8" x14ac:dyDescent="0.4">
      <c r="A913" s="61"/>
      <c r="B913" s="16" t="str">
        <f t="array" ref="B913">IFERROR(MIN(IF(Raw!$A$2:$A$26=MHT!A913,Raw!$B$2:$B$20)),"")</f>
        <v/>
      </c>
      <c r="C913" s="13" t="str">
        <f t="array" ref="C913">IFERROR(MIN(IF(Raw!$A$2:$A$26=MHT!A913,Raw!$C$2:$C$20)),"")</f>
        <v/>
      </c>
      <c r="D913" s="14" t="str">
        <f t="array" ref="D913">IF(Raw!D906="","",IFERROR(MAX(IF(Raw!$A$2:$A$26=MHT!A913,Raw!$D$2:$D$20)),""))</f>
        <v/>
      </c>
      <c r="E913" s="6" t="str">
        <f>IF(SUMIF(Raw!$A$2:$A$500, MHT!A913, Raw!$F$2:$F$500) = TIME(0,0,0), "", SUMIF(Raw!$A$2:$A$500, MHT!A913, Raw!$F$2:$F$500))</f>
        <v/>
      </c>
      <c r="F913" s="12" t="str">
        <f t="array" ref="F913">IF(A913="", "", IF(COUNTIF(Raw!$H$1:$I$500, A913) &gt; 0, "Done", IF(COUNTIF(Raw!$J$1:$J$500, A913) &gt; 0, "Pause", IF(COUNTIF(Raw!$K$1:$K$500, A913) &gt; 0, "On-Going", "Pause"))))</f>
        <v/>
      </c>
      <c r="G913" s="51"/>
      <c r="H913" s="50"/>
    </row>
    <row r="914" spans="1:8" x14ac:dyDescent="0.4">
      <c r="A914" s="61"/>
      <c r="B914" s="16" t="str">
        <f t="array" ref="B914">IFERROR(MIN(IF(Raw!$A$2:$A$26=MHT!A914,Raw!$B$2:$B$20)),"")</f>
        <v/>
      </c>
      <c r="C914" s="13" t="str">
        <f t="array" ref="C914">IFERROR(MIN(IF(Raw!$A$2:$A$26=MHT!A914,Raw!$C$2:$C$20)),"")</f>
        <v/>
      </c>
      <c r="D914" s="14" t="str">
        <f t="array" ref="D914">IF(Raw!D907="","",IFERROR(MAX(IF(Raw!$A$2:$A$26=MHT!A914,Raw!$D$2:$D$20)),""))</f>
        <v/>
      </c>
      <c r="E914" s="6" t="str">
        <f>IF(SUMIF(Raw!$A$2:$A$500, MHT!A914, Raw!$F$2:$F$500) = TIME(0,0,0), "", SUMIF(Raw!$A$2:$A$500, MHT!A914, Raw!$F$2:$F$500))</f>
        <v/>
      </c>
      <c r="F914" s="12" t="str">
        <f t="array" ref="F914">IF(A914="", "", IF(COUNTIF(Raw!$H$1:$I$500, A914) &gt; 0, "Done", IF(COUNTIF(Raw!$J$1:$J$500, A914) &gt; 0, "Pause", IF(COUNTIF(Raw!$K$1:$K$500, A914) &gt; 0, "On-Going", "Pause"))))</f>
        <v/>
      </c>
      <c r="G914" s="51"/>
      <c r="H914" s="50"/>
    </row>
    <row r="915" spans="1:8" x14ac:dyDescent="0.4">
      <c r="A915" s="61"/>
      <c r="B915" s="16" t="str">
        <f t="array" ref="B915">IFERROR(MIN(IF(Raw!$A$2:$A$26=MHT!A915,Raw!$B$2:$B$20)),"")</f>
        <v/>
      </c>
      <c r="C915" s="13" t="str">
        <f t="array" ref="C915">IFERROR(MIN(IF(Raw!$A$2:$A$26=MHT!A915,Raw!$C$2:$C$20)),"")</f>
        <v/>
      </c>
      <c r="D915" s="14" t="str">
        <f t="array" ref="D915">IF(Raw!D908="","",IFERROR(MAX(IF(Raw!$A$2:$A$26=MHT!A915,Raw!$D$2:$D$20)),""))</f>
        <v/>
      </c>
      <c r="E915" s="6" t="str">
        <f>IF(SUMIF(Raw!$A$2:$A$500, MHT!A915, Raw!$F$2:$F$500) = TIME(0,0,0), "", SUMIF(Raw!$A$2:$A$500, MHT!A915, Raw!$F$2:$F$500))</f>
        <v/>
      </c>
      <c r="F915" s="12" t="str">
        <f t="array" ref="F915">IF(A915="", "", IF(COUNTIF(Raw!$H$1:$I$500, A915) &gt; 0, "Done", IF(COUNTIF(Raw!$J$1:$J$500, A915) &gt; 0, "Pause", IF(COUNTIF(Raw!$K$1:$K$500, A915) &gt; 0, "On-Going", "Pause"))))</f>
        <v/>
      </c>
      <c r="G915" s="51"/>
      <c r="H915" s="50"/>
    </row>
    <row r="916" spans="1:8" x14ac:dyDescent="0.4">
      <c r="A916" s="61"/>
      <c r="B916" s="16" t="str">
        <f t="array" ref="B916">IFERROR(MIN(IF(Raw!$A$2:$A$26=MHT!A916,Raw!$B$2:$B$20)),"")</f>
        <v/>
      </c>
      <c r="C916" s="13" t="str">
        <f t="array" ref="C916">IFERROR(MIN(IF(Raw!$A$2:$A$26=MHT!A916,Raw!$C$2:$C$20)),"")</f>
        <v/>
      </c>
      <c r="D916" s="14" t="str">
        <f t="array" ref="D916">IF(Raw!D909="","",IFERROR(MAX(IF(Raw!$A$2:$A$26=MHT!A916,Raw!$D$2:$D$20)),""))</f>
        <v/>
      </c>
      <c r="E916" s="6" t="str">
        <f>IF(SUMIF(Raw!$A$2:$A$500, MHT!A916, Raw!$F$2:$F$500) = TIME(0,0,0), "", SUMIF(Raw!$A$2:$A$500, MHT!A916, Raw!$F$2:$F$500))</f>
        <v/>
      </c>
      <c r="F916" s="12" t="str">
        <f t="array" ref="F916">IF(A916="", "", IF(COUNTIF(Raw!$H$1:$I$500, A916) &gt; 0, "Done", IF(COUNTIF(Raw!$J$1:$J$500, A916) &gt; 0, "Pause", IF(COUNTIF(Raw!$K$1:$K$500, A916) &gt; 0, "On-Going", "Pause"))))</f>
        <v/>
      </c>
      <c r="G916" s="51"/>
      <c r="H916" s="50"/>
    </row>
    <row r="917" spans="1:8" x14ac:dyDescent="0.4">
      <c r="A917" s="61"/>
      <c r="B917" s="16" t="str">
        <f t="array" ref="B917">IFERROR(MIN(IF(Raw!$A$2:$A$26=MHT!A917,Raw!$B$2:$B$20)),"")</f>
        <v/>
      </c>
      <c r="C917" s="13" t="str">
        <f t="array" ref="C917">IFERROR(MIN(IF(Raw!$A$2:$A$26=MHT!A917,Raw!$C$2:$C$20)),"")</f>
        <v/>
      </c>
      <c r="D917" s="14" t="str">
        <f t="array" ref="D917">IF(Raw!D910="","",IFERROR(MAX(IF(Raw!$A$2:$A$26=MHT!A917,Raw!$D$2:$D$20)),""))</f>
        <v/>
      </c>
      <c r="E917" s="6" t="str">
        <f>IF(SUMIF(Raw!$A$2:$A$500, MHT!A917, Raw!$F$2:$F$500) = TIME(0,0,0), "", SUMIF(Raw!$A$2:$A$500, MHT!A917, Raw!$F$2:$F$500))</f>
        <v/>
      </c>
      <c r="F917" s="12" t="str">
        <f t="array" ref="F917">IF(A917="", "", IF(COUNTIF(Raw!$H$1:$I$500, A917) &gt; 0, "Done", IF(COUNTIF(Raw!$J$1:$J$500, A917) &gt; 0, "Pause", IF(COUNTIF(Raw!$K$1:$K$500, A917) &gt; 0, "On-Going", "Pause"))))</f>
        <v/>
      </c>
      <c r="G917" s="51"/>
      <c r="H917" s="50"/>
    </row>
    <row r="918" spans="1:8" x14ac:dyDescent="0.4">
      <c r="A918" s="61"/>
      <c r="B918" s="16" t="str">
        <f t="array" ref="B918">IFERROR(MIN(IF(Raw!$A$2:$A$26=MHT!A918,Raw!$B$2:$B$20)),"")</f>
        <v/>
      </c>
      <c r="C918" s="13" t="str">
        <f t="array" ref="C918">IFERROR(MIN(IF(Raw!$A$2:$A$26=MHT!A918,Raw!$C$2:$C$20)),"")</f>
        <v/>
      </c>
      <c r="D918" s="14" t="str">
        <f t="array" ref="D918">IF(Raw!D911="","",IFERROR(MAX(IF(Raw!$A$2:$A$26=MHT!A918,Raw!$D$2:$D$20)),""))</f>
        <v/>
      </c>
      <c r="E918" s="6" t="str">
        <f>IF(SUMIF(Raw!$A$2:$A$500, MHT!A918, Raw!$F$2:$F$500) = TIME(0,0,0), "", SUMIF(Raw!$A$2:$A$500, MHT!A918, Raw!$F$2:$F$500))</f>
        <v/>
      </c>
      <c r="F918" s="12" t="str">
        <f t="array" ref="F918">IF(A918="", "", IF(COUNTIF(Raw!$H$1:$I$500, A918) &gt; 0, "Done", IF(COUNTIF(Raw!$J$1:$J$500, A918) &gt; 0, "Pause", IF(COUNTIF(Raw!$K$1:$K$500, A918) &gt; 0, "On-Going", "Pause"))))</f>
        <v/>
      </c>
      <c r="G918" s="51"/>
      <c r="H918" s="50"/>
    </row>
    <row r="919" spans="1:8" x14ac:dyDescent="0.4">
      <c r="A919" s="61"/>
      <c r="B919" s="16" t="str">
        <f t="array" ref="B919">IFERROR(MIN(IF(Raw!$A$2:$A$26=MHT!A919,Raw!$B$2:$B$20)),"")</f>
        <v/>
      </c>
      <c r="C919" s="13" t="str">
        <f t="array" ref="C919">IFERROR(MIN(IF(Raw!$A$2:$A$26=MHT!A919,Raw!$C$2:$C$20)),"")</f>
        <v/>
      </c>
      <c r="D919" s="14" t="str">
        <f t="array" ref="D919">IF(Raw!D912="","",IFERROR(MAX(IF(Raw!$A$2:$A$26=MHT!A919,Raw!$D$2:$D$20)),""))</f>
        <v/>
      </c>
      <c r="E919" s="6" t="str">
        <f>IF(SUMIF(Raw!$A$2:$A$500, MHT!A919, Raw!$F$2:$F$500) = TIME(0,0,0), "", SUMIF(Raw!$A$2:$A$500, MHT!A919, Raw!$F$2:$F$500))</f>
        <v/>
      </c>
      <c r="F919" s="12" t="str">
        <f t="array" ref="F919">IF(A919="", "", IF(COUNTIF(Raw!$H$1:$I$500, A919) &gt; 0, "Done", IF(COUNTIF(Raw!$J$1:$J$500, A919) &gt; 0, "Pause", IF(COUNTIF(Raw!$K$1:$K$500, A919) &gt; 0, "On-Going", "Pause"))))</f>
        <v/>
      </c>
      <c r="G919" s="51"/>
      <c r="H919" s="50"/>
    </row>
    <row r="920" spans="1:8" x14ac:dyDescent="0.4">
      <c r="A920" s="61"/>
      <c r="B920" s="16" t="str">
        <f t="array" ref="B920">IFERROR(MIN(IF(Raw!$A$2:$A$26=MHT!A920,Raw!$B$2:$B$20)),"")</f>
        <v/>
      </c>
      <c r="C920" s="13" t="str">
        <f t="array" ref="C920">IFERROR(MIN(IF(Raw!$A$2:$A$26=MHT!A920,Raw!$C$2:$C$20)),"")</f>
        <v/>
      </c>
      <c r="D920" s="14" t="str">
        <f t="array" ref="D920">IF(Raw!D913="","",IFERROR(MAX(IF(Raw!$A$2:$A$26=MHT!A920,Raw!$D$2:$D$20)),""))</f>
        <v/>
      </c>
      <c r="E920" s="6" t="str">
        <f>IF(SUMIF(Raw!$A$2:$A$500, MHT!A920, Raw!$F$2:$F$500) = TIME(0,0,0), "", SUMIF(Raw!$A$2:$A$500, MHT!A920, Raw!$F$2:$F$500))</f>
        <v/>
      </c>
      <c r="F920" s="12" t="str">
        <f t="array" ref="F920">IF(A920="", "", IF(COUNTIF(Raw!$H$1:$I$500, A920) &gt; 0, "Done", IF(COUNTIF(Raw!$J$1:$J$500, A920) &gt; 0, "Pause", IF(COUNTIF(Raw!$K$1:$K$500, A920) &gt; 0, "On-Going", "Pause"))))</f>
        <v/>
      </c>
      <c r="G920" s="51"/>
      <c r="H920" s="50"/>
    </row>
    <row r="921" spans="1:8" x14ac:dyDescent="0.4">
      <c r="A921" s="61"/>
      <c r="B921" s="16" t="str">
        <f t="array" ref="B921">IFERROR(MIN(IF(Raw!$A$2:$A$26=MHT!A921,Raw!$B$2:$B$20)),"")</f>
        <v/>
      </c>
      <c r="C921" s="13" t="str">
        <f t="array" ref="C921">IFERROR(MIN(IF(Raw!$A$2:$A$26=MHT!A921,Raw!$C$2:$C$20)),"")</f>
        <v/>
      </c>
      <c r="D921" s="14" t="str">
        <f t="array" ref="D921">IF(Raw!D914="","",IFERROR(MAX(IF(Raw!$A$2:$A$26=MHT!A921,Raw!$D$2:$D$20)),""))</f>
        <v/>
      </c>
      <c r="E921" s="6" t="str">
        <f>IF(SUMIF(Raw!$A$2:$A$500, MHT!A921, Raw!$F$2:$F$500) = TIME(0,0,0), "", SUMIF(Raw!$A$2:$A$500, MHT!A921, Raw!$F$2:$F$500))</f>
        <v/>
      </c>
      <c r="F921" s="12" t="str">
        <f t="array" ref="F921">IF(A921="", "", IF(COUNTIF(Raw!$H$1:$I$500, A921) &gt; 0, "Done", IF(COUNTIF(Raw!$J$1:$J$500, A921) &gt; 0, "Pause", IF(COUNTIF(Raw!$K$1:$K$500, A921) &gt; 0, "On-Going", "Pause"))))</f>
        <v/>
      </c>
      <c r="G921" s="51"/>
      <c r="H921" s="50"/>
    </row>
    <row r="922" spans="1:8" x14ac:dyDescent="0.4">
      <c r="A922" s="61"/>
      <c r="B922" s="16" t="str">
        <f t="array" ref="B922">IFERROR(MIN(IF(Raw!$A$2:$A$26=MHT!A922,Raw!$B$2:$B$20)),"")</f>
        <v/>
      </c>
      <c r="C922" s="13" t="str">
        <f t="array" ref="C922">IFERROR(MIN(IF(Raw!$A$2:$A$26=MHT!A922,Raw!$C$2:$C$20)),"")</f>
        <v/>
      </c>
      <c r="D922" s="14" t="str">
        <f t="array" ref="D922">IF(Raw!D915="","",IFERROR(MAX(IF(Raw!$A$2:$A$26=MHT!A922,Raw!$D$2:$D$20)),""))</f>
        <v/>
      </c>
      <c r="E922" s="6" t="str">
        <f>IF(SUMIF(Raw!$A$2:$A$500, MHT!A922, Raw!$F$2:$F$500) = TIME(0,0,0), "", SUMIF(Raw!$A$2:$A$500, MHT!A922, Raw!$F$2:$F$500))</f>
        <v/>
      </c>
      <c r="F922" s="12" t="str">
        <f t="array" ref="F922">IF(A922="", "", IF(COUNTIF(Raw!$H$1:$I$500, A922) &gt; 0, "Done", IF(COUNTIF(Raw!$J$1:$J$500, A922) &gt; 0, "Pause", IF(COUNTIF(Raw!$K$1:$K$500, A922) &gt; 0, "On-Going", "Pause"))))</f>
        <v/>
      </c>
      <c r="G922" s="51"/>
      <c r="H922" s="50"/>
    </row>
    <row r="923" spans="1:8" x14ac:dyDescent="0.4">
      <c r="A923" s="61"/>
      <c r="B923" s="16" t="str">
        <f t="array" ref="B923">IFERROR(MIN(IF(Raw!$A$2:$A$26=MHT!A923,Raw!$B$2:$B$20)),"")</f>
        <v/>
      </c>
      <c r="C923" s="13" t="str">
        <f t="array" ref="C923">IFERROR(MIN(IF(Raw!$A$2:$A$26=MHT!A923,Raw!$C$2:$C$20)),"")</f>
        <v/>
      </c>
      <c r="D923" s="14" t="str">
        <f t="array" ref="D923">IF(Raw!D916="","",IFERROR(MAX(IF(Raw!$A$2:$A$26=MHT!A923,Raw!$D$2:$D$20)),""))</f>
        <v/>
      </c>
      <c r="E923" s="6" t="str">
        <f>IF(SUMIF(Raw!$A$2:$A$500, MHT!A923, Raw!$F$2:$F$500) = TIME(0,0,0), "", SUMIF(Raw!$A$2:$A$500, MHT!A923, Raw!$F$2:$F$500))</f>
        <v/>
      </c>
      <c r="F923" s="12" t="str">
        <f t="array" ref="F923">IF(A923="", "", IF(COUNTIF(Raw!$H$1:$I$500, A923) &gt; 0, "Done", IF(COUNTIF(Raw!$J$1:$J$500, A923) &gt; 0, "Pause", IF(COUNTIF(Raw!$K$1:$K$500, A923) &gt; 0, "On-Going", "Pause"))))</f>
        <v/>
      </c>
      <c r="G923" s="51"/>
      <c r="H923" s="50"/>
    </row>
    <row r="924" spans="1:8" x14ac:dyDescent="0.4">
      <c r="A924" s="61"/>
      <c r="B924" s="16" t="str">
        <f t="array" ref="B924">IFERROR(MIN(IF(Raw!$A$2:$A$26=MHT!A924,Raw!$B$2:$B$20)),"")</f>
        <v/>
      </c>
      <c r="C924" s="13" t="str">
        <f t="array" ref="C924">IFERROR(MIN(IF(Raw!$A$2:$A$26=MHT!A924,Raw!$C$2:$C$20)),"")</f>
        <v/>
      </c>
      <c r="D924" s="14" t="str">
        <f t="array" ref="D924">IF(Raw!D917="","",IFERROR(MAX(IF(Raw!$A$2:$A$26=MHT!A924,Raw!$D$2:$D$20)),""))</f>
        <v/>
      </c>
      <c r="E924" s="6" t="str">
        <f>IF(SUMIF(Raw!$A$2:$A$500, MHT!A924, Raw!$F$2:$F$500) = TIME(0,0,0), "", SUMIF(Raw!$A$2:$A$500, MHT!A924, Raw!$F$2:$F$500))</f>
        <v/>
      </c>
      <c r="F924" s="12" t="str">
        <f t="array" ref="F924">IF(A924="", "", IF(COUNTIF(Raw!$H$1:$I$500, A924) &gt; 0, "Done", IF(COUNTIF(Raw!$J$1:$J$500, A924) &gt; 0, "Pause", IF(COUNTIF(Raw!$K$1:$K$500, A924) &gt; 0, "On-Going", "Pause"))))</f>
        <v/>
      </c>
      <c r="G924" s="51"/>
      <c r="H924" s="50"/>
    </row>
    <row r="925" spans="1:8" x14ac:dyDescent="0.4">
      <c r="A925" s="61"/>
      <c r="B925" s="16" t="str">
        <f t="array" ref="B925">IFERROR(MIN(IF(Raw!$A$2:$A$26=MHT!A925,Raw!$B$2:$B$20)),"")</f>
        <v/>
      </c>
      <c r="C925" s="13" t="str">
        <f t="array" ref="C925">IFERROR(MIN(IF(Raw!$A$2:$A$26=MHT!A925,Raw!$C$2:$C$20)),"")</f>
        <v/>
      </c>
      <c r="D925" s="14" t="str">
        <f t="array" ref="D925">IF(Raw!D918="","",IFERROR(MAX(IF(Raw!$A$2:$A$26=MHT!A925,Raw!$D$2:$D$20)),""))</f>
        <v/>
      </c>
      <c r="E925" s="6" t="str">
        <f>IF(SUMIF(Raw!$A$2:$A$500, MHT!A925, Raw!$F$2:$F$500) = TIME(0,0,0), "", SUMIF(Raw!$A$2:$A$500, MHT!A925, Raw!$F$2:$F$500))</f>
        <v/>
      </c>
      <c r="F925" s="12" t="str">
        <f t="array" ref="F925">IF(A925="", "", IF(COUNTIF(Raw!$H$1:$I$500, A925) &gt; 0, "Done", IF(COUNTIF(Raw!$J$1:$J$500, A925) &gt; 0, "Pause", IF(COUNTIF(Raw!$K$1:$K$500, A925) &gt; 0, "On-Going", "Pause"))))</f>
        <v/>
      </c>
      <c r="G925" s="51"/>
      <c r="H925" s="50"/>
    </row>
    <row r="926" spans="1:8" x14ac:dyDescent="0.4">
      <c r="A926" s="61"/>
      <c r="B926" s="16" t="str">
        <f t="array" ref="B926">IFERROR(MIN(IF(Raw!$A$2:$A$26=MHT!A926,Raw!$B$2:$B$20)),"")</f>
        <v/>
      </c>
      <c r="C926" s="13" t="str">
        <f t="array" ref="C926">IFERROR(MIN(IF(Raw!$A$2:$A$26=MHT!A926,Raw!$C$2:$C$20)),"")</f>
        <v/>
      </c>
      <c r="D926" s="14" t="str">
        <f t="array" ref="D926">IF(Raw!D919="","",IFERROR(MAX(IF(Raw!$A$2:$A$26=MHT!A926,Raw!$D$2:$D$20)),""))</f>
        <v/>
      </c>
      <c r="E926" s="6" t="str">
        <f>IF(SUMIF(Raw!$A$2:$A$500, MHT!A926, Raw!$F$2:$F$500) = TIME(0,0,0), "", SUMIF(Raw!$A$2:$A$500, MHT!A926, Raw!$F$2:$F$500))</f>
        <v/>
      </c>
      <c r="F926" s="12" t="str">
        <f t="array" ref="F926">IF(A926="", "", IF(COUNTIF(Raw!$H$1:$I$500, A926) &gt; 0, "Done", IF(COUNTIF(Raw!$J$1:$J$500, A926) &gt; 0, "Pause", IF(COUNTIF(Raw!$K$1:$K$500, A926) &gt; 0, "On-Going", "Pause"))))</f>
        <v/>
      </c>
      <c r="G926" s="51"/>
      <c r="H926" s="50"/>
    </row>
    <row r="927" spans="1:8" x14ac:dyDescent="0.4">
      <c r="A927" s="61"/>
      <c r="B927" s="16" t="str">
        <f t="array" ref="B927">IFERROR(MIN(IF(Raw!$A$2:$A$26=MHT!A927,Raw!$B$2:$B$20)),"")</f>
        <v/>
      </c>
      <c r="C927" s="13" t="str">
        <f t="array" ref="C927">IFERROR(MIN(IF(Raw!$A$2:$A$26=MHT!A927,Raw!$C$2:$C$20)),"")</f>
        <v/>
      </c>
      <c r="D927" s="14" t="str">
        <f t="array" ref="D927">IF(Raw!D920="","",IFERROR(MAX(IF(Raw!$A$2:$A$26=MHT!A927,Raw!$D$2:$D$20)),""))</f>
        <v/>
      </c>
      <c r="E927" s="6" t="str">
        <f>IF(SUMIF(Raw!$A$2:$A$500, MHT!A927, Raw!$F$2:$F$500) = TIME(0,0,0), "", SUMIF(Raw!$A$2:$A$500, MHT!A927, Raw!$F$2:$F$500))</f>
        <v/>
      </c>
      <c r="F927" s="12" t="str">
        <f t="array" ref="F927">IF(A927="", "", IF(COUNTIF(Raw!$H$1:$I$500, A927) &gt; 0, "Done", IF(COUNTIF(Raw!$J$1:$J$500, A927) &gt; 0, "Pause", IF(COUNTIF(Raw!$K$1:$K$500, A927) &gt; 0, "On-Going", "Pause"))))</f>
        <v/>
      </c>
      <c r="G927" s="51"/>
      <c r="H927" s="50"/>
    </row>
    <row r="928" spans="1:8" x14ac:dyDescent="0.4">
      <c r="A928" s="61"/>
      <c r="B928" s="16" t="str">
        <f t="array" ref="B928">IFERROR(MIN(IF(Raw!$A$2:$A$26=MHT!A928,Raw!$B$2:$B$20)),"")</f>
        <v/>
      </c>
      <c r="C928" s="13" t="str">
        <f t="array" ref="C928">IFERROR(MIN(IF(Raw!$A$2:$A$26=MHT!A928,Raw!$C$2:$C$20)),"")</f>
        <v/>
      </c>
      <c r="D928" s="14" t="str">
        <f t="array" ref="D928">IF(Raw!D921="","",IFERROR(MAX(IF(Raw!$A$2:$A$26=MHT!A928,Raw!$D$2:$D$20)),""))</f>
        <v/>
      </c>
      <c r="E928" s="6" t="str">
        <f>IF(SUMIF(Raw!$A$2:$A$500, MHT!A928, Raw!$F$2:$F$500) = TIME(0,0,0), "", SUMIF(Raw!$A$2:$A$500, MHT!A928, Raw!$F$2:$F$500))</f>
        <v/>
      </c>
      <c r="F928" s="12" t="str">
        <f t="array" ref="F928">IF(A928="", "", IF(COUNTIF(Raw!$H$1:$I$500, A928) &gt; 0, "Done", IF(COUNTIF(Raw!$J$1:$J$500, A928) &gt; 0, "Pause", IF(COUNTIF(Raw!$K$1:$K$500, A928) &gt; 0, "On-Going", "Pause"))))</f>
        <v/>
      </c>
      <c r="G928" s="51"/>
      <c r="H928" s="50"/>
    </row>
    <row r="929" spans="1:8" x14ac:dyDescent="0.4">
      <c r="A929" s="61"/>
      <c r="B929" s="16" t="str">
        <f t="array" ref="B929">IFERROR(MIN(IF(Raw!$A$2:$A$26=MHT!A929,Raw!$B$2:$B$20)),"")</f>
        <v/>
      </c>
      <c r="C929" s="13" t="str">
        <f t="array" ref="C929">IFERROR(MIN(IF(Raw!$A$2:$A$26=MHT!A929,Raw!$C$2:$C$20)),"")</f>
        <v/>
      </c>
      <c r="D929" s="14" t="str">
        <f t="array" ref="D929">IF(Raw!D922="","",IFERROR(MAX(IF(Raw!$A$2:$A$26=MHT!A929,Raw!$D$2:$D$20)),""))</f>
        <v/>
      </c>
      <c r="E929" s="6" t="str">
        <f>IF(SUMIF(Raw!$A$2:$A$500, MHT!A929, Raw!$F$2:$F$500) = TIME(0,0,0), "", SUMIF(Raw!$A$2:$A$500, MHT!A929, Raw!$F$2:$F$500))</f>
        <v/>
      </c>
      <c r="F929" s="12" t="str">
        <f t="array" ref="F929">IF(A929="", "", IF(COUNTIF(Raw!$H$1:$I$500, A929) &gt; 0, "Done", IF(COUNTIF(Raw!$J$1:$J$500, A929) &gt; 0, "Pause", IF(COUNTIF(Raw!$K$1:$K$500, A929) &gt; 0, "On-Going", "Pause"))))</f>
        <v/>
      </c>
      <c r="G929" s="51"/>
      <c r="H929" s="50"/>
    </row>
    <row r="930" spans="1:8" x14ac:dyDescent="0.4">
      <c r="A930" s="61"/>
      <c r="B930" s="16" t="str">
        <f t="array" ref="B930">IFERROR(MIN(IF(Raw!$A$2:$A$26=MHT!A930,Raw!$B$2:$B$20)),"")</f>
        <v/>
      </c>
      <c r="C930" s="13" t="str">
        <f t="array" ref="C930">IFERROR(MIN(IF(Raw!$A$2:$A$26=MHT!A930,Raw!$C$2:$C$20)),"")</f>
        <v/>
      </c>
      <c r="D930" s="14" t="str">
        <f t="array" ref="D930">IF(Raw!D923="","",IFERROR(MAX(IF(Raw!$A$2:$A$26=MHT!A930,Raw!$D$2:$D$20)),""))</f>
        <v/>
      </c>
      <c r="E930" s="6" t="str">
        <f>IF(SUMIF(Raw!$A$2:$A$500, MHT!A930, Raw!$F$2:$F$500) = TIME(0,0,0), "", SUMIF(Raw!$A$2:$A$500, MHT!A930, Raw!$F$2:$F$500))</f>
        <v/>
      </c>
      <c r="F930" s="12" t="str">
        <f t="array" ref="F930">IF(A930="", "", IF(COUNTIF(Raw!$H$1:$I$500, A930) &gt; 0, "Done", IF(COUNTIF(Raw!$J$1:$J$500, A930) &gt; 0, "Pause", IF(COUNTIF(Raw!$K$1:$K$500, A930) &gt; 0, "On-Going", "Pause"))))</f>
        <v/>
      </c>
      <c r="G930" s="51"/>
      <c r="H930" s="50"/>
    </row>
    <row r="931" spans="1:8" x14ac:dyDescent="0.4">
      <c r="A931" s="61"/>
      <c r="B931" s="16" t="str">
        <f t="array" ref="B931">IFERROR(MIN(IF(Raw!$A$2:$A$26=MHT!A931,Raw!$B$2:$B$20)),"")</f>
        <v/>
      </c>
      <c r="C931" s="13" t="str">
        <f t="array" ref="C931">IFERROR(MIN(IF(Raw!$A$2:$A$26=MHT!A931,Raw!$C$2:$C$20)),"")</f>
        <v/>
      </c>
      <c r="D931" s="14" t="str">
        <f t="array" ref="D931">IF(Raw!D924="","",IFERROR(MAX(IF(Raw!$A$2:$A$26=MHT!A931,Raw!$D$2:$D$20)),""))</f>
        <v/>
      </c>
      <c r="E931" s="6" t="str">
        <f>IF(SUMIF(Raw!$A$2:$A$500, MHT!A931, Raw!$F$2:$F$500) = TIME(0,0,0), "", SUMIF(Raw!$A$2:$A$500, MHT!A931, Raw!$F$2:$F$500))</f>
        <v/>
      </c>
      <c r="F931" s="12" t="str">
        <f t="array" ref="F931">IF(A931="", "", IF(COUNTIF(Raw!$H$1:$I$500, A931) &gt; 0, "Done", IF(COUNTIF(Raw!$J$1:$J$500, A931) &gt; 0, "Pause", IF(COUNTIF(Raw!$K$1:$K$500, A931) &gt; 0, "On-Going", "Pause"))))</f>
        <v/>
      </c>
      <c r="G931" s="51"/>
      <c r="H931" s="50"/>
    </row>
    <row r="932" spans="1:8" x14ac:dyDescent="0.4">
      <c r="A932" s="61"/>
      <c r="B932" s="16" t="str">
        <f t="array" ref="B932">IFERROR(MIN(IF(Raw!$A$2:$A$26=MHT!A932,Raw!$B$2:$B$20)),"")</f>
        <v/>
      </c>
      <c r="C932" s="13" t="str">
        <f t="array" ref="C932">IFERROR(MIN(IF(Raw!$A$2:$A$26=MHT!A932,Raw!$C$2:$C$20)),"")</f>
        <v/>
      </c>
      <c r="D932" s="14" t="str">
        <f t="array" ref="D932">IF(Raw!D925="","",IFERROR(MAX(IF(Raw!$A$2:$A$26=MHT!A932,Raw!$D$2:$D$20)),""))</f>
        <v/>
      </c>
      <c r="E932" s="6" t="str">
        <f>IF(SUMIF(Raw!$A$2:$A$500, MHT!A932, Raw!$F$2:$F$500) = TIME(0,0,0), "", SUMIF(Raw!$A$2:$A$500, MHT!A932, Raw!$F$2:$F$500))</f>
        <v/>
      </c>
      <c r="F932" s="12" t="str">
        <f t="array" ref="F932">IF(A932="", "", IF(COUNTIF(Raw!$H$1:$I$500, A932) &gt; 0, "Done", IF(COUNTIF(Raw!$J$1:$J$500, A932) &gt; 0, "Pause", IF(COUNTIF(Raw!$K$1:$K$500, A932) &gt; 0, "On-Going", "Pause"))))</f>
        <v/>
      </c>
      <c r="G932" s="51"/>
      <c r="H932" s="50"/>
    </row>
    <row r="933" spans="1:8" x14ac:dyDescent="0.4">
      <c r="A933" s="61"/>
      <c r="B933" s="16" t="str">
        <f t="array" ref="B933">IFERROR(MIN(IF(Raw!$A$2:$A$26=MHT!A933,Raw!$B$2:$B$20)),"")</f>
        <v/>
      </c>
      <c r="C933" s="13" t="str">
        <f t="array" ref="C933">IFERROR(MIN(IF(Raw!$A$2:$A$26=MHT!A933,Raw!$C$2:$C$20)),"")</f>
        <v/>
      </c>
      <c r="D933" s="14" t="str">
        <f t="array" ref="D933">IF(Raw!D926="","",IFERROR(MAX(IF(Raw!$A$2:$A$26=MHT!A933,Raw!$D$2:$D$20)),""))</f>
        <v/>
      </c>
      <c r="E933" s="6" t="str">
        <f>IF(SUMIF(Raw!$A$2:$A$500, MHT!A933, Raw!$F$2:$F$500) = TIME(0,0,0), "", SUMIF(Raw!$A$2:$A$500, MHT!A933, Raw!$F$2:$F$500))</f>
        <v/>
      </c>
      <c r="F933" s="12" t="str">
        <f t="array" ref="F933">IF(A933="", "", IF(COUNTIF(Raw!$H$1:$I$500, A933) &gt; 0, "Done", IF(COUNTIF(Raw!$J$1:$J$500, A933) &gt; 0, "Pause", IF(COUNTIF(Raw!$K$1:$K$500, A933) &gt; 0, "On-Going", "Pause"))))</f>
        <v/>
      </c>
      <c r="G933" s="51"/>
      <c r="H933" s="50"/>
    </row>
    <row r="934" spans="1:8" x14ac:dyDescent="0.4">
      <c r="A934" s="61"/>
      <c r="B934" s="16" t="str">
        <f t="array" ref="B934">IFERROR(MIN(IF(Raw!$A$2:$A$26=MHT!A934,Raw!$B$2:$B$20)),"")</f>
        <v/>
      </c>
      <c r="C934" s="13" t="str">
        <f t="array" ref="C934">IFERROR(MIN(IF(Raw!$A$2:$A$26=MHT!A934,Raw!$C$2:$C$20)),"")</f>
        <v/>
      </c>
      <c r="D934" s="14" t="str">
        <f t="array" ref="D934">IF(Raw!D927="","",IFERROR(MAX(IF(Raw!$A$2:$A$26=MHT!A934,Raw!$D$2:$D$20)),""))</f>
        <v/>
      </c>
      <c r="E934" s="6" t="str">
        <f>IF(SUMIF(Raw!$A$2:$A$500, MHT!A934, Raw!$F$2:$F$500) = TIME(0,0,0), "", SUMIF(Raw!$A$2:$A$500, MHT!A934, Raw!$F$2:$F$500))</f>
        <v/>
      </c>
      <c r="F934" s="12" t="str">
        <f t="array" ref="F934">IF(A934="", "", IF(COUNTIF(Raw!$H$1:$I$500, A934) &gt; 0, "Done", IF(COUNTIF(Raw!$J$1:$J$500, A934) &gt; 0, "Pause", IF(COUNTIF(Raw!$K$1:$K$500, A934) &gt; 0, "On-Going", "Pause"))))</f>
        <v/>
      </c>
      <c r="G934" s="51"/>
      <c r="H934" s="50"/>
    </row>
    <row r="935" spans="1:8" x14ac:dyDescent="0.4">
      <c r="A935" s="61"/>
      <c r="B935" s="16" t="str">
        <f t="array" ref="B935">IFERROR(MIN(IF(Raw!$A$2:$A$26=MHT!A935,Raw!$B$2:$B$20)),"")</f>
        <v/>
      </c>
      <c r="C935" s="13" t="str">
        <f t="array" ref="C935">IFERROR(MIN(IF(Raw!$A$2:$A$26=MHT!A935,Raw!$C$2:$C$20)),"")</f>
        <v/>
      </c>
      <c r="D935" s="14" t="str">
        <f t="array" ref="D935">IF(Raw!D928="","",IFERROR(MAX(IF(Raw!$A$2:$A$26=MHT!A935,Raw!$D$2:$D$20)),""))</f>
        <v/>
      </c>
      <c r="E935" s="6" t="str">
        <f>IF(SUMIF(Raw!$A$2:$A$500, MHT!A935, Raw!$F$2:$F$500) = TIME(0,0,0), "", SUMIF(Raw!$A$2:$A$500, MHT!A935, Raw!$F$2:$F$500))</f>
        <v/>
      </c>
      <c r="F935" s="12" t="str">
        <f t="array" ref="F935">IF(A935="", "", IF(COUNTIF(Raw!$H$1:$I$500, A935) &gt; 0, "Done", IF(COUNTIF(Raw!$J$1:$J$500, A935) &gt; 0, "Pause", IF(COUNTIF(Raw!$K$1:$K$500, A935) &gt; 0, "On-Going", "Pause"))))</f>
        <v/>
      </c>
      <c r="G935" s="51"/>
      <c r="H935" s="50"/>
    </row>
    <row r="936" spans="1:8" x14ac:dyDescent="0.4">
      <c r="A936" s="61"/>
      <c r="B936" s="16" t="str">
        <f t="array" ref="B936">IFERROR(MIN(IF(Raw!$A$2:$A$26=MHT!A936,Raw!$B$2:$B$20)),"")</f>
        <v/>
      </c>
      <c r="C936" s="13" t="str">
        <f t="array" ref="C936">IFERROR(MIN(IF(Raw!$A$2:$A$26=MHT!A936,Raw!$C$2:$C$20)),"")</f>
        <v/>
      </c>
      <c r="D936" s="14" t="str">
        <f t="array" ref="D936">IF(Raw!D929="","",IFERROR(MAX(IF(Raw!$A$2:$A$26=MHT!A936,Raw!$D$2:$D$20)),""))</f>
        <v/>
      </c>
      <c r="E936" s="6" t="str">
        <f>IF(SUMIF(Raw!$A$2:$A$500, MHT!A936, Raw!$F$2:$F$500) = TIME(0,0,0), "", SUMIF(Raw!$A$2:$A$500, MHT!A936, Raw!$F$2:$F$500))</f>
        <v/>
      </c>
      <c r="F936" s="12" t="str">
        <f t="array" ref="F936">IF(A936="", "", IF(COUNTIF(Raw!$H$1:$I$500, A936) &gt; 0, "Done", IF(COUNTIF(Raw!$J$1:$J$500, A936) &gt; 0, "Pause", IF(COUNTIF(Raw!$K$1:$K$500, A936) &gt; 0, "On-Going", "Pause"))))</f>
        <v/>
      </c>
      <c r="G936" s="51"/>
      <c r="H936" s="50"/>
    </row>
    <row r="937" spans="1:8" x14ac:dyDescent="0.4">
      <c r="A937" s="61"/>
      <c r="B937" s="16" t="str">
        <f t="array" ref="B937">IFERROR(MIN(IF(Raw!$A$2:$A$26=MHT!A937,Raw!$B$2:$B$20)),"")</f>
        <v/>
      </c>
      <c r="C937" s="13" t="str">
        <f t="array" ref="C937">IFERROR(MIN(IF(Raw!$A$2:$A$26=MHT!A937,Raw!$C$2:$C$20)),"")</f>
        <v/>
      </c>
      <c r="D937" s="14" t="str">
        <f t="array" ref="D937">IF(Raw!D930="","",IFERROR(MAX(IF(Raw!$A$2:$A$26=MHT!A937,Raw!$D$2:$D$20)),""))</f>
        <v/>
      </c>
      <c r="E937" s="6" t="str">
        <f>IF(SUMIF(Raw!$A$2:$A$500, MHT!A937, Raw!$F$2:$F$500) = TIME(0,0,0), "", SUMIF(Raw!$A$2:$A$500, MHT!A937, Raw!$F$2:$F$500))</f>
        <v/>
      </c>
      <c r="F937" s="12" t="str">
        <f t="array" ref="F937">IF(A937="", "", IF(COUNTIF(Raw!$H$1:$I$500, A937) &gt; 0, "Done", IF(COUNTIF(Raw!$J$1:$J$500, A937) &gt; 0, "Pause", IF(COUNTIF(Raw!$K$1:$K$500, A937) &gt; 0, "On-Going", "Pause"))))</f>
        <v/>
      </c>
      <c r="G937" s="51"/>
      <c r="H937" s="50"/>
    </row>
    <row r="938" spans="1:8" x14ac:dyDescent="0.4">
      <c r="A938" s="61"/>
      <c r="B938" s="16" t="str">
        <f t="array" ref="B938">IFERROR(MIN(IF(Raw!$A$2:$A$26=MHT!A938,Raw!$B$2:$B$20)),"")</f>
        <v/>
      </c>
      <c r="C938" s="13" t="str">
        <f t="array" ref="C938">IFERROR(MIN(IF(Raw!$A$2:$A$26=MHT!A938,Raw!$C$2:$C$20)),"")</f>
        <v/>
      </c>
      <c r="D938" s="14" t="str">
        <f t="array" ref="D938">IF(Raw!D931="","",IFERROR(MAX(IF(Raw!$A$2:$A$26=MHT!A938,Raw!$D$2:$D$20)),""))</f>
        <v/>
      </c>
      <c r="E938" s="6" t="str">
        <f>IF(SUMIF(Raw!$A$2:$A$500, MHT!A938, Raw!$F$2:$F$500) = TIME(0,0,0), "", SUMIF(Raw!$A$2:$A$500, MHT!A938, Raw!$F$2:$F$500))</f>
        <v/>
      </c>
      <c r="F938" s="12" t="str">
        <f t="array" ref="F938">IF(A938="", "", IF(COUNTIF(Raw!$H$1:$I$500, A938) &gt; 0, "Done", IF(COUNTIF(Raw!$J$1:$J$500, A938) &gt; 0, "Pause", IF(COUNTIF(Raw!$K$1:$K$500, A938) &gt; 0, "On-Going", "Pause"))))</f>
        <v/>
      </c>
      <c r="G938" s="51"/>
      <c r="H938" s="50"/>
    </row>
    <row r="939" spans="1:8" x14ac:dyDescent="0.4">
      <c r="A939" s="61"/>
      <c r="B939" s="16" t="str">
        <f t="array" ref="B939">IFERROR(MIN(IF(Raw!$A$2:$A$26=MHT!A939,Raw!$B$2:$B$20)),"")</f>
        <v/>
      </c>
      <c r="C939" s="13" t="str">
        <f t="array" ref="C939">IFERROR(MIN(IF(Raw!$A$2:$A$26=MHT!A939,Raw!$C$2:$C$20)),"")</f>
        <v/>
      </c>
      <c r="D939" s="14" t="str">
        <f t="array" ref="D939">IF(Raw!D932="","",IFERROR(MAX(IF(Raw!$A$2:$A$26=MHT!A939,Raw!$D$2:$D$20)),""))</f>
        <v/>
      </c>
      <c r="E939" s="6" t="str">
        <f>IF(SUMIF(Raw!$A$2:$A$500, MHT!A939, Raw!$F$2:$F$500) = TIME(0,0,0), "", SUMIF(Raw!$A$2:$A$500, MHT!A939, Raw!$F$2:$F$500))</f>
        <v/>
      </c>
      <c r="F939" s="12" t="str">
        <f t="array" ref="F939">IF(A939="", "", IF(COUNTIF(Raw!$H$1:$I$500, A939) &gt; 0, "Done", IF(COUNTIF(Raw!$J$1:$J$500, A939) &gt; 0, "Pause", IF(COUNTIF(Raw!$K$1:$K$500, A939) &gt; 0, "On-Going", "Pause"))))</f>
        <v/>
      </c>
      <c r="G939" s="51"/>
      <c r="H939" s="50"/>
    </row>
    <row r="940" spans="1:8" x14ac:dyDescent="0.4">
      <c r="A940" s="61"/>
      <c r="B940" s="16" t="str">
        <f t="array" ref="B940">IFERROR(MIN(IF(Raw!$A$2:$A$26=MHT!A940,Raw!$B$2:$B$20)),"")</f>
        <v/>
      </c>
      <c r="C940" s="13" t="str">
        <f t="array" ref="C940">IFERROR(MIN(IF(Raw!$A$2:$A$26=MHT!A940,Raw!$C$2:$C$20)),"")</f>
        <v/>
      </c>
      <c r="D940" s="14" t="str">
        <f t="array" ref="D940">IF(Raw!D933="","",IFERROR(MAX(IF(Raw!$A$2:$A$26=MHT!A940,Raw!$D$2:$D$20)),""))</f>
        <v/>
      </c>
      <c r="E940" s="6" t="str">
        <f>IF(SUMIF(Raw!$A$2:$A$500, MHT!A940, Raw!$F$2:$F$500) = TIME(0,0,0), "", SUMIF(Raw!$A$2:$A$500, MHT!A940, Raw!$F$2:$F$500))</f>
        <v/>
      </c>
      <c r="F940" s="12" t="str">
        <f t="array" ref="F940">IF(A940="", "", IF(COUNTIF(Raw!$H$1:$I$500, A940) &gt; 0, "Done", IF(COUNTIF(Raw!$J$1:$J$500, A940) &gt; 0, "Pause", IF(COUNTIF(Raw!$K$1:$K$500, A940) &gt; 0, "On-Going", "Pause"))))</f>
        <v/>
      </c>
      <c r="G940" s="51"/>
      <c r="H940" s="50"/>
    </row>
    <row r="941" spans="1:8" x14ac:dyDescent="0.4">
      <c r="A941" s="61"/>
      <c r="B941" s="16" t="str">
        <f t="array" ref="B941">IFERROR(MIN(IF(Raw!$A$2:$A$26=MHT!A941,Raw!$B$2:$B$20)),"")</f>
        <v/>
      </c>
      <c r="C941" s="13" t="str">
        <f t="array" ref="C941">IFERROR(MIN(IF(Raw!$A$2:$A$26=MHT!A941,Raw!$C$2:$C$20)),"")</f>
        <v/>
      </c>
      <c r="D941" s="14" t="str">
        <f t="array" ref="D941">IF(Raw!D934="","",IFERROR(MAX(IF(Raw!$A$2:$A$26=MHT!A941,Raw!$D$2:$D$20)),""))</f>
        <v/>
      </c>
      <c r="E941" s="6" t="str">
        <f>IF(SUMIF(Raw!$A$2:$A$500, MHT!A941, Raw!$F$2:$F$500) = TIME(0,0,0), "", SUMIF(Raw!$A$2:$A$500, MHT!A941, Raw!$F$2:$F$500))</f>
        <v/>
      </c>
      <c r="F941" s="12" t="str">
        <f t="array" ref="F941">IF(A941="", "", IF(COUNTIF(Raw!$H$1:$I$500, A941) &gt; 0, "Done", IF(COUNTIF(Raw!$J$1:$J$500, A941) &gt; 0, "Pause", IF(COUNTIF(Raw!$K$1:$K$500, A941) &gt; 0, "On-Going", "Pause"))))</f>
        <v/>
      </c>
      <c r="G941" s="51"/>
      <c r="H941" s="50"/>
    </row>
    <row r="942" spans="1:8" x14ac:dyDescent="0.4">
      <c r="A942" s="61"/>
      <c r="B942" s="16" t="str">
        <f t="array" ref="B942">IFERROR(MIN(IF(Raw!$A$2:$A$26=MHT!A942,Raw!$B$2:$B$20)),"")</f>
        <v/>
      </c>
      <c r="C942" s="13" t="str">
        <f t="array" ref="C942">IFERROR(MIN(IF(Raw!$A$2:$A$26=MHT!A942,Raw!$C$2:$C$20)),"")</f>
        <v/>
      </c>
      <c r="D942" s="14" t="str">
        <f t="array" ref="D942">IF(Raw!D935="","",IFERROR(MAX(IF(Raw!$A$2:$A$26=MHT!A942,Raw!$D$2:$D$20)),""))</f>
        <v/>
      </c>
      <c r="E942" s="6" t="str">
        <f>IF(SUMIF(Raw!$A$2:$A$500, MHT!A942, Raw!$F$2:$F$500) = TIME(0,0,0), "", SUMIF(Raw!$A$2:$A$500, MHT!A942, Raw!$F$2:$F$500))</f>
        <v/>
      </c>
      <c r="F942" s="12" t="str">
        <f t="array" ref="F942">IF(A942="", "", IF(COUNTIF(Raw!$H$1:$I$500, A942) &gt; 0, "Done", IF(COUNTIF(Raw!$J$1:$J$500, A942) &gt; 0, "Pause", IF(COUNTIF(Raw!$K$1:$K$500, A942) &gt; 0, "On-Going", "Pause"))))</f>
        <v/>
      </c>
      <c r="G942" s="51"/>
      <c r="H942" s="50"/>
    </row>
    <row r="943" spans="1:8" x14ac:dyDescent="0.4">
      <c r="A943" s="61"/>
      <c r="B943" s="16" t="str">
        <f t="array" ref="B943">IFERROR(MIN(IF(Raw!$A$2:$A$26=MHT!A943,Raw!$B$2:$B$20)),"")</f>
        <v/>
      </c>
      <c r="C943" s="13" t="str">
        <f t="array" ref="C943">IFERROR(MIN(IF(Raw!$A$2:$A$26=MHT!A943,Raw!$C$2:$C$20)),"")</f>
        <v/>
      </c>
      <c r="D943" s="14" t="str">
        <f t="array" ref="D943">IF(Raw!D936="","",IFERROR(MAX(IF(Raw!$A$2:$A$26=MHT!A943,Raw!$D$2:$D$20)),""))</f>
        <v/>
      </c>
      <c r="E943" s="6" t="str">
        <f>IF(SUMIF(Raw!$A$2:$A$500, MHT!A943, Raw!$F$2:$F$500) = TIME(0,0,0), "", SUMIF(Raw!$A$2:$A$500, MHT!A943, Raw!$F$2:$F$500))</f>
        <v/>
      </c>
      <c r="F943" s="12" t="str">
        <f t="array" ref="F943">IF(A943="", "", IF(COUNTIF(Raw!$H$1:$I$500, A943) &gt; 0, "Done", IF(COUNTIF(Raw!$J$1:$J$500, A943) &gt; 0, "Pause", IF(COUNTIF(Raw!$K$1:$K$500, A943) &gt; 0, "On-Going", "Pause"))))</f>
        <v/>
      </c>
      <c r="G943" s="51"/>
      <c r="H943" s="50"/>
    </row>
    <row r="944" spans="1:8" x14ac:dyDescent="0.4">
      <c r="A944" s="61"/>
      <c r="B944" s="16" t="str">
        <f t="array" ref="B944">IFERROR(MIN(IF(Raw!$A$2:$A$26=MHT!A944,Raw!$B$2:$B$20)),"")</f>
        <v/>
      </c>
      <c r="C944" s="13" t="str">
        <f t="array" ref="C944">IFERROR(MIN(IF(Raw!$A$2:$A$26=MHT!A944,Raw!$C$2:$C$20)),"")</f>
        <v/>
      </c>
      <c r="D944" s="14" t="str">
        <f t="array" ref="D944">IF(Raw!D937="","",IFERROR(MAX(IF(Raw!$A$2:$A$26=MHT!A944,Raw!$D$2:$D$20)),""))</f>
        <v/>
      </c>
      <c r="E944" s="6" t="str">
        <f>IF(SUMIF(Raw!$A$2:$A$500, MHT!A944, Raw!$F$2:$F$500) = TIME(0,0,0), "", SUMIF(Raw!$A$2:$A$500, MHT!A944, Raw!$F$2:$F$500))</f>
        <v/>
      </c>
      <c r="F944" s="12" t="str">
        <f t="array" ref="F944">IF(A944="", "", IF(COUNTIF(Raw!$H$1:$I$500, A944) &gt; 0, "Done", IF(COUNTIF(Raw!$J$1:$J$500, A944) &gt; 0, "Pause", IF(COUNTIF(Raw!$K$1:$K$500, A944) &gt; 0, "On-Going", "Pause"))))</f>
        <v/>
      </c>
      <c r="G944" s="51"/>
      <c r="H944" s="50"/>
    </row>
    <row r="945" spans="1:8" x14ac:dyDescent="0.4">
      <c r="A945" s="61"/>
      <c r="B945" s="16" t="str">
        <f t="array" ref="B945">IFERROR(MIN(IF(Raw!$A$2:$A$26=MHT!A945,Raw!$B$2:$B$20)),"")</f>
        <v/>
      </c>
      <c r="C945" s="13" t="str">
        <f t="array" ref="C945">IFERROR(MIN(IF(Raw!$A$2:$A$26=MHT!A945,Raw!$C$2:$C$20)),"")</f>
        <v/>
      </c>
      <c r="D945" s="14" t="str">
        <f t="array" ref="D945">IF(Raw!D938="","",IFERROR(MAX(IF(Raw!$A$2:$A$26=MHT!A945,Raw!$D$2:$D$20)),""))</f>
        <v/>
      </c>
      <c r="E945" s="6" t="str">
        <f>IF(SUMIF(Raw!$A$2:$A$500, MHT!A945, Raw!$F$2:$F$500) = TIME(0,0,0), "", SUMIF(Raw!$A$2:$A$500, MHT!A945, Raw!$F$2:$F$500))</f>
        <v/>
      </c>
      <c r="F945" s="12" t="str">
        <f t="array" ref="F945">IF(A945="", "", IF(COUNTIF(Raw!$H$1:$I$500, A945) &gt; 0, "Done", IF(COUNTIF(Raw!$J$1:$J$500, A945) &gt; 0, "Pause", IF(COUNTIF(Raw!$K$1:$K$500, A945) &gt; 0, "On-Going", "Pause"))))</f>
        <v/>
      </c>
      <c r="G945" s="51"/>
      <c r="H945" s="50"/>
    </row>
    <row r="946" spans="1:8" x14ac:dyDescent="0.4">
      <c r="A946" s="61"/>
      <c r="B946" s="16" t="str">
        <f t="array" ref="B946">IFERROR(MIN(IF(Raw!$A$2:$A$26=MHT!A946,Raw!$B$2:$B$20)),"")</f>
        <v/>
      </c>
      <c r="C946" s="13" t="str">
        <f t="array" ref="C946">IFERROR(MIN(IF(Raw!$A$2:$A$26=MHT!A946,Raw!$C$2:$C$20)),"")</f>
        <v/>
      </c>
      <c r="D946" s="14" t="str">
        <f t="array" ref="D946">IF(Raw!D939="","",IFERROR(MAX(IF(Raw!$A$2:$A$26=MHT!A946,Raw!$D$2:$D$20)),""))</f>
        <v/>
      </c>
      <c r="E946" s="6" t="str">
        <f>IF(SUMIF(Raw!$A$2:$A$500, MHT!A946, Raw!$F$2:$F$500) = TIME(0,0,0), "", SUMIF(Raw!$A$2:$A$500, MHT!A946, Raw!$F$2:$F$500))</f>
        <v/>
      </c>
      <c r="F946" s="12" t="str">
        <f t="array" ref="F946">IF(A946="", "", IF(COUNTIF(Raw!$H$1:$I$500, A946) &gt; 0, "Done", IF(COUNTIF(Raw!$J$1:$J$500, A946) &gt; 0, "Pause", IF(COUNTIF(Raw!$K$1:$K$500, A946) &gt; 0, "On-Going", "Pause"))))</f>
        <v/>
      </c>
      <c r="G946" s="51"/>
      <c r="H946" s="50"/>
    </row>
    <row r="947" spans="1:8" x14ac:dyDescent="0.4">
      <c r="A947" s="61"/>
      <c r="B947" s="16" t="str">
        <f t="array" ref="B947">IFERROR(MIN(IF(Raw!$A$2:$A$26=MHT!A947,Raw!$B$2:$B$20)),"")</f>
        <v/>
      </c>
      <c r="C947" s="13" t="str">
        <f t="array" ref="C947">IFERROR(MIN(IF(Raw!$A$2:$A$26=MHT!A947,Raw!$C$2:$C$20)),"")</f>
        <v/>
      </c>
      <c r="D947" s="14" t="str">
        <f t="array" ref="D947">IF(Raw!D940="","",IFERROR(MAX(IF(Raw!$A$2:$A$26=MHT!A947,Raw!$D$2:$D$20)),""))</f>
        <v/>
      </c>
      <c r="E947" s="6" t="str">
        <f>IF(SUMIF(Raw!$A$2:$A$500, MHT!A947, Raw!$F$2:$F$500) = TIME(0,0,0), "", SUMIF(Raw!$A$2:$A$500, MHT!A947, Raw!$F$2:$F$500))</f>
        <v/>
      </c>
      <c r="F947" s="12" t="str">
        <f t="array" ref="F947">IF(A947="", "", IF(COUNTIF(Raw!$H$1:$I$500, A947) &gt; 0, "Done", IF(COUNTIF(Raw!$J$1:$J$500, A947) &gt; 0, "Pause", IF(COUNTIF(Raw!$K$1:$K$500, A947) &gt; 0, "On-Going", "Pause"))))</f>
        <v/>
      </c>
      <c r="G947" s="51"/>
      <c r="H947" s="50"/>
    </row>
    <row r="948" spans="1:8" x14ac:dyDescent="0.4">
      <c r="A948" s="61"/>
      <c r="B948" s="16" t="str">
        <f t="array" ref="B948">IFERROR(MIN(IF(Raw!$A$2:$A$26=MHT!A948,Raw!$B$2:$B$20)),"")</f>
        <v/>
      </c>
      <c r="C948" s="13" t="str">
        <f t="array" ref="C948">IFERROR(MIN(IF(Raw!$A$2:$A$26=MHT!A948,Raw!$C$2:$C$20)),"")</f>
        <v/>
      </c>
      <c r="D948" s="14" t="str">
        <f t="array" ref="D948">IF(Raw!D941="","",IFERROR(MAX(IF(Raw!$A$2:$A$26=MHT!A948,Raw!$D$2:$D$20)),""))</f>
        <v/>
      </c>
      <c r="E948" s="6" t="str">
        <f>IF(SUMIF(Raw!$A$2:$A$500, MHT!A948, Raw!$F$2:$F$500) = TIME(0,0,0), "", SUMIF(Raw!$A$2:$A$500, MHT!A948, Raw!$F$2:$F$500))</f>
        <v/>
      </c>
      <c r="F948" s="12" t="str">
        <f t="array" ref="F948">IF(A948="", "", IF(COUNTIF(Raw!$H$1:$I$500, A948) &gt; 0, "Done", IF(COUNTIF(Raw!$J$1:$J$500, A948) &gt; 0, "Pause", IF(COUNTIF(Raw!$K$1:$K$500, A948) &gt; 0, "On-Going", "Pause"))))</f>
        <v/>
      </c>
      <c r="G948" s="51"/>
      <c r="H948" s="50"/>
    </row>
    <row r="949" spans="1:8" x14ac:dyDescent="0.4">
      <c r="A949" s="61"/>
      <c r="B949" s="16" t="str">
        <f t="array" ref="B949">IFERROR(MIN(IF(Raw!$A$2:$A$26=MHT!A949,Raw!$B$2:$B$20)),"")</f>
        <v/>
      </c>
      <c r="C949" s="13" t="str">
        <f t="array" ref="C949">IFERROR(MIN(IF(Raw!$A$2:$A$26=MHT!A949,Raw!$C$2:$C$20)),"")</f>
        <v/>
      </c>
      <c r="D949" s="14" t="str">
        <f t="array" ref="D949">IF(Raw!D942="","",IFERROR(MAX(IF(Raw!$A$2:$A$26=MHT!A949,Raw!$D$2:$D$20)),""))</f>
        <v/>
      </c>
      <c r="E949" s="6" t="str">
        <f>IF(SUMIF(Raw!$A$2:$A$500, MHT!A949, Raw!$F$2:$F$500) = TIME(0,0,0), "", SUMIF(Raw!$A$2:$A$500, MHT!A949, Raw!$F$2:$F$500))</f>
        <v/>
      </c>
      <c r="F949" s="12" t="str">
        <f t="array" ref="F949">IF(A949="", "", IF(COUNTIF(Raw!$H$1:$I$500, A949) &gt; 0, "Done", IF(COUNTIF(Raw!$J$1:$J$500, A949) &gt; 0, "Pause", IF(COUNTIF(Raw!$K$1:$K$500, A949) &gt; 0, "On-Going", "Pause"))))</f>
        <v/>
      </c>
      <c r="G949" s="51"/>
      <c r="H949" s="50"/>
    </row>
    <row r="950" spans="1:8" x14ac:dyDescent="0.4">
      <c r="A950" s="61"/>
      <c r="B950" s="16" t="str">
        <f t="array" ref="B950">IFERROR(MIN(IF(Raw!$A$2:$A$26=MHT!A950,Raw!$B$2:$B$20)),"")</f>
        <v/>
      </c>
      <c r="C950" s="13" t="str">
        <f t="array" ref="C950">IFERROR(MIN(IF(Raw!$A$2:$A$26=MHT!A950,Raw!$C$2:$C$20)),"")</f>
        <v/>
      </c>
      <c r="D950" s="14" t="str">
        <f t="array" ref="D950">IF(Raw!D943="","",IFERROR(MAX(IF(Raw!$A$2:$A$26=MHT!A950,Raw!$D$2:$D$20)),""))</f>
        <v/>
      </c>
      <c r="E950" s="6" t="str">
        <f>IF(SUMIF(Raw!$A$2:$A$500, MHT!A950, Raw!$F$2:$F$500) = TIME(0,0,0), "", SUMIF(Raw!$A$2:$A$500, MHT!A950, Raw!$F$2:$F$500))</f>
        <v/>
      </c>
      <c r="F950" s="12" t="str">
        <f t="array" ref="F950">IF(A950="", "", IF(COUNTIF(Raw!$H$1:$I$500, A950) &gt; 0, "Done", IF(COUNTIF(Raw!$J$1:$J$500, A950) &gt; 0, "Pause", IF(COUNTIF(Raw!$K$1:$K$500, A950) &gt; 0, "On-Going", "Pause"))))</f>
        <v/>
      </c>
      <c r="G950" s="51"/>
      <c r="H950" s="50"/>
    </row>
    <row r="951" spans="1:8" x14ac:dyDescent="0.4">
      <c r="A951" s="61"/>
      <c r="B951" s="16" t="str">
        <f t="array" ref="B951">IFERROR(MIN(IF(Raw!$A$2:$A$26=MHT!A951,Raw!$B$2:$B$20)),"")</f>
        <v/>
      </c>
      <c r="C951" s="13" t="str">
        <f t="array" ref="C951">IFERROR(MIN(IF(Raw!$A$2:$A$26=MHT!A951,Raw!$C$2:$C$20)),"")</f>
        <v/>
      </c>
      <c r="D951" s="14" t="str">
        <f t="array" ref="D951">IF(Raw!D944="","",IFERROR(MAX(IF(Raw!$A$2:$A$26=MHT!A951,Raw!$D$2:$D$20)),""))</f>
        <v/>
      </c>
      <c r="E951" s="6" t="str">
        <f>IF(SUMIF(Raw!$A$2:$A$500, MHT!A951, Raw!$F$2:$F$500) = TIME(0,0,0), "", SUMIF(Raw!$A$2:$A$500, MHT!A951, Raw!$F$2:$F$500))</f>
        <v/>
      </c>
      <c r="F951" s="12" t="str">
        <f t="array" ref="F951">IF(A951="", "", IF(COUNTIF(Raw!$H$1:$I$500, A951) &gt; 0, "Done", IF(COUNTIF(Raw!$J$1:$J$500, A951) &gt; 0, "Pause", IF(COUNTIF(Raw!$K$1:$K$500, A951) &gt; 0, "On-Going", "Pause"))))</f>
        <v/>
      </c>
      <c r="G951" s="51"/>
      <c r="H951" s="50"/>
    </row>
    <row r="952" spans="1:8" x14ac:dyDescent="0.4">
      <c r="A952" s="61"/>
      <c r="B952" s="16" t="str">
        <f t="array" ref="B952">IFERROR(MIN(IF(Raw!$A$2:$A$26=MHT!A952,Raw!$B$2:$B$20)),"")</f>
        <v/>
      </c>
      <c r="C952" s="13" t="str">
        <f t="array" ref="C952">IFERROR(MIN(IF(Raw!$A$2:$A$26=MHT!A952,Raw!$C$2:$C$20)),"")</f>
        <v/>
      </c>
      <c r="D952" s="14" t="str">
        <f t="array" ref="D952">IF(Raw!D945="","",IFERROR(MAX(IF(Raw!$A$2:$A$26=MHT!A952,Raw!$D$2:$D$20)),""))</f>
        <v/>
      </c>
      <c r="E952" s="6" t="str">
        <f>IF(SUMIF(Raw!$A$2:$A$500, MHT!A952, Raw!$F$2:$F$500) = TIME(0,0,0), "", SUMIF(Raw!$A$2:$A$500, MHT!A952, Raw!$F$2:$F$500))</f>
        <v/>
      </c>
      <c r="F952" s="12" t="str">
        <f t="array" ref="F952">IF(A952="", "", IF(COUNTIF(Raw!$H$1:$I$500, A952) &gt; 0, "Done", IF(COUNTIF(Raw!$J$1:$J$500, A952) &gt; 0, "Pause", IF(COUNTIF(Raw!$K$1:$K$500, A952) &gt; 0, "On-Going", "Pause"))))</f>
        <v/>
      </c>
      <c r="G952" s="51"/>
      <c r="H952" s="50"/>
    </row>
    <row r="953" spans="1:8" x14ac:dyDescent="0.4">
      <c r="A953" s="61"/>
      <c r="B953" s="16" t="str">
        <f t="array" ref="B953">IFERROR(MIN(IF(Raw!$A$2:$A$26=MHT!A953,Raw!$B$2:$B$20)),"")</f>
        <v/>
      </c>
      <c r="C953" s="13" t="str">
        <f t="array" ref="C953">IFERROR(MIN(IF(Raw!$A$2:$A$26=MHT!A953,Raw!$C$2:$C$20)),"")</f>
        <v/>
      </c>
      <c r="D953" s="14" t="str">
        <f t="array" ref="D953">IF(Raw!D946="","",IFERROR(MAX(IF(Raw!$A$2:$A$26=MHT!A953,Raw!$D$2:$D$20)),""))</f>
        <v/>
      </c>
      <c r="E953" s="6" t="str">
        <f>IF(SUMIF(Raw!$A$2:$A$500, MHT!A953, Raw!$F$2:$F$500) = TIME(0,0,0), "", SUMIF(Raw!$A$2:$A$500, MHT!A953, Raw!$F$2:$F$500))</f>
        <v/>
      </c>
      <c r="F953" s="12" t="str">
        <f t="array" ref="F953">IF(A953="", "", IF(COUNTIF(Raw!$H$1:$I$500, A953) &gt; 0, "Done", IF(COUNTIF(Raw!$J$1:$J$500, A953) &gt; 0, "Pause", IF(COUNTIF(Raw!$K$1:$K$500, A953) &gt; 0, "On-Going", "Pause"))))</f>
        <v/>
      </c>
      <c r="G953" s="51"/>
      <c r="H953" s="50"/>
    </row>
    <row r="954" spans="1:8" x14ac:dyDescent="0.4">
      <c r="A954" s="61"/>
      <c r="B954" s="16" t="str">
        <f t="array" ref="B954">IFERROR(MIN(IF(Raw!$A$2:$A$26=MHT!A954,Raw!$B$2:$B$20)),"")</f>
        <v/>
      </c>
      <c r="C954" s="13" t="str">
        <f t="array" ref="C954">IFERROR(MIN(IF(Raw!$A$2:$A$26=MHT!A954,Raw!$C$2:$C$20)),"")</f>
        <v/>
      </c>
      <c r="D954" s="14" t="str">
        <f t="array" ref="D954">IF(Raw!D947="","",IFERROR(MAX(IF(Raw!$A$2:$A$26=MHT!A954,Raw!$D$2:$D$20)),""))</f>
        <v/>
      </c>
      <c r="E954" s="6" t="str">
        <f>IF(SUMIF(Raw!$A$2:$A$500, MHT!A954, Raw!$F$2:$F$500) = TIME(0,0,0), "", SUMIF(Raw!$A$2:$A$500, MHT!A954, Raw!$F$2:$F$500))</f>
        <v/>
      </c>
      <c r="F954" s="12" t="str">
        <f t="array" ref="F954">IF(A954="", "", IF(COUNTIF(Raw!$H$1:$I$500, A954) &gt; 0, "Done", IF(COUNTIF(Raw!$J$1:$J$500, A954) &gt; 0, "Pause", IF(COUNTIF(Raw!$K$1:$K$500, A954) &gt; 0, "On-Going", "Pause"))))</f>
        <v/>
      </c>
      <c r="G954" s="51"/>
      <c r="H954" s="50"/>
    </row>
    <row r="955" spans="1:8" x14ac:dyDescent="0.4">
      <c r="A955" s="61"/>
      <c r="B955" s="16" t="str">
        <f t="array" ref="B955">IFERROR(MIN(IF(Raw!$A$2:$A$26=MHT!A955,Raw!$B$2:$B$20)),"")</f>
        <v/>
      </c>
      <c r="C955" s="13" t="str">
        <f t="array" ref="C955">IFERROR(MIN(IF(Raw!$A$2:$A$26=MHT!A955,Raw!$C$2:$C$20)),"")</f>
        <v/>
      </c>
      <c r="D955" s="14" t="str">
        <f t="array" ref="D955">IF(Raw!D948="","",IFERROR(MAX(IF(Raw!$A$2:$A$26=MHT!A955,Raw!$D$2:$D$20)),""))</f>
        <v/>
      </c>
      <c r="E955" s="6" t="str">
        <f>IF(SUMIF(Raw!$A$2:$A$500, MHT!A955, Raw!$F$2:$F$500) = TIME(0,0,0), "", SUMIF(Raw!$A$2:$A$500, MHT!A955, Raw!$F$2:$F$500))</f>
        <v/>
      </c>
      <c r="F955" s="12" t="str">
        <f t="array" ref="F955">IF(A955="", "", IF(COUNTIF(Raw!$H$1:$I$500, A955) &gt; 0, "Done", IF(COUNTIF(Raw!$J$1:$J$500, A955) &gt; 0, "Pause", IF(COUNTIF(Raw!$K$1:$K$500, A955) &gt; 0, "On-Going", "Pause"))))</f>
        <v/>
      </c>
      <c r="G955" s="51"/>
      <c r="H955" s="50"/>
    </row>
    <row r="956" spans="1:8" x14ac:dyDescent="0.4">
      <c r="A956" s="61"/>
      <c r="B956" s="16" t="str">
        <f t="array" ref="B956">IFERROR(MIN(IF(Raw!$A$2:$A$26=MHT!A956,Raw!$B$2:$B$20)),"")</f>
        <v/>
      </c>
      <c r="C956" s="13" t="str">
        <f t="array" ref="C956">IFERROR(MIN(IF(Raw!$A$2:$A$26=MHT!A956,Raw!$C$2:$C$20)),"")</f>
        <v/>
      </c>
      <c r="D956" s="14" t="str">
        <f t="array" ref="D956">IF(Raw!D949="","",IFERROR(MAX(IF(Raw!$A$2:$A$26=MHT!A956,Raw!$D$2:$D$20)),""))</f>
        <v/>
      </c>
      <c r="E956" s="6" t="str">
        <f>IF(SUMIF(Raw!$A$2:$A$500, MHT!A956, Raw!$F$2:$F$500) = TIME(0,0,0), "", SUMIF(Raw!$A$2:$A$500, MHT!A956, Raw!$F$2:$F$500))</f>
        <v/>
      </c>
      <c r="F956" s="12" t="str">
        <f t="array" ref="F956">IF(A956="", "", IF(COUNTIF(Raw!$H$1:$I$500, A956) &gt; 0, "Done", IF(COUNTIF(Raw!$J$1:$J$500, A956) &gt; 0, "Pause", IF(COUNTIF(Raw!$K$1:$K$500, A956) &gt; 0, "On-Going", "Pause"))))</f>
        <v/>
      </c>
      <c r="G956" s="51"/>
      <c r="H956" s="50"/>
    </row>
    <row r="957" spans="1:8" x14ac:dyDescent="0.4">
      <c r="A957" s="61"/>
      <c r="B957" s="16" t="str">
        <f t="array" ref="B957">IFERROR(MIN(IF(Raw!$A$2:$A$26=MHT!A957,Raw!$B$2:$B$20)),"")</f>
        <v/>
      </c>
      <c r="C957" s="13" t="str">
        <f t="array" ref="C957">IFERROR(MIN(IF(Raw!$A$2:$A$26=MHT!A957,Raw!$C$2:$C$20)),"")</f>
        <v/>
      </c>
      <c r="D957" s="14" t="str">
        <f t="array" ref="D957">IF(Raw!D950="","",IFERROR(MAX(IF(Raw!$A$2:$A$26=MHT!A957,Raw!$D$2:$D$20)),""))</f>
        <v/>
      </c>
      <c r="E957" s="6" t="str">
        <f>IF(SUMIF(Raw!$A$2:$A$500, MHT!A957, Raw!$F$2:$F$500) = TIME(0,0,0), "", SUMIF(Raw!$A$2:$A$500, MHT!A957, Raw!$F$2:$F$500))</f>
        <v/>
      </c>
      <c r="F957" s="12" t="str">
        <f t="array" ref="F957">IF(A957="", "", IF(COUNTIF(Raw!$H$1:$I$500, A957) &gt; 0, "Done", IF(COUNTIF(Raw!$J$1:$J$500, A957) &gt; 0, "Pause", IF(COUNTIF(Raw!$K$1:$K$500, A957) &gt; 0, "On-Going", "Pause"))))</f>
        <v/>
      </c>
      <c r="G957" s="51"/>
      <c r="H957" s="50"/>
    </row>
    <row r="958" spans="1:8" x14ac:dyDescent="0.4">
      <c r="A958" s="61"/>
      <c r="B958" s="16" t="str">
        <f t="array" ref="B958">IFERROR(MIN(IF(Raw!$A$2:$A$26=MHT!A958,Raw!$B$2:$B$20)),"")</f>
        <v/>
      </c>
      <c r="C958" s="13" t="str">
        <f t="array" ref="C958">IFERROR(MIN(IF(Raw!$A$2:$A$26=MHT!A958,Raw!$C$2:$C$20)),"")</f>
        <v/>
      </c>
      <c r="D958" s="14" t="str">
        <f t="array" ref="D958">IF(Raw!D951="","",IFERROR(MAX(IF(Raw!$A$2:$A$26=MHT!A958,Raw!$D$2:$D$20)),""))</f>
        <v/>
      </c>
      <c r="E958" s="6" t="str">
        <f>IF(SUMIF(Raw!$A$2:$A$500, MHT!A958, Raw!$F$2:$F$500) = TIME(0,0,0), "", SUMIF(Raw!$A$2:$A$500, MHT!A958, Raw!$F$2:$F$500))</f>
        <v/>
      </c>
      <c r="F958" s="12" t="str">
        <f t="array" ref="F958">IF(A958="", "", IF(COUNTIF(Raw!$H$1:$I$500, A958) &gt; 0, "Done", IF(COUNTIF(Raw!$J$1:$J$500, A958) &gt; 0, "Pause", IF(COUNTIF(Raw!$K$1:$K$500, A958) &gt; 0, "On-Going", "Pause"))))</f>
        <v/>
      </c>
      <c r="G958" s="51"/>
      <c r="H958" s="50"/>
    </row>
    <row r="959" spans="1:8" x14ac:dyDescent="0.4">
      <c r="A959" s="61"/>
      <c r="B959" s="16" t="str">
        <f t="array" ref="B959">IFERROR(MIN(IF(Raw!$A$2:$A$26=MHT!A959,Raw!$B$2:$B$20)),"")</f>
        <v/>
      </c>
      <c r="C959" s="13" t="str">
        <f t="array" ref="C959">IFERROR(MIN(IF(Raw!$A$2:$A$26=MHT!A959,Raw!$C$2:$C$20)),"")</f>
        <v/>
      </c>
      <c r="D959" s="14" t="str">
        <f t="array" ref="D959">IF(Raw!D952="","",IFERROR(MAX(IF(Raw!$A$2:$A$26=MHT!A959,Raw!$D$2:$D$20)),""))</f>
        <v/>
      </c>
      <c r="E959" s="6" t="str">
        <f>IF(SUMIF(Raw!$A$2:$A$500, MHT!A959, Raw!$F$2:$F$500) = TIME(0,0,0), "", SUMIF(Raw!$A$2:$A$500, MHT!A959, Raw!$F$2:$F$500))</f>
        <v/>
      </c>
      <c r="F959" s="12" t="str">
        <f t="array" ref="F959">IF(A959="", "", IF(COUNTIF(Raw!$H$1:$I$500, A959) &gt; 0, "Done", IF(COUNTIF(Raw!$J$1:$J$500, A959) &gt; 0, "Pause", IF(COUNTIF(Raw!$K$1:$K$500, A959) &gt; 0, "On-Going", "Pause"))))</f>
        <v/>
      </c>
      <c r="G959" s="51"/>
      <c r="H959" s="50"/>
    </row>
    <row r="960" spans="1:8" x14ac:dyDescent="0.4">
      <c r="A960" s="61"/>
      <c r="B960" s="16" t="str">
        <f t="array" ref="B960">IFERROR(MIN(IF(Raw!$A$2:$A$26=MHT!A960,Raw!$B$2:$B$20)),"")</f>
        <v/>
      </c>
      <c r="C960" s="13" t="str">
        <f t="array" ref="C960">IFERROR(MIN(IF(Raw!$A$2:$A$26=MHT!A960,Raw!$C$2:$C$20)),"")</f>
        <v/>
      </c>
      <c r="D960" s="14" t="str">
        <f t="array" ref="D960">IF(Raw!D953="","",IFERROR(MAX(IF(Raw!$A$2:$A$26=MHT!A960,Raw!$D$2:$D$20)),""))</f>
        <v/>
      </c>
      <c r="E960" s="6" t="str">
        <f>IF(SUMIF(Raw!$A$2:$A$500, MHT!A960, Raw!$F$2:$F$500) = TIME(0,0,0), "", SUMIF(Raw!$A$2:$A$500, MHT!A960, Raw!$F$2:$F$500))</f>
        <v/>
      </c>
      <c r="F960" s="12" t="str">
        <f t="array" ref="F960">IF(A960="", "", IF(COUNTIF(Raw!$H$1:$I$500, A960) &gt; 0, "Done", IF(COUNTIF(Raw!$J$1:$J$500, A960) &gt; 0, "Pause", IF(COUNTIF(Raw!$K$1:$K$500, A960) &gt; 0, "On-Going", "Pause"))))</f>
        <v/>
      </c>
      <c r="G960" s="51"/>
      <c r="H960" s="50"/>
    </row>
    <row r="961" spans="1:8" x14ac:dyDescent="0.4">
      <c r="A961" s="61"/>
      <c r="B961" s="16" t="str">
        <f t="array" ref="B961">IFERROR(MIN(IF(Raw!$A$2:$A$26=MHT!A961,Raw!$B$2:$B$20)),"")</f>
        <v/>
      </c>
      <c r="C961" s="13" t="str">
        <f t="array" ref="C961">IFERROR(MIN(IF(Raw!$A$2:$A$26=MHT!A961,Raw!$C$2:$C$20)),"")</f>
        <v/>
      </c>
      <c r="D961" s="14" t="str">
        <f t="array" ref="D961">IF(Raw!D954="","",IFERROR(MAX(IF(Raw!$A$2:$A$26=MHT!A961,Raw!$D$2:$D$20)),""))</f>
        <v/>
      </c>
      <c r="E961" s="6" t="str">
        <f>IF(SUMIF(Raw!$A$2:$A$500, MHT!A961, Raw!$F$2:$F$500) = TIME(0,0,0), "", SUMIF(Raw!$A$2:$A$500, MHT!A961, Raw!$F$2:$F$500))</f>
        <v/>
      </c>
      <c r="F961" s="12" t="str">
        <f t="array" ref="F961">IF(A961="", "", IF(COUNTIF(Raw!$H$1:$I$500, A961) &gt; 0, "Done", IF(COUNTIF(Raw!$J$1:$J$500, A961) &gt; 0, "Pause", IF(COUNTIF(Raw!$K$1:$K$500, A961) &gt; 0, "On-Going", "Pause"))))</f>
        <v/>
      </c>
      <c r="G961" s="51"/>
      <c r="H961" s="50"/>
    </row>
    <row r="962" spans="1:8" x14ac:dyDescent="0.4">
      <c r="A962" s="61"/>
      <c r="B962" s="16" t="str">
        <f t="array" ref="B962">IFERROR(MIN(IF(Raw!$A$2:$A$26=MHT!A962,Raw!$B$2:$B$20)),"")</f>
        <v/>
      </c>
      <c r="C962" s="13" t="str">
        <f t="array" ref="C962">IFERROR(MIN(IF(Raw!$A$2:$A$26=MHT!A962,Raw!$C$2:$C$20)),"")</f>
        <v/>
      </c>
      <c r="D962" s="14" t="str">
        <f t="array" ref="D962">IF(Raw!D955="","",IFERROR(MAX(IF(Raw!$A$2:$A$26=MHT!A962,Raw!$D$2:$D$20)),""))</f>
        <v/>
      </c>
      <c r="E962" s="6" t="str">
        <f>IF(SUMIF(Raw!$A$2:$A$500, MHT!A962, Raw!$F$2:$F$500) = TIME(0,0,0), "", SUMIF(Raw!$A$2:$A$500, MHT!A962, Raw!$F$2:$F$500))</f>
        <v/>
      </c>
      <c r="F962" s="12" t="str">
        <f t="array" ref="F962">IF(A962="", "", IF(COUNTIF(Raw!$H$1:$I$500, A962) &gt; 0, "Done", IF(COUNTIF(Raw!$J$1:$J$500, A962) &gt; 0, "Pause", IF(COUNTIF(Raw!$K$1:$K$500, A962) &gt; 0, "On-Going", "Pause"))))</f>
        <v/>
      </c>
      <c r="G962" s="51"/>
      <c r="H962" s="50"/>
    </row>
    <row r="963" spans="1:8" x14ac:dyDescent="0.4">
      <c r="A963" s="61"/>
      <c r="B963" s="16" t="str">
        <f t="array" ref="B963">IFERROR(MIN(IF(Raw!$A$2:$A$26=MHT!A963,Raw!$B$2:$B$20)),"")</f>
        <v/>
      </c>
      <c r="C963" s="13" t="str">
        <f t="array" ref="C963">IFERROR(MIN(IF(Raw!$A$2:$A$26=MHT!A963,Raw!$C$2:$C$20)),"")</f>
        <v/>
      </c>
      <c r="D963" s="14" t="str">
        <f t="array" ref="D963">IF(Raw!D956="","",IFERROR(MAX(IF(Raw!$A$2:$A$26=MHT!A963,Raw!$D$2:$D$20)),""))</f>
        <v/>
      </c>
      <c r="E963" s="6" t="str">
        <f>IF(SUMIF(Raw!$A$2:$A$500, MHT!A963, Raw!$F$2:$F$500) = TIME(0,0,0), "", SUMIF(Raw!$A$2:$A$500, MHT!A963, Raw!$F$2:$F$500))</f>
        <v/>
      </c>
      <c r="F963" s="12" t="str">
        <f t="array" ref="F963">IF(A963="", "", IF(COUNTIF(Raw!$H$1:$I$500, A963) &gt; 0, "Done", IF(COUNTIF(Raw!$J$1:$J$500, A963) &gt; 0, "Pause", IF(COUNTIF(Raw!$K$1:$K$500, A963) &gt; 0, "On-Going", "Pause"))))</f>
        <v/>
      </c>
      <c r="G963" s="51"/>
      <c r="H963" s="50"/>
    </row>
    <row r="964" spans="1:8" x14ac:dyDescent="0.4">
      <c r="A964" s="61"/>
      <c r="B964" s="16" t="str">
        <f t="array" ref="B964">IFERROR(MIN(IF(Raw!$A$2:$A$26=MHT!A964,Raw!$B$2:$B$20)),"")</f>
        <v/>
      </c>
      <c r="C964" s="13" t="str">
        <f t="array" ref="C964">IFERROR(MIN(IF(Raw!$A$2:$A$26=MHT!A964,Raw!$C$2:$C$20)),"")</f>
        <v/>
      </c>
      <c r="D964" s="14" t="str">
        <f t="array" ref="D964">IF(Raw!D957="","",IFERROR(MAX(IF(Raw!$A$2:$A$26=MHT!A964,Raw!$D$2:$D$20)),""))</f>
        <v/>
      </c>
      <c r="E964" s="6" t="str">
        <f>IF(SUMIF(Raw!$A$2:$A$500, MHT!A964, Raw!$F$2:$F$500) = TIME(0,0,0), "", SUMIF(Raw!$A$2:$A$500, MHT!A964, Raw!$F$2:$F$500))</f>
        <v/>
      </c>
      <c r="F964" s="12" t="str">
        <f t="array" ref="F964">IF(A964="", "", IF(COUNTIF(Raw!$H$1:$I$500, A964) &gt; 0, "Done", IF(COUNTIF(Raw!$J$1:$J$500, A964) &gt; 0, "Pause", IF(COUNTIF(Raw!$K$1:$K$500, A964) &gt; 0, "On-Going", "Pause"))))</f>
        <v/>
      </c>
      <c r="G964" s="51"/>
      <c r="H964" s="50"/>
    </row>
    <row r="965" spans="1:8" x14ac:dyDescent="0.4">
      <c r="A965" s="61"/>
      <c r="B965" s="16" t="str">
        <f t="array" ref="B965">IFERROR(MIN(IF(Raw!$A$2:$A$26=MHT!A965,Raw!$B$2:$B$20)),"")</f>
        <v/>
      </c>
      <c r="C965" s="13" t="str">
        <f t="array" ref="C965">IFERROR(MIN(IF(Raw!$A$2:$A$26=MHT!A965,Raw!$C$2:$C$20)),"")</f>
        <v/>
      </c>
      <c r="D965" s="14" t="str">
        <f t="array" ref="D965">IF(Raw!D958="","",IFERROR(MAX(IF(Raw!$A$2:$A$26=MHT!A965,Raw!$D$2:$D$20)),""))</f>
        <v/>
      </c>
      <c r="E965" s="6" t="str">
        <f>IF(SUMIF(Raw!$A$2:$A$500, MHT!A965, Raw!$F$2:$F$500) = TIME(0,0,0), "", SUMIF(Raw!$A$2:$A$500, MHT!A965, Raw!$F$2:$F$500))</f>
        <v/>
      </c>
      <c r="F965" s="12" t="str">
        <f t="array" ref="F965">IF(A965="", "", IF(COUNTIF(Raw!$H$1:$I$500, A965) &gt; 0, "Done", IF(COUNTIF(Raw!$J$1:$J$500, A965) &gt; 0, "Pause", IF(COUNTIF(Raw!$K$1:$K$500, A965) &gt; 0, "On-Going", "Pause"))))</f>
        <v/>
      </c>
      <c r="G965" s="51"/>
      <c r="H965" s="50"/>
    </row>
    <row r="966" spans="1:8" x14ac:dyDescent="0.4">
      <c r="A966" s="61"/>
      <c r="B966" s="16" t="str">
        <f t="array" ref="B966">IFERROR(MIN(IF(Raw!$A$2:$A$26=MHT!A966,Raw!$B$2:$B$20)),"")</f>
        <v/>
      </c>
      <c r="C966" s="13" t="str">
        <f t="array" ref="C966">IFERROR(MIN(IF(Raw!$A$2:$A$26=MHT!A966,Raw!$C$2:$C$20)),"")</f>
        <v/>
      </c>
      <c r="D966" s="14" t="str">
        <f t="array" ref="D966">IF(Raw!D959="","",IFERROR(MAX(IF(Raw!$A$2:$A$26=MHT!A966,Raw!$D$2:$D$20)),""))</f>
        <v/>
      </c>
      <c r="E966" s="6" t="str">
        <f>IF(SUMIF(Raw!$A$2:$A$500, MHT!A966, Raw!$F$2:$F$500) = TIME(0,0,0), "", SUMIF(Raw!$A$2:$A$500, MHT!A966, Raw!$F$2:$F$500))</f>
        <v/>
      </c>
      <c r="F966" s="12" t="str">
        <f t="array" ref="F966">IF(A966="", "", IF(COUNTIF(Raw!$H$1:$I$500, A966) &gt; 0, "Done", IF(COUNTIF(Raw!$J$1:$J$500, A966) &gt; 0, "Pause", IF(COUNTIF(Raw!$K$1:$K$500, A966) &gt; 0, "On-Going", "Pause"))))</f>
        <v/>
      </c>
      <c r="G966" s="51"/>
      <c r="H966" s="50"/>
    </row>
    <row r="967" spans="1:8" x14ac:dyDescent="0.4">
      <c r="A967" s="61"/>
      <c r="B967" s="16" t="str">
        <f t="array" ref="B967">IFERROR(MIN(IF(Raw!$A$2:$A$26=MHT!A967,Raw!$B$2:$B$20)),"")</f>
        <v/>
      </c>
      <c r="C967" s="13" t="str">
        <f t="array" ref="C967">IFERROR(MIN(IF(Raw!$A$2:$A$26=MHT!A967,Raw!$C$2:$C$20)),"")</f>
        <v/>
      </c>
      <c r="D967" s="14" t="str">
        <f t="array" ref="D967">IF(Raw!D960="","",IFERROR(MAX(IF(Raw!$A$2:$A$26=MHT!A967,Raw!$D$2:$D$20)),""))</f>
        <v/>
      </c>
      <c r="E967" s="6" t="str">
        <f>IF(SUMIF(Raw!$A$2:$A$500, MHT!A967, Raw!$F$2:$F$500) = TIME(0,0,0), "", SUMIF(Raw!$A$2:$A$500, MHT!A967, Raw!$F$2:$F$500))</f>
        <v/>
      </c>
      <c r="F967" s="12" t="str">
        <f t="array" ref="F967">IF(A967="", "", IF(COUNTIF(Raw!$H$1:$I$500, A967) &gt; 0, "Done", IF(COUNTIF(Raw!$J$1:$J$500, A967) &gt; 0, "Pause", IF(COUNTIF(Raw!$K$1:$K$500, A967) &gt; 0, "On-Going", "Pause"))))</f>
        <v/>
      </c>
      <c r="G967" s="51"/>
      <c r="H967" s="50"/>
    </row>
    <row r="968" spans="1:8" x14ac:dyDescent="0.4">
      <c r="A968" s="61"/>
      <c r="B968" s="16" t="str">
        <f t="array" ref="B968">IFERROR(MIN(IF(Raw!$A$2:$A$26=MHT!A968,Raw!$B$2:$B$20)),"")</f>
        <v/>
      </c>
      <c r="C968" s="13" t="str">
        <f t="array" ref="C968">IFERROR(MIN(IF(Raw!$A$2:$A$26=MHT!A968,Raw!$C$2:$C$20)),"")</f>
        <v/>
      </c>
      <c r="D968" s="14" t="str">
        <f t="array" ref="D968">IF(Raw!D961="","",IFERROR(MAX(IF(Raw!$A$2:$A$26=MHT!A968,Raw!$D$2:$D$20)),""))</f>
        <v/>
      </c>
      <c r="E968" s="6" t="str">
        <f>IF(SUMIF(Raw!$A$2:$A$500, MHT!A968, Raw!$F$2:$F$500) = TIME(0,0,0), "", SUMIF(Raw!$A$2:$A$500, MHT!A968, Raw!$F$2:$F$500))</f>
        <v/>
      </c>
      <c r="F968" s="12" t="str">
        <f t="array" ref="F968">IF(A968="", "", IF(COUNTIF(Raw!$H$1:$I$500, A968) &gt; 0, "Done", IF(COUNTIF(Raw!$J$1:$J$500, A968) &gt; 0, "Pause", IF(COUNTIF(Raw!$K$1:$K$500, A968) &gt; 0, "On-Going", "Pause"))))</f>
        <v/>
      </c>
      <c r="G968" s="51"/>
      <c r="H968" s="50"/>
    </row>
    <row r="969" spans="1:8" x14ac:dyDescent="0.4">
      <c r="A969" s="61"/>
      <c r="B969" s="16" t="str">
        <f t="array" ref="B969">IFERROR(MIN(IF(Raw!$A$2:$A$26=MHT!A969,Raw!$B$2:$B$20)),"")</f>
        <v/>
      </c>
      <c r="C969" s="13" t="str">
        <f t="array" ref="C969">IFERROR(MIN(IF(Raw!$A$2:$A$26=MHT!A969,Raw!$C$2:$C$20)),"")</f>
        <v/>
      </c>
      <c r="D969" s="14" t="str">
        <f t="array" ref="D969">IF(Raw!D962="","",IFERROR(MAX(IF(Raw!$A$2:$A$26=MHT!A969,Raw!$D$2:$D$20)),""))</f>
        <v/>
      </c>
      <c r="E969" s="6" t="str">
        <f>IF(SUMIF(Raw!$A$2:$A$500, MHT!A969, Raw!$F$2:$F$500) = TIME(0,0,0), "", SUMIF(Raw!$A$2:$A$500, MHT!A969, Raw!$F$2:$F$500))</f>
        <v/>
      </c>
      <c r="F969" s="12" t="str">
        <f t="array" ref="F969">IF(A969="", "", IF(COUNTIF(Raw!$H$1:$I$500, A969) &gt; 0, "Done", IF(COUNTIF(Raw!$J$1:$J$500, A969) &gt; 0, "Pause", IF(COUNTIF(Raw!$K$1:$K$500, A969) &gt; 0, "On-Going", "Pause"))))</f>
        <v/>
      </c>
      <c r="G969" s="51"/>
      <c r="H969" s="50"/>
    </row>
    <row r="970" spans="1:8" x14ac:dyDescent="0.4">
      <c r="A970" s="61"/>
      <c r="B970" s="16" t="str">
        <f t="array" ref="B970">IFERROR(MIN(IF(Raw!$A$2:$A$26=MHT!A970,Raw!$B$2:$B$20)),"")</f>
        <v/>
      </c>
      <c r="C970" s="13" t="str">
        <f t="array" ref="C970">IFERROR(MIN(IF(Raw!$A$2:$A$26=MHT!A970,Raw!$C$2:$C$20)),"")</f>
        <v/>
      </c>
      <c r="D970" s="14" t="str">
        <f t="array" ref="D970">IF(Raw!D963="","",IFERROR(MAX(IF(Raw!$A$2:$A$26=MHT!A970,Raw!$D$2:$D$20)),""))</f>
        <v/>
      </c>
      <c r="E970" s="6" t="str">
        <f>IF(SUMIF(Raw!$A$2:$A$500, MHT!A970, Raw!$F$2:$F$500) = TIME(0,0,0), "", SUMIF(Raw!$A$2:$A$500, MHT!A970, Raw!$F$2:$F$500))</f>
        <v/>
      </c>
      <c r="F970" s="12" t="str">
        <f t="array" ref="F970">IF(A970="", "", IF(COUNTIF(Raw!$H$1:$I$500, A970) &gt; 0, "Done", IF(COUNTIF(Raw!$J$1:$J$500, A970) &gt; 0, "Pause", IF(COUNTIF(Raw!$K$1:$K$500, A970) &gt; 0, "On-Going", "Pause"))))</f>
        <v/>
      </c>
      <c r="G970" s="51"/>
      <c r="H970" s="50"/>
    </row>
    <row r="971" spans="1:8" x14ac:dyDescent="0.4">
      <c r="A971" s="61"/>
      <c r="B971" s="16" t="str">
        <f t="array" ref="B971">IFERROR(MIN(IF(Raw!$A$2:$A$26=MHT!A971,Raw!$B$2:$B$20)),"")</f>
        <v/>
      </c>
      <c r="C971" s="13" t="str">
        <f t="array" ref="C971">IFERROR(MIN(IF(Raw!$A$2:$A$26=MHT!A971,Raw!$C$2:$C$20)),"")</f>
        <v/>
      </c>
      <c r="D971" s="14" t="str">
        <f t="array" ref="D971">IF(Raw!D964="","",IFERROR(MAX(IF(Raw!$A$2:$A$26=MHT!A971,Raw!$D$2:$D$20)),""))</f>
        <v/>
      </c>
      <c r="E971" s="6" t="str">
        <f>IF(SUMIF(Raw!$A$2:$A$500, MHT!A971, Raw!$F$2:$F$500) = TIME(0,0,0), "", SUMIF(Raw!$A$2:$A$500, MHT!A971, Raw!$F$2:$F$500))</f>
        <v/>
      </c>
      <c r="F971" s="12" t="str">
        <f t="array" ref="F971">IF(A971="", "", IF(COUNTIF(Raw!$H$1:$I$500, A971) &gt; 0, "Done", IF(COUNTIF(Raw!$J$1:$J$500, A971) &gt; 0, "Pause", IF(COUNTIF(Raw!$K$1:$K$500, A971) &gt; 0, "On-Going", "Pause"))))</f>
        <v/>
      </c>
      <c r="G971" s="51"/>
      <c r="H971" s="50"/>
    </row>
    <row r="972" spans="1:8" x14ac:dyDescent="0.4">
      <c r="A972" s="61"/>
      <c r="B972" s="16" t="str">
        <f t="array" ref="B972">IFERROR(MIN(IF(Raw!$A$2:$A$26=MHT!A972,Raw!$B$2:$B$20)),"")</f>
        <v/>
      </c>
      <c r="C972" s="13" t="str">
        <f t="array" ref="C972">IFERROR(MIN(IF(Raw!$A$2:$A$26=MHT!A972,Raw!$C$2:$C$20)),"")</f>
        <v/>
      </c>
      <c r="D972" s="14" t="str">
        <f t="array" ref="D972">IF(Raw!D965="","",IFERROR(MAX(IF(Raw!$A$2:$A$26=MHT!A972,Raw!$D$2:$D$20)),""))</f>
        <v/>
      </c>
      <c r="E972" s="6" t="str">
        <f>IF(SUMIF(Raw!$A$2:$A$500, MHT!A972, Raw!$F$2:$F$500) = TIME(0,0,0), "", SUMIF(Raw!$A$2:$A$500, MHT!A972, Raw!$F$2:$F$500))</f>
        <v/>
      </c>
      <c r="F972" s="12" t="str">
        <f t="array" ref="F972">IF(A972="", "", IF(COUNTIF(Raw!$H$1:$I$500, A972) &gt; 0, "Done", IF(COUNTIF(Raw!$J$1:$J$500, A972) &gt; 0, "Pause", IF(COUNTIF(Raw!$K$1:$K$500, A972) &gt; 0, "On-Going", "Pause"))))</f>
        <v/>
      </c>
      <c r="G972" s="51"/>
      <c r="H972" s="50"/>
    </row>
    <row r="973" spans="1:8" x14ac:dyDescent="0.4">
      <c r="A973" s="61"/>
      <c r="B973" s="16" t="str">
        <f t="array" ref="B973">IFERROR(MIN(IF(Raw!$A$2:$A$26=MHT!A973,Raw!$B$2:$B$20)),"")</f>
        <v/>
      </c>
      <c r="C973" s="13" t="str">
        <f t="array" ref="C973">IFERROR(MIN(IF(Raw!$A$2:$A$26=MHT!A973,Raw!$C$2:$C$20)),"")</f>
        <v/>
      </c>
      <c r="D973" s="14" t="str">
        <f t="array" ref="D973">IF(Raw!D966="","",IFERROR(MAX(IF(Raw!$A$2:$A$26=MHT!A973,Raw!$D$2:$D$20)),""))</f>
        <v/>
      </c>
      <c r="E973" s="6" t="str">
        <f>IF(SUMIF(Raw!$A$2:$A$500, MHT!A973, Raw!$F$2:$F$500) = TIME(0,0,0), "", SUMIF(Raw!$A$2:$A$500, MHT!A973, Raw!$F$2:$F$500))</f>
        <v/>
      </c>
      <c r="F973" s="12" t="str">
        <f t="array" ref="F973">IF(A973="", "", IF(COUNTIF(Raw!$H$1:$I$500, A973) &gt; 0, "Done", IF(COUNTIF(Raw!$J$1:$J$500, A973) &gt; 0, "Pause", IF(COUNTIF(Raw!$K$1:$K$500, A973) &gt; 0, "On-Going", "Pause"))))</f>
        <v/>
      </c>
      <c r="G973" s="51"/>
      <c r="H973" s="50"/>
    </row>
    <row r="974" spans="1:8" x14ac:dyDescent="0.4">
      <c r="A974" s="61"/>
      <c r="B974" s="16" t="str">
        <f t="array" ref="B974">IFERROR(MIN(IF(Raw!$A$2:$A$26=MHT!A974,Raw!$B$2:$B$20)),"")</f>
        <v/>
      </c>
      <c r="C974" s="13" t="str">
        <f t="array" ref="C974">IFERROR(MIN(IF(Raw!$A$2:$A$26=MHT!A974,Raw!$C$2:$C$20)),"")</f>
        <v/>
      </c>
      <c r="D974" s="14" t="str">
        <f t="array" ref="D974">IF(Raw!D967="","",IFERROR(MAX(IF(Raw!$A$2:$A$26=MHT!A974,Raw!$D$2:$D$20)),""))</f>
        <v/>
      </c>
      <c r="E974" s="6" t="str">
        <f>IF(SUMIF(Raw!$A$2:$A$500, MHT!A974, Raw!$F$2:$F$500) = TIME(0,0,0), "", SUMIF(Raw!$A$2:$A$500, MHT!A974, Raw!$F$2:$F$500))</f>
        <v/>
      </c>
      <c r="F974" s="12" t="str">
        <f t="array" ref="F974">IF(A974="", "", IF(COUNTIF(Raw!$H$1:$I$500, A974) &gt; 0, "Done", IF(COUNTIF(Raw!$J$1:$J$500, A974) &gt; 0, "Pause", IF(COUNTIF(Raw!$K$1:$K$500, A974) &gt; 0, "On-Going", "Pause"))))</f>
        <v/>
      </c>
      <c r="G974" s="51"/>
      <c r="H974" s="50"/>
    </row>
    <row r="975" spans="1:8" x14ac:dyDescent="0.4">
      <c r="A975" s="61"/>
      <c r="B975" s="16" t="str">
        <f t="array" ref="B975">IFERROR(MIN(IF(Raw!$A$2:$A$26=MHT!A975,Raw!$B$2:$B$20)),"")</f>
        <v/>
      </c>
      <c r="C975" s="13" t="str">
        <f t="array" ref="C975">IFERROR(MIN(IF(Raw!$A$2:$A$26=MHT!A975,Raw!$C$2:$C$20)),"")</f>
        <v/>
      </c>
      <c r="D975" s="14" t="str">
        <f t="array" ref="D975">IF(Raw!D968="","",IFERROR(MAX(IF(Raw!$A$2:$A$26=MHT!A975,Raw!$D$2:$D$20)),""))</f>
        <v/>
      </c>
      <c r="E975" s="6" t="str">
        <f>IF(SUMIF(Raw!$A$2:$A$500, MHT!A975, Raw!$F$2:$F$500) = TIME(0,0,0), "", SUMIF(Raw!$A$2:$A$500, MHT!A975, Raw!$F$2:$F$500))</f>
        <v/>
      </c>
      <c r="F975" s="12" t="str">
        <f t="array" ref="F975">IF(A975="", "", IF(COUNTIF(Raw!$H$1:$I$500, A975) &gt; 0, "Done", IF(COUNTIF(Raw!$J$1:$J$500, A975) &gt; 0, "Pause", IF(COUNTIF(Raw!$K$1:$K$500, A975) &gt; 0, "On-Going", "Pause"))))</f>
        <v/>
      </c>
      <c r="G975" s="51"/>
      <c r="H975" s="50"/>
    </row>
    <row r="976" spans="1:8" x14ac:dyDescent="0.4">
      <c r="A976" s="61"/>
      <c r="B976" s="16" t="str">
        <f t="array" ref="B976">IFERROR(MIN(IF(Raw!$A$2:$A$26=MHT!A976,Raw!$B$2:$B$20)),"")</f>
        <v/>
      </c>
      <c r="C976" s="13" t="str">
        <f t="array" ref="C976">IFERROR(MIN(IF(Raw!$A$2:$A$26=MHT!A976,Raw!$C$2:$C$20)),"")</f>
        <v/>
      </c>
      <c r="D976" s="14" t="str">
        <f t="array" ref="D976">IF(Raw!D969="","",IFERROR(MAX(IF(Raw!$A$2:$A$26=MHT!A976,Raw!$D$2:$D$20)),""))</f>
        <v/>
      </c>
      <c r="E976" s="6" t="str">
        <f>IF(SUMIF(Raw!$A$2:$A$500, MHT!A976, Raw!$F$2:$F$500) = TIME(0,0,0), "", SUMIF(Raw!$A$2:$A$500, MHT!A976, Raw!$F$2:$F$500))</f>
        <v/>
      </c>
      <c r="F976" s="12" t="str">
        <f t="array" ref="F976">IF(A976="", "", IF(COUNTIF(Raw!$H$1:$I$500, A976) &gt; 0, "Done", IF(COUNTIF(Raw!$J$1:$J$500, A976) &gt; 0, "Pause", IF(COUNTIF(Raw!$K$1:$K$500, A976) &gt; 0, "On-Going", "Pause"))))</f>
        <v/>
      </c>
      <c r="G976" s="51"/>
      <c r="H976" s="50"/>
    </row>
    <row r="977" spans="1:8" x14ac:dyDescent="0.4">
      <c r="A977" s="61"/>
      <c r="B977" s="16" t="str">
        <f t="array" ref="B977">IFERROR(MIN(IF(Raw!$A$2:$A$26=MHT!A977,Raw!$B$2:$B$20)),"")</f>
        <v/>
      </c>
      <c r="C977" s="13" t="str">
        <f t="array" ref="C977">IFERROR(MIN(IF(Raw!$A$2:$A$26=MHT!A977,Raw!$C$2:$C$20)),"")</f>
        <v/>
      </c>
      <c r="D977" s="14" t="str">
        <f t="array" ref="D977">IF(Raw!D970="","",IFERROR(MAX(IF(Raw!$A$2:$A$26=MHT!A977,Raw!$D$2:$D$20)),""))</f>
        <v/>
      </c>
      <c r="E977" s="6" t="str">
        <f>IF(SUMIF(Raw!$A$2:$A$500, MHT!A977, Raw!$F$2:$F$500) = TIME(0,0,0), "", SUMIF(Raw!$A$2:$A$500, MHT!A977, Raw!$F$2:$F$500))</f>
        <v/>
      </c>
      <c r="F977" s="12" t="str">
        <f t="array" ref="F977">IF(A977="", "", IF(COUNTIF(Raw!$H$1:$I$500, A977) &gt; 0, "Done", IF(COUNTIF(Raw!$J$1:$J$500, A977) &gt; 0, "Pause", IF(COUNTIF(Raw!$K$1:$K$500, A977) &gt; 0, "On-Going", "Pause"))))</f>
        <v/>
      </c>
      <c r="G977" s="51"/>
      <c r="H977" s="50"/>
    </row>
    <row r="978" spans="1:8" x14ac:dyDescent="0.4">
      <c r="A978" s="61"/>
      <c r="B978" s="16" t="str">
        <f t="array" ref="B978">IFERROR(MIN(IF(Raw!$A$2:$A$26=MHT!A978,Raw!$B$2:$B$20)),"")</f>
        <v/>
      </c>
      <c r="C978" s="13" t="str">
        <f t="array" ref="C978">IFERROR(MIN(IF(Raw!$A$2:$A$26=MHT!A978,Raw!$C$2:$C$20)),"")</f>
        <v/>
      </c>
      <c r="D978" s="14" t="str">
        <f t="array" ref="D978">IF(Raw!D971="","",IFERROR(MAX(IF(Raw!$A$2:$A$26=MHT!A978,Raw!$D$2:$D$20)),""))</f>
        <v/>
      </c>
      <c r="E978" s="6" t="str">
        <f>IF(SUMIF(Raw!$A$2:$A$500, MHT!A978, Raw!$F$2:$F$500) = TIME(0,0,0), "", SUMIF(Raw!$A$2:$A$500, MHT!A978, Raw!$F$2:$F$500))</f>
        <v/>
      </c>
      <c r="F978" s="12" t="str">
        <f t="array" ref="F978">IF(A978="", "", IF(COUNTIF(Raw!$H$1:$I$500, A978) &gt; 0, "Done", IF(COUNTIF(Raw!$J$1:$J$500, A978) &gt; 0, "Pause", IF(COUNTIF(Raw!$K$1:$K$500, A978) &gt; 0, "On-Going", "Pause"))))</f>
        <v/>
      </c>
      <c r="G978" s="51"/>
      <c r="H978" s="50"/>
    </row>
    <row r="979" spans="1:8" x14ac:dyDescent="0.4">
      <c r="A979" s="61"/>
      <c r="B979" s="16" t="str">
        <f t="array" ref="B979">IFERROR(MIN(IF(Raw!$A$2:$A$26=MHT!A979,Raw!$B$2:$B$20)),"")</f>
        <v/>
      </c>
      <c r="C979" s="13" t="str">
        <f t="array" ref="C979">IFERROR(MIN(IF(Raw!$A$2:$A$26=MHT!A979,Raw!$C$2:$C$20)),"")</f>
        <v/>
      </c>
      <c r="D979" s="14" t="str">
        <f t="array" ref="D979">IF(Raw!D972="","",IFERROR(MAX(IF(Raw!$A$2:$A$26=MHT!A979,Raw!$D$2:$D$20)),""))</f>
        <v/>
      </c>
      <c r="E979" s="6" t="str">
        <f>IF(SUMIF(Raw!$A$2:$A$500, MHT!A979, Raw!$F$2:$F$500) = TIME(0,0,0), "", SUMIF(Raw!$A$2:$A$500, MHT!A979, Raw!$F$2:$F$500))</f>
        <v/>
      </c>
      <c r="F979" s="12" t="str">
        <f t="array" ref="F979">IF(A979="", "", IF(COUNTIF(Raw!$H$1:$I$500, A979) &gt; 0, "Done", IF(COUNTIF(Raw!$J$1:$J$500, A979) &gt; 0, "Pause", IF(COUNTIF(Raw!$K$1:$K$500, A979) &gt; 0, "On-Going", "Pause"))))</f>
        <v/>
      </c>
      <c r="G979" s="51"/>
      <c r="H979" s="50"/>
    </row>
    <row r="980" spans="1:8" x14ac:dyDescent="0.4">
      <c r="A980" s="61"/>
      <c r="B980" s="16" t="str">
        <f t="array" ref="B980">IFERROR(MIN(IF(Raw!$A$2:$A$26=MHT!A980,Raw!$B$2:$B$20)),"")</f>
        <v/>
      </c>
      <c r="C980" s="13" t="str">
        <f t="array" ref="C980">IFERROR(MIN(IF(Raw!$A$2:$A$26=MHT!A980,Raw!$C$2:$C$20)),"")</f>
        <v/>
      </c>
      <c r="D980" s="14" t="str">
        <f t="array" ref="D980">IF(Raw!D973="","",IFERROR(MAX(IF(Raw!$A$2:$A$26=MHT!A980,Raw!$D$2:$D$20)),""))</f>
        <v/>
      </c>
      <c r="E980" s="6" t="str">
        <f>IF(SUMIF(Raw!$A$2:$A$500, MHT!A980, Raw!$F$2:$F$500) = TIME(0,0,0), "", SUMIF(Raw!$A$2:$A$500, MHT!A980, Raw!$F$2:$F$500))</f>
        <v/>
      </c>
      <c r="F980" s="12" t="str">
        <f t="array" ref="F980">IF(A980="", "", IF(COUNTIF(Raw!$H$1:$I$500, A980) &gt; 0, "Done", IF(COUNTIF(Raw!$J$1:$J$500, A980) &gt; 0, "Pause", IF(COUNTIF(Raw!$K$1:$K$500, A980) &gt; 0, "On-Going", "Pause"))))</f>
        <v/>
      </c>
      <c r="G980" s="51"/>
      <c r="H980" s="50"/>
    </row>
    <row r="981" spans="1:8" x14ac:dyDescent="0.4">
      <c r="A981" s="61"/>
      <c r="B981" s="16" t="str">
        <f t="array" ref="B981">IFERROR(MIN(IF(Raw!$A$2:$A$26=MHT!A981,Raw!$B$2:$B$20)),"")</f>
        <v/>
      </c>
      <c r="C981" s="13" t="str">
        <f t="array" ref="C981">IFERROR(MIN(IF(Raw!$A$2:$A$26=MHT!A981,Raw!$C$2:$C$20)),"")</f>
        <v/>
      </c>
      <c r="D981" s="14" t="str">
        <f t="array" ref="D981">IF(Raw!D974="","",IFERROR(MAX(IF(Raw!$A$2:$A$26=MHT!A981,Raw!$D$2:$D$20)),""))</f>
        <v/>
      </c>
      <c r="E981" s="6" t="str">
        <f>IF(SUMIF(Raw!$A$2:$A$500, MHT!A981, Raw!$F$2:$F$500) = TIME(0,0,0), "", SUMIF(Raw!$A$2:$A$500, MHT!A981, Raw!$F$2:$F$500))</f>
        <v/>
      </c>
      <c r="F981" s="12" t="str">
        <f t="array" ref="F981">IF(A981="", "", IF(COUNTIF(Raw!$H$1:$I$500, A981) &gt; 0, "Done", IF(COUNTIF(Raw!$J$1:$J$500, A981) &gt; 0, "Pause", IF(COUNTIF(Raw!$K$1:$K$500, A981) &gt; 0, "On-Going", "Pause"))))</f>
        <v/>
      </c>
      <c r="G981" s="51"/>
      <c r="H981" s="50"/>
    </row>
    <row r="982" spans="1:8" x14ac:dyDescent="0.4">
      <c r="A982" s="61"/>
      <c r="B982" s="16" t="str">
        <f t="array" ref="B982">IFERROR(MIN(IF(Raw!$A$2:$A$26=MHT!A982,Raw!$B$2:$B$20)),"")</f>
        <v/>
      </c>
      <c r="C982" s="13" t="str">
        <f t="array" ref="C982">IFERROR(MIN(IF(Raw!$A$2:$A$26=MHT!A982,Raw!$C$2:$C$20)),"")</f>
        <v/>
      </c>
      <c r="D982" s="14" t="str">
        <f t="array" ref="D982">IF(Raw!D975="","",IFERROR(MAX(IF(Raw!$A$2:$A$26=MHT!A982,Raw!$D$2:$D$20)),""))</f>
        <v/>
      </c>
      <c r="E982" s="6" t="str">
        <f>IF(SUMIF(Raw!$A$2:$A$500, MHT!A982, Raw!$F$2:$F$500) = TIME(0,0,0), "", SUMIF(Raw!$A$2:$A$500, MHT!A982, Raw!$F$2:$F$500))</f>
        <v/>
      </c>
      <c r="F982" s="12" t="str">
        <f t="array" ref="F982">IF(A982="", "", IF(COUNTIF(Raw!$H$1:$I$500, A982) &gt; 0, "Done", IF(COUNTIF(Raw!$J$1:$J$500, A982) &gt; 0, "Pause", IF(COUNTIF(Raw!$K$1:$K$500, A982) &gt; 0, "On-Going", "Pause"))))</f>
        <v/>
      </c>
      <c r="G982" s="51"/>
      <c r="H982" s="50"/>
    </row>
    <row r="983" spans="1:8" x14ac:dyDescent="0.4">
      <c r="A983" s="61"/>
      <c r="B983" s="16" t="str">
        <f t="array" ref="B983">IFERROR(MIN(IF(Raw!$A$2:$A$26=MHT!A983,Raw!$B$2:$B$20)),"")</f>
        <v/>
      </c>
      <c r="C983" s="13" t="str">
        <f t="array" ref="C983">IFERROR(MIN(IF(Raw!$A$2:$A$26=MHT!A983,Raw!$C$2:$C$20)),"")</f>
        <v/>
      </c>
      <c r="D983" s="14" t="str">
        <f t="array" ref="D983">IF(Raw!D976="","",IFERROR(MAX(IF(Raw!$A$2:$A$26=MHT!A983,Raw!$D$2:$D$20)),""))</f>
        <v/>
      </c>
      <c r="E983" s="6" t="str">
        <f>IF(SUMIF(Raw!$A$2:$A$500, MHT!A983, Raw!$F$2:$F$500) = TIME(0,0,0), "", SUMIF(Raw!$A$2:$A$500, MHT!A983, Raw!$F$2:$F$500))</f>
        <v/>
      </c>
      <c r="F983" s="12" t="str">
        <f t="array" ref="F983">IF(A983="", "", IF(COUNTIF(Raw!$H$1:$I$500, A983) &gt; 0, "Done", IF(COUNTIF(Raw!$J$1:$J$500, A983) &gt; 0, "Pause", IF(COUNTIF(Raw!$K$1:$K$500, A983) &gt; 0, "On-Going", "Pause"))))</f>
        <v/>
      </c>
      <c r="G983" s="51"/>
      <c r="H983" s="50"/>
    </row>
    <row r="984" spans="1:8" x14ac:dyDescent="0.4">
      <c r="A984" s="61"/>
      <c r="B984" s="16" t="str">
        <f t="array" ref="B984">IFERROR(MIN(IF(Raw!$A$2:$A$26=MHT!A984,Raw!$B$2:$B$20)),"")</f>
        <v/>
      </c>
      <c r="C984" s="13" t="str">
        <f t="array" ref="C984">IFERROR(MIN(IF(Raw!$A$2:$A$26=MHT!A984,Raw!$C$2:$C$20)),"")</f>
        <v/>
      </c>
      <c r="D984" s="14" t="str">
        <f t="array" ref="D984">IF(Raw!D977="","",IFERROR(MAX(IF(Raw!$A$2:$A$26=MHT!A984,Raw!$D$2:$D$20)),""))</f>
        <v/>
      </c>
      <c r="E984" s="6" t="str">
        <f>IF(SUMIF(Raw!$A$2:$A$500, MHT!A984, Raw!$F$2:$F$500) = TIME(0,0,0), "", SUMIF(Raw!$A$2:$A$500, MHT!A984, Raw!$F$2:$F$500))</f>
        <v/>
      </c>
      <c r="F984" s="12" t="str">
        <f t="array" ref="F984">IF(A984="", "", IF(COUNTIF(Raw!$H$1:$I$500, A984) &gt; 0, "Done", IF(COUNTIF(Raw!$J$1:$J$500, A984) &gt; 0, "Pause", IF(COUNTIF(Raw!$K$1:$K$500, A984) &gt; 0, "On-Going", "Pause"))))</f>
        <v/>
      </c>
      <c r="G984" s="51"/>
      <c r="H984" s="50"/>
    </row>
    <row r="985" spans="1:8" x14ac:dyDescent="0.4">
      <c r="A985" s="61"/>
      <c r="B985" s="16" t="str">
        <f t="array" ref="B985">IFERROR(MIN(IF(Raw!$A$2:$A$26=MHT!A985,Raw!$B$2:$B$20)),"")</f>
        <v/>
      </c>
      <c r="C985" s="13" t="str">
        <f t="array" ref="C985">IFERROR(MIN(IF(Raw!$A$2:$A$26=MHT!A985,Raw!$C$2:$C$20)),"")</f>
        <v/>
      </c>
      <c r="D985" s="14" t="str">
        <f t="array" ref="D985">IF(Raw!D978="","",IFERROR(MAX(IF(Raw!$A$2:$A$26=MHT!A985,Raw!$D$2:$D$20)),""))</f>
        <v/>
      </c>
      <c r="E985" s="6" t="str">
        <f>IF(SUMIF(Raw!$A$2:$A$500, MHT!A985, Raw!$F$2:$F$500) = TIME(0,0,0), "", SUMIF(Raw!$A$2:$A$500, MHT!A985, Raw!$F$2:$F$500))</f>
        <v/>
      </c>
      <c r="F985" s="12" t="str">
        <f t="array" ref="F985">IF(A985="", "", IF(COUNTIF(Raw!$H$1:$I$500, A985) &gt; 0, "Done", IF(COUNTIF(Raw!$J$1:$J$500, A985) &gt; 0, "Pause", IF(COUNTIF(Raw!$K$1:$K$500, A985) &gt; 0, "On-Going", "Pause"))))</f>
        <v/>
      </c>
      <c r="G985" s="51"/>
      <c r="H985" s="50"/>
    </row>
    <row r="986" spans="1:8" x14ac:dyDescent="0.4">
      <c r="A986" s="61"/>
      <c r="B986" s="16" t="str">
        <f t="array" ref="B986">IFERROR(MIN(IF(Raw!$A$2:$A$26=MHT!A986,Raw!$B$2:$B$20)),"")</f>
        <v/>
      </c>
      <c r="C986" s="13" t="str">
        <f t="array" ref="C986">IFERROR(MIN(IF(Raw!$A$2:$A$26=MHT!A986,Raw!$C$2:$C$20)),"")</f>
        <v/>
      </c>
      <c r="D986" s="14" t="str">
        <f t="array" ref="D986">IF(Raw!D979="","",IFERROR(MAX(IF(Raw!$A$2:$A$26=MHT!A986,Raw!$D$2:$D$20)),""))</f>
        <v/>
      </c>
      <c r="E986" s="6" t="str">
        <f>IF(SUMIF(Raw!$A$2:$A$500, MHT!A986, Raw!$F$2:$F$500) = TIME(0,0,0), "", SUMIF(Raw!$A$2:$A$500, MHT!A986, Raw!$F$2:$F$500))</f>
        <v/>
      </c>
      <c r="F986" s="12" t="str">
        <f t="array" ref="F986">IF(A986="", "", IF(COUNTIF(Raw!$H$1:$I$500, A986) &gt; 0, "Done", IF(COUNTIF(Raw!$J$1:$J$500, A986) &gt; 0, "Pause", IF(COUNTIF(Raw!$K$1:$K$500, A986) &gt; 0, "On-Going", "Pause"))))</f>
        <v/>
      </c>
      <c r="G986" s="51"/>
      <c r="H986" s="50"/>
    </row>
    <row r="987" spans="1:8" x14ac:dyDescent="0.4">
      <c r="A987" s="61"/>
      <c r="B987" s="16" t="str">
        <f t="array" ref="B987">IFERROR(MIN(IF(Raw!$A$2:$A$26=MHT!A987,Raw!$B$2:$B$20)),"")</f>
        <v/>
      </c>
      <c r="C987" s="13" t="str">
        <f t="array" ref="C987">IFERROR(MIN(IF(Raw!$A$2:$A$26=MHT!A987,Raw!$C$2:$C$20)),"")</f>
        <v/>
      </c>
      <c r="D987" s="14" t="str">
        <f t="array" ref="D987">IF(Raw!D980="","",IFERROR(MAX(IF(Raw!$A$2:$A$26=MHT!A987,Raw!$D$2:$D$20)),""))</f>
        <v/>
      </c>
      <c r="E987" s="6" t="str">
        <f>IF(SUMIF(Raw!$A$2:$A$500, MHT!A987, Raw!$F$2:$F$500) = TIME(0,0,0), "", SUMIF(Raw!$A$2:$A$500, MHT!A987, Raw!$F$2:$F$500))</f>
        <v/>
      </c>
      <c r="F987" s="12" t="str">
        <f t="array" ref="F987">IF(A987="", "", IF(COUNTIF(Raw!$H$1:$I$500, A987) &gt; 0, "Done", IF(COUNTIF(Raw!$J$1:$J$500, A987) &gt; 0, "Pause", IF(COUNTIF(Raw!$K$1:$K$500, A987) &gt; 0, "On-Going", "Pause"))))</f>
        <v/>
      </c>
      <c r="G987" s="51"/>
      <c r="H987" s="50"/>
    </row>
    <row r="988" spans="1:8" x14ac:dyDescent="0.4">
      <c r="A988" s="61"/>
      <c r="B988" s="16" t="str">
        <f t="array" ref="B988">IFERROR(MIN(IF(Raw!$A$2:$A$26=MHT!A988,Raw!$B$2:$B$20)),"")</f>
        <v/>
      </c>
      <c r="C988" s="13" t="str">
        <f t="array" ref="C988">IFERROR(MIN(IF(Raw!$A$2:$A$26=MHT!A988,Raw!$C$2:$C$20)),"")</f>
        <v/>
      </c>
      <c r="D988" s="14" t="str">
        <f t="array" ref="D988">IF(Raw!D981="","",IFERROR(MAX(IF(Raw!$A$2:$A$26=MHT!A988,Raw!$D$2:$D$20)),""))</f>
        <v/>
      </c>
      <c r="E988" s="6" t="str">
        <f>IF(SUMIF(Raw!$A$2:$A$500, MHT!A988, Raw!$F$2:$F$500) = TIME(0,0,0), "", SUMIF(Raw!$A$2:$A$500, MHT!A988, Raw!$F$2:$F$500))</f>
        <v/>
      </c>
      <c r="F988" s="12" t="str">
        <f t="array" ref="F988">IF(A988="", "", IF(COUNTIF(Raw!$H$1:$I$500, A988) &gt; 0, "Done", IF(COUNTIF(Raw!$J$1:$J$500, A988) &gt; 0, "Pause", IF(COUNTIF(Raw!$K$1:$K$500, A988) &gt; 0, "On-Going", "Pause"))))</f>
        <v/>
      </c>
      <c r="G988" s="51"/>
      <c r="H988" s="50"/>
    </row>
    <row r="989" spans="1:8" x14ac:dyDescent="0.4">
      <c r="A989" s="61"/>
      <c r="B989" s="16" t="str">
        <f t="array" ref="B989">IFERROR(MIN(IF(Raw!$A$2:$A$26=MHT!A989,Raw!$B$2:$B$20)),"")</f>
        <v/>
      </c>
      <c r="C989" s="13" t="str">
        <f t="array" ref="C989">IFERROR(MIN(IF(Raw!$A$2:$A$26=MHT!A989,Raw!$C$2:$C$20)),"")</f>
        <v/>
      </c>
      <c r="D989" s="14" t="str">
        <f t="array" ref="D989">IF(Raw!D982="","",IFERROR(MAX(IF(Raw!$A$2:$A$26=MHT!A989,Raw!$D$2:$D$20)),""))</f>
        <v/>
      </c>
      <c r="E989" s="6" t="str">
        <f>IF(SUMIF(Raw!$A$2:$A$500, MHT!A989, Raw!$F$2:$F$500) = TIME(0,0,0), "", SUMIF(Raw!$A$2:$A$500, MHT!A989, Raw!$F$2:$F$500))</f>
        <v/>
      </c>
      <c r="F989" s="12" t="str">
        <f t="array" ref="F989">IF(A989="", "", IF(COUNTIF(Raw!$H$1:$I$500, A989) &gt; 0, "Done", IF(COUNTIF(Raw!$J$1:$J$500, A989) &gt; 0, "Pause", IF(COUNTIF(Raw!$K$1:$K$500, A989) &gt; 0, "On-Going", "Pause"))))</f>
        <v/>
      </c>
      <c r="G989" s="51"/>
      <c r="H989" s="50"/>
    </row>
    <row r="990" spans="1:8" x14ac:dyDescent="0.4">
      <c r="A990" s="61"/>
      <c r="B990" s="16" t="str">
        <f t="array" ref="B990">IFERROR(MIN(IF(Raw!$A$2:$A$26=MHT!A990,Raw!$B$2:$B$20)),"")</f>
        <v/>
      </c>
      <c r="C990" s="13" t="str">
        <f t="array" ref="C990">IFERROR(MIN(IF(Raw!$A$2:$A$26=MHT!A990,Raw!$C$2:$C$20)),"")</f>
        <v/>
      </c>
      <c r="D990" s="14" t="str">
        <f t="array" ref="D990">IF(Raw!D983="","",IFERROR(MAX(IF(Raw!$A$2:$A$26=MHT!A990,Raw!$D$2:$D$20)),""))</f>
        <v/>
      </c>
      <c r="E990" s="6" t="str">
        <f>IF(SUMIF(Raw!$A$2:$A$500, MHT!A990, Raw!$F$2:$F$500) = TIME(0,0,0), "", SUMIF(Raw!$A$2:$A$500, MHT!A990, Raw!$F$2:$F$500))</f>
        <v/>
      </c>
      <c r="F990" s="12" t="str">
        <f t="array" ref="F990">IF(A990="", "", IF(COUNTIF(Raw!$H$1:$I$500, A990) &gt; 0, "Done", IF(COUNTIF(Raw!$J$1:$J$500, A990) &gt; 0, "Pause", IF(COUNTIF(Raw!$K$1:$K$500, A990) &gt; 0, "On-Going", "Pause"))))</f>
        <v/>
      </c>
      <c r="G990" s="51"/>
      <c r="H990" s="50"/>
    </row>
    <row r="991" spans="1:8" x14ac:dyDescent="0.4">
      <c r="A991" s="61"/>
      <c r="B991" s="16" t="str">
        <f t="array" ref="B991">IFERROR(MIN(IF(Raw!$A$2:$A$26=MHT!A991,Raw!$B$2:$B$20)),"")</f>
        <v/>
      </c>
      <c r="C991" s="13" t="str">
        <f t="array" ref="C991">IFERROR(MIN(IF(Raw!$A$2:$A$26=MHT!A991,Raw!$C$2:$C$20)),"")</f>
        <v/>
      </c>
      <c r="D991" s="14" t="str">
        <f t="array" ref="D991">IF(Raw!D984="","",IFERROR(MAX(IF(Raw!$A$2:$A$26=MHT!A991,Raw!$D$2:$D$20)),""))</f>
        <v/>
      </c>
      <c r="E991" s="6" t="str">
        <f>IF(SUMIF(Raw!$A$2:$A$500, MHT!A991, Raw!$F$2:$F$500) = TIME(0,0,0), "", SUMIF(Raw!$A$2:$A$500, MHT!A991, Raw!$F$2:$F$500))</f>
        <v/>
      </c>
      <c r="F991" s="12" t="str">
        <f t="array" ref="F991">IF(A991="", "", IF(COUNTIF(Raw!$H$1:$I$500, A991) &gt; 0, "Done", IF(COUNTIF(Raw!$J$1:$J$500, A991) &gt; 0, "Pause", IF(COUNTIF(Raw!$K$1:$K$500, A991) &gt; 0, "On-Going", "Pause"))))</f>
        <v/>
      </c>
      <c r="G991" s="51"/>
      <c r="H991" s="50"/>
    </row>
    <row r="992" spans="1:8" x14ac:dyDescent="0.4">
      <c r="A992" s="61"/>
      <c r="B992" s="16" t="str">
        <f t="array" ref="B992">IFERROR(MIN(IF(Raw!$A$2:$A$26=MHT!A992,Raw!$B$2:$B$20)),"")</f>
        <v/>
      </c>
      <c r="C992" s="13" t="str">
        <f t="array" ref="C992">IFERROR(MIN(IF(Raw!$A$2:$A$26=MHT!A992,Raw!$C$2:$C$20)),"")</f>
        <v/>
      </c>
      <c r="D992" s="14" t="str">
        <f t="array" ref="D992">IF(Raw!D985="","",IFERROR(MAX(IF(Raw!$A$2:$A$26=MHT!A992,Raw!$D$2:$D$20)),""))</f>
        <v/>
      </c>
      <c r="E992" s="6" t="str">
        <f>IF(SUMIF(Raw!$A$2:$A$500, MHT!A992, Raw!$F$2:$F$500) = TIME(0,0,0), "", SUMIF(Raw!$A$2:$A$500, MHT!A992, Raw!$F$2:$F$500))</f>
        <v/>
      </c>
      <c r="F992" s="12" t="str">
        <f t="array" ref="F992">IF(A992="", "", IF(COUNTIF(Raw!$H$1:$I$500, A992) &gt; 0, "Done", IF(COUNTIF(Raw!$J$1:$J$500, A992) &gt; 0, "Pause", IF(COUNTIF(Raw!$K$1:$K$500, A992) &gt; 0, "On-Going", "Pause"))))</f>
        <v/>
      </c>
      <c r="G992" s="51"/>
      <c r="H992" s="50"/>
    </row>
    <row r="993" spans="1:9" x14ac:dyDescent="0.4">
      <c r="A993" s="61"/>
      <c r="B993" s="16" t="str">
        <f t="array" ref="B993">IFERROR(MIN(IF(Raw!$A$2:$A$26=MHT!A993,Raw!$B$2:$B$20)),"")</f>
        <v/>
      </c>
      <c r="C993" s="13" t="str">
        <f t="array" ref="C993">IFERROR(MIN(IF(Raw!$A$2:$A$26=MHT!A993,Raw!$C$2:$C$20)),"")</f>
        <v/>
      </c>
      <c r="D993" s="14" t="str">
        <f t="array" ref="D993">IF(Raw!D986="","",IFERROR(MAX(IF(Raw!$A$2:$A$26=MHT!A993,Raw!$D$2:$D$20)),""))</f>
        <v/>
      </c>
      <c r="E993" s="6" t="str">
        <f>IF(SUMIF(Raw!$A$2:$A$500, MHT!A993, Raw!$F$2:$F$500) = TIME(0,0,0), "", SUMIF(Raw!$A$2:$A$500, MHT!A993, Raw!$F$2:$F$500))</f>
        <v/>
      </c>
      <c r="F993" s="12" t="str">
        <f t="array" ref="F993">IF(A993="", "", IF(COUNTIF(Raw!$H$1:$I$500, A993) &gt; 0, "Done", IF(COUNTIF(Raw!$J$1:$J$500, A993) &gt; 0, "Pause", IF(COUNTIF(Raw!$K$1:$K$500, A993) &gt; 0, "On-Going", "Pause"))))</f>
        <v/>
      </c>
      <c r="G993" s="51"/>
      <c r="H993" s="50"/>
    </row>
    <row r="994" spans="1:9" x14ac:dyDescent="0.4">
      <c r="A994" s="61"/>
      <c r="B994" s="16" t="str">
        <f t="array" ref="B994">IFERROR(MIN(IF(Raw!$A$2:$A$26=MHT!A994,Raw!$B$2:$B$20)),"")</f>
        <v/>
      </c>
      <c r="C994" s="13" t="str">
        <f t="array" ref="C994">IFERROR(MIN(IF(Raw!$A$2:$A$26=MHT!A994,Raw!$C$2:$C$20)),"")</f>
        <v/>
      </c>
      <c r="D994" s="14" t="str">
        <f t="array" ref="D994">IF(Raw!D987="","",IFERROR(MAX(IF(Raw!$A$2:$A$26=MHT!A994,Raw!$D$2:$D$20)),""))</f>
        <v/>
      </c>
      <c r="E994" s="6" t="str">
        <f>IF(SUMIF(Raw!$A$2:$A$500, MHT!A994, Raw!$F$2:$F$500) = TIME(0,0,0), "", SUMIF(Raw!$A$2:$A$500, MHT!A994, Raw!$F$2:$F$500))</f>
        <v/>
      </c>
      <c r="F994" s="12" t="str">
        <f t="array" ref="F994">IF(A994="", "", IF(COUNTIF(Raw!$H$1:$I$500, A994) &gt; 0, "Done", IF(COUNTIF(Raw!$J$1:$J$500, A994) &gt; 0, "Pause", IF(COUNTIF(Raw!$K$1:$K$500, A994) &gt; 0, "On-Going", "Pause"))))</f>
        <v/>
      </c>
      <c r="G994" s="51"/>
      <c r="H994" s="50"/>
    </row>
    <row r="995" spans="1:9" x14ac:dyDescent="0.4">
      <c r="A995" s="61"/>
      <c r="B995" s="16" t="str">
        <f t="array" ref="B995">IFERROR(MIN(IF(Raw!$A$2:$A$26=MHT!A995,Raw!$B$2:$B$20)),"")</f>
        <v/>
      </c>
      <c r="C995" s="13" t="str">
        <f t="array" ref="C995">IFERROR(MIN(IF(Raw!$A$2:$A$26=MHT!A995,Raw!$C$2:$C$20)),"")</f>
        <v/>
      </c>
      <c r="D995" s="14" t="str">
        <f t="array" ref="D995">IF(Raw!D988="","",IFERROR(MAX(IF(Raw!$A$2:$A$26=MHT!A995,Raw!$D$2:$D$20)),""))</f>
        <v/>
      </c>
      <c r="E995" s="6" t="str">
        <f>IF(SUMIF(Raw!$A$2:$A$500, MHT!A995, Raw!$F$2:$F$500) = TIME(0,0,0), "", SUMIF(Raw!$A$2:$A$500, MHT!A995, Raw!$F$2:$F$500))</f>
        <v/>
      </c>
      <c r="F995" s="12" t="str">
        <f t="array" ref="F995">IF(A995="", "", IF(COUNTIF(Raw!$H$1:$I$500, A995) &gt; 0, "Done", IF(COUNTIF(Raw!$J$1:$J$500, A995) &gt; 0, "Pause", IF(COUNTIF(Raw!$K$1:$K$500, A995) &gt; 0, "On-Going", "Pause"))))</f>
        <v/>
      </c>
      <c r="G995" s="51"/>
      <c r="H995" s="50"/>
    </row>
    <row r="996" spans="1:9" x14ac:dyDescent="0.4">
      <c r="A996" s="61"/>
      <c r="B996" s="16" t="str">
        <f t="array" ref="B996">IFERROR(MIN(IF(Raw!$A$2:$A$26=MHT!A996,Raw!$B$2:$B$20)),"")</f>
        <v/>
      </c>
      <c r="C996" s="13" t="str">
        <f t="array" ref="C996">IFERROR(MIN(IF(Raw!$A$2:$A$26=MHT!A996,Raw!$C$2:$C$20)),"")</f>
        <v/>
      </c>
      <c r="D996" s="14" t="str">
        <f t="array" ref="D996">IF(Raw!D989="","",IFERROR(MAX(IF(Raw!$A$2:$A$26=MHT!A996,Raw!$D$2:$D$20)),""))</f>
        <v/>
      </c>
      <c r="E996" s="6" t="str">
        <f>IF(SUMIF(Raw!$A$2:$A$500, MHT!A996, Raw!$F$2:$F$500) = TIME(0,0,0), "", SUMIF(Raw!$A$2:$A$500, MHT!A996, Raw!$F$2:$F$500))</f>
        <v/>
      </c>
      <c r="F996" s="12" t="str">
        <f t="array" ref="F996">IF(A996="", "", IF(COUNTIF(Raw!$H$1:$I$500, A996) &gt; 0, "Done", IF(COUNTIF(Raw!$J$1:$J$500, A996) &gt; 0, "Pause", IF(COUNTIF(Raw!$K$1:$K$500, A996) &gt; 0, "On-Going", "Pause"))))</f>
        <v/>
      </c>
      <c r="G996" s="51"/>
      <c r="H996" s="50"/>
    </row>
    <row r="997" spans="1:9" x14ac:dyDescent="0.4">
      <c r="A997" s="61"/>
      <c r="B997" s="16" t="str">
        <f t="array" ref="B997">IFERROR(MIN(IF(Raw!$A$2:$A$26=MHT!A997,Raw!$B$2:$B$20)),"")</f>
        <v/>
      </c>
      <c r="C997" s="13" t="str">
        <f t="array" ref="C997">IFERROR(MIN(IF(Raw!$A$2:$A$26=MHT!A997,Raw!$C$2:$C$20)),"")</f>
        <v/>
      </c>
      <c r="D997" s="14" t="str">
        <f t="array" ref="D997">IF(Raw!D990="","",IFERROR(MAX(IF(Raw!$A$2:$A$26=MHT!A997,Raw!$D$2:$D$20)),""))</f>
        <v/>
      </c>
      <c r="E997" s="6" t="str">
        <f>IF(SUMIF(Raw!$A$2:$A$500, MHT!A997, Raw!$F$2:$F$500) = TIME(0,0,0), "", SUMIF(Raw!$A$2:$A$500, MHT!A997, Raw!$F$2:$F$500))</f>
        <v/>
      </c>
      <c r="F997" s="12" t="str">
        <f t="array" ref="F997">IF(A997="", "", IF(COUNTIF(Raw!$H$1:$I$500, A997) &gt; 0, "Done", IF(COUNTIF(Raw!$J$1:$J$500, A997) &gt; 0, "Pause", IF(COUNTIF(Raw!$K$1:$K$500, A997) &gt; 0, "On-Going", "Pause"))))</f>
        <v/>
      </c>
      <c r="G997" s="51"/>
      <c r="H997" s="50"/>
    </row>
    <row r="998" spans="1:9" x14ac:dyDescent="0.4">
      <c r="A998" s="61"/>
      <c r="B998" s="16" t="str">
        <f t="array" ref="B998">IFERROR(MIN(IF(Raw!$A$2:$A$26=MHT!A998,Raw!$B$2:$B$20)),"")</f>
        <v/>
      </c>
      <c r="C998" s="13" t="str">
        <f t="array" ref="C998">IFERROR(MIN(IF(Raw!$A$2:$A$26=MHT!A998,Raw!$C$2:$C$20)),"")</f>
        <v/>
      </c>
      <c r="D998" s="14" t="str">
        <f t="array" ref="D998">IF(Raw!D991="","",IFERROR(MAX(IF(Raw!$A$2:$A$26=MHT!A998,Raw!$D$2:$D$20)),""))</f>
        <v/>
      </c>
      <c r="E998" s="6" t="str">
        <f>IF(SUMIF(Raw!$A$2:$A$500, MHT!A998, Raw!$F$2:$F$500) = TIME(0,0,0), "", SUMIF(Raw!$A$2:$A$500, MHT!A998, Raw!$F$2:$F$500))</f>
        <v/>
      </c>
      <c r="F998" s="12" t="str">
        <f t="array" ref="F998">IF(A998="", "", IF(COUNTIF(Raw!$H$1:$I$500, A998) &gt; 0, "Done", IF(COUNTIF(Raw!$J$1:$J$500, A998) &gt; 0, "Pause", IF(COUNTIF(Raw!$K$1:$K$500, A998) &gt; 0, "On-Going", "Pause"))))</f>
        <v/>
      </c>
      <c r="G998" s="51"/>
      <c r="H998" s="50"/>
    </row>
    <row r="999" spans="1:9" x14ac:dyDescent="0.4">
      <c r="A999" s="61"/>
      <c r="B999" s="16" t="str">
        <f t="array" ref="B999">IFERROR(MIN(IF(Raw!$A$2:$A$26=MHT!A999,Raw!$B$2:$B$20)),"")</f>
        <v/>
      </c>
      <c r="C999" s="13" t="str">
        <f t="array" ref="C999">IFERROR(MIN(IF(Raw!$A$2:$A$26=MHT!A999,Raw!$C$2:$C$20)),"")</f>
        <v/>
      </c>
      <c r="D999" s="14" t="str">
        <f t="array" ref="D999">IF(Raw!D992="","",IFERROR(MAX(IF(Raw!$A$2:$A$26=MHT!A999,Raw!$D$2:$D$20)),""))</f>
        <v/>
      </c>
      <c r="E999" s="6" t="str">
        <f>IF(SUMIF(Raw!$A$2:$A$500, MHT!A999, Raw!$F$2:$F$500) = TIME(0,0,0), "", SUMIF(Raw!$A$2:$A$500, MHT!A999, Raw!$F$2:$F$500))</f>
        <v/>
      </c>
      <c r="F999" s="12" t="str">
        <f t="array" ref="F999">IF(A999="", "", IF(COUNTIF(Raw!$H$1:$I$500, A999) &gt; 0, "Done", IF(COUNTIF(Raw!$J$1:$J$500, A999) &gt; 0, "Pause", IF(COUNTIF(Raw!$K$1:$K$500, A999) &gt; 0, "On-Going", "Pause"))))</f>
        <v/>
      </c>
      <c r="G999" s="51"/>
      <c r="H999" s="50"/>
    </row>
    <row r="1000" spans="1:9" x14ac:dyDescent="0.4">
      <c r="A1000" s="61"/>
      <c r="B1000" s="16" t="str">
        <f t="array" ref="B1000">IFERROR(MIN(IF(Raw!$A$2:$A$26=MHT!A1000,Raw!$B$2:$B$20)),"")</f>
        <v/>
      </c>
      <c r="C1000" s="13" t="str">
        <f t="array" ref="C1000">IFERROR(MIN(IF(Raw!$A$2:$A$26=MHT!A1000,Raw!$C$2:$C$20)),"")</f>
        <v/>
      </c>
      <c r="D1000" s="14" t="str">
        <f t="array" ref="D1000">IF(Raw!D993="","",IFERROR(MAX(IF(Raw!$A$2:$A$26=MHT!A1000,Raw!$D$2:$D$20)),""))</f>
        <v/>
      </c>
      <c r="E1000" s="6" t="str">
        <f>IF(SUMIF(Raw!$A$2:$A$500, MHT!A1000, Raw!$F$2:$F$500) = TIME(0,0,0), "", SUMIF(Raw!$A$2:$A$500, MHT!A1000, Raw!$F$2:$F$500))</f>
        <v/>
      </c>
      <c r="F1000" s="12" t="str">
        <f t="array" ref="F1000">IF(A1000="", "", IF(COUNTIF(Raw!$H$1:$I$500, A1000) &gt; 0, "Done", IF(COUNTIF(Raw!$J$1:$J$500, A1000) &gt; 0, "Pause", IF(COUNTIF(Raw!$K$1:$K$500, A1000) &gt; 0, "On-Going", "Pause"))))</f>
        <v/>
      </c>
      <c r="G1000" s="51"/>
      <c r="H1000" s="50"/>
    </row>
    <row r="1001" spans="1:9" x14ac:dyDescent="0.4">
      <c r="A1001" s="61"/>
      <c r="B1001" s="16" t="str">
        <f t="array" ref="B1001">IFERROR(MIN(IF(Raw!$A$2:$A$26=MHT!A1001,Raw!$B$2:$B$20)),"")</f>
        <v/>
      </c>
      <c r="C1001" s="13" t="str">
        <f t="array" ref="C1001">IFERROR(MIN(IF(Raw!$A$2:$A$26=MHT!A1001,Raw!$C$2:$C$20)),"")</f>
        <v/>
      </c>
      <c r="D1001" s="14" t="str">
        <f t="array" ref="D1001">IF(Raw!D994="","",IFERROR(MAX(IF(Raw!$A$2:$A$26=MHT!A1001,Raw!$D$2:$D$20)),""))</f>
        <v/>
      </c>
      <c r="E1001" s="6" t="str">
        <f>IF(SUMIF(Raw!$A$2:$A$500, MHT!A1001, Raw!$F$2:$F$500) = TIME(0,0,0), "", SUMIF(Raw!$A$2:$A$500, MHT!A1001, Raw!$F$2:$F$500))</f>
        <v/>
      </c>
      <c r="F1001" s="12" t="str">
        <f t="array" ref="F1001">IF(A1001="", "", IF(COUNTIF(Raw!$H$1:$I$500, A1001) &gt; 0, "Done", IF(COUNTIF(Raw!$J$1:$J$500, A1001) &gt; 0, "Pause", IF(COUNTIF(Raw!$K$1:$K$500, A1001) &gt; 0, "On-Going", "Pause"))))</f>
        <v/>
      </c>
      <c r="G1001" s="51"/>
      <c r="H1001" s="50"/>
    </row>
    <row r="1002" spans="1:9" x14ac:dyDescent="0.4">
      <c r="A1002" s="61"/>
      <c r="B1002" s="16" t="str">
        <f t="array" ref="B1002">IFERROR(MIN(IF(Raw!$A$2:$A$26=MHT!A1002,Raw!$B$2:$B$20)),"")</f>
        <v/>
      </c>
      <c r="C1002" s="13" t="str">
        <f t="array" ref="C1002">IFERROR(MIN(IF(Raw!$A$2:$A$26=MHT!A1002,Raw!$C$2:$C$20)),"")</f>
        <v/>
      </c>
      <c r="D1002" s="14" t="str">
        <f t="array" ref="D1002">IF(Raw!D995="","",IFERROR(MAX(IF(Raw!$A$2:$A$26=MHT!A1002,Raw!$D$2:$D$20)),""))</f>
        <v/>
      </c>
      <c r="E1002" s="6" t="str">
        <f>IF(SUMIF(Raw!$A$2:$A$500, MHT!A1002, Raw!$F$2:$F$500) = TIME(0,0,0), "", SUMIF(Raw!$A$2:$A$500, MHT!A1002, Raw!$F$2:$F$500))</f>
        <v/>
      </c>
      <c r="F1002" s="12" t="str">
        <f t="array" ref="F1002">IF(A1002="", "", IF(COUNTIF(Raw!$H$1:$I$500, A1002) &gt; 0, "Done", IF(COUNTIF(Raw!$J$1:$J$500, A1002) &gt; 0, "Pause", IF(COUNTIF(Raw!$K$1:$K$500, A1002) &gt; 0, "On-Going", "Pause"))))</f>
        <v/>
      </c>
      <c r="G1002" s="51"/>
      <c r="H1002" s="50"/>
    </row>
    <row r="1003" spans="1:9" x14ac:dyDescent="0.4">
      <c r="A1003" s="61"/>
      <c r="B1003" s="16" t="str">
        <f t="array" ref="B1003">IFERROR(MIN(IF(Raw!$A$2:$A$26=MHT!A1003,Raw!$B$2:$B$20)),"")</f>
        <v/>
      </c>
      <c r="C1003" s="13" t="str">
        <f t="array" ref="C1003">IFERROR(MIN(IF(Raw!$A$2:$A$26=MHT!A1003,Raw!$C$2:$C$20)),"")</f>
        <v/>
      </c>
      <c r="D1003" s="14" t="str">
        <f t="array" ref="D1003">IF(Raw!D996="","",IFERROR(MAX(IF(Raw!$A$2:$A$26=MHT!A1003,Raw!$D$2:$D$20)),""))</f>
        <v/>
      </c>
      <c r="E1003" s="6" t="str">
        <f>IF(SUMIF(Raw!$A$2:$A$500, MHT!A1003, Raw!$F$2:$F$500) = TIME(0,0,0), "", SUMIF(Raw!$A$2:$A$500, MHT!A1003, Raw!$F$2:$F$500))</f>
        <v/>
      </c>
      <c r="F1003" s="12" t="str">
        <f t="array" ref="F1003">IF(A1003="", "", IF(COUNTIF(Raw!$H$1:$I$500, A1003) &gt; 0, "Done", IF(COUNTIF(Raw!$J$1:$J$500, A1003) &gt; 0, "Pause", IF(COUNTIF(Raw!$K$1:$K$500, A1003) &gt; 0, "On-Going", "Pause"))))</f>
        <v/>
      </c>
      <c r="G1003" s="51"/>
      <c r="H1003" s="50"/>
    </row>
    <row r="1004" spans="1:9" x14ac:dyDescent="0.4">
      <c r="B1004" s="16" t="str">
        <f t="array" ref="B1004">IFERROR(MIN(IF(Raw!$A$2:$A$26=MHT!A1004,Raw!$B$2:$B$20)),"")</f>
        <v/>
      </c>
      <c r="C1004" s="13" t="str">
        <f t="array" ref="C1004">IFERROR(MIN(IF(Raw!$A$2:$A$26=MHT!A1004,Raw!$C$2:$C$20)),"")</f>
        <v/>
      </c>
      <c r="D1004" s="14" t="str">
        <f t="array" ref="D1004">IF(Raw!D997="","",IFERROR(MAX(IF(Raw!$A$2:$A$26=MHT!A1004,Raw!$D$2:$D$20)),""))</f>
        <v/>
      </c>
      <c r="E1004" s="6" t="str">
        <f>IF(SUMIF(Raw!$A$2:$A$500, MHT!A1004, Raw!$F$2:$F$500) = TIME(0,0,0), "", SUMIF(Raw!$A$2:$A$500, MHT!A1004, Raw!$F$2:$F$500))</f>
        <v/>
      </c>
      <c r="F1004" s="12" t="str">
        <f t="array" ref="F1004">IF(A1004="", "", IF(COUNTIF(Raw!$H$1:$I$500, A1004) &gt; 0, "Done", IF(COUNTIF(Raw!$J$1:$J$500, A1004) &gt; 0, "Pause", IF(COUNTIF(Raw!$K$1:$K$500, A1004) &gt; 0, "On-Going", "Pause"))))</f>
        <v/>
      </c>
      <c r="G1004" s="24"/>
      <c r="H1004" s="24"/>
      <c r="I1004" s="24"/>
    </row>
    <row r="1005" spans="1:9" x14ac:dyDescent="0.4">
      <c r="B1005" s="16" t="str">
        <f t="array" ref="B1005">IFERROR(MIN(IF(Raw!$A$2:$A$26=MHT!A1005,Raw!$B$2:$B$20)),"")</f>
        <v/>
      </c>
      <c r="C1005" s="13" t="str">
        <f t="array" ref="C1005">IFERROR(MIN(IF(Raw!$A$2:$A$26=MHT!A1005,Raw!$C$2:$C$20)),"")</f>
        <v/>
      </c>
      <c r="D1005" s="14" t="str">
        <f t="array" ref="D1005">IF(Raw!D998="","",IFERROR(MAX(IF(Raw!$A$2:$A$26=MHT!A1005,Raw!$D$2:$D$20)),""))</f>
        <v/>
      </c>
      <c r="E1005" s="6" t="str">
        <f>IF(SUMIF(Raw!$A$2:$A$500, MHT!A1005, Raw!$F$2:$F$500) = TIME(0,0,0), "", SUMIF(Raw!$A$2:$A$500, MHT!A1005, Raw!$F$2:$F$500))</f>
        <v/>
      </c>
      <c r="F1005" s="12" t="str">
        <f t="array" ref="F1005">IF(A1005="", "", IF(COUNTIF(Raw!$H$1:$I$500, A1005) &gt; 0, "Done", IF(COUNTIF(Raw!$J$1:$J$500, A1005) &gt; 0, "Pause", IF(COUNTIF(Raw!$K$1:$K$500, A1005) &gt; 0, "On-Going", "Pause"))))</f>
        <v/>
      </c>
      <c r="G1005" s="24"/>
      <c r="H1005" s="24"/>
      <c r="I1005" s="24"/>
    </row>
    <row r="1006" spans="1:9" x14ac:dyDescent="0.4">
      <c r="B1006" s="16" t="str">
        <f t="array" ref="B1006">IFERROR(MIN(IF(Raw!$A$2:$A$26=MHT!A1006,Raw!$B$2:$B$20)),"")</f>
        <v/>
      </c>
      <c r="C1006" s="13" t="str">
        <f t="array" ref="C1006">IFERROR(MIN(IF(Raw!$A$2:$A$26=MHT!A1006,Raw!$C$2:$C$20)),"")</f>
        <v/>
      </c>
      <c r="D1006" s="14" t="str">
        <f t="array" ref="D1006">IF(Raw!D999="","",IFERROR(MAX(IF(Raw!$A$2:$A$26=MHT!A1006,Raw!$D$2:$D$20)),""))</f>
        <v/>
      </c>
      <c r="E1006" s="6" t="str">
        <f>IF(SUMIF(Raw!$A$2:$A$500, MHT!A1006, Raw!$F$2:$F$500) = TIME(0,0,0), "", SUMIF(Raw!$A$2:$A$500, MHT!A1006, Raw!$F$2:$F$500))</f>
        <v/>
      </c>
      <c r="F1006" s="12" t="str">
        <f t="array" ref="F1006">IF(A1006="", "", IF(COUNTIF(Raw!$H$1:$I$500, A1006) &gt; 0, "Done", IF(COUNTIF(Raw!$J$1:$J$500, A1006) &gt; 0, "Pause", IF(COUNTIF(Raw!$K$1:$K$500, A1006) &gt; 0, "On-Going", "Pause"))))</f>
        <v/>
      </c>
      <c r="G1006" s="24"/>
      <c r="H1006" s="24"/>
      <c r="I1006" s="24"/>
    </row>
    <row r="1007" spans="1:9" x14ac:dyDescent="0.4">
      <c r="B1007" s="16" t="str">
        <f t="array" ref="B1007">IFERROR(MIN(IF(Raw!$A$2:$A$26=MHT!A1007,Raw!$B$2:$B$20)),"")</f>
        <v/>
      </c>
      <c r="C1007" s="13" t="str">
        <f t="array" ref="C1007">IFERROR(MIN(IF(Raw!$A$2:$A$26=MHT!A1007,Raw!$C$2:$C$20)),"")</f>
        <v/>
      </c>
      <c r="D1007" s="14" t="str">
        <f t="array" ref="D1007">IF(Raw!D1000="","",IFERROR(MAX(IF(Raw!$A$2:$A$26=MHT!A1007,Raw!$D$2:$D$20)),""))</f>
        <v/>
      </c>
      <c r="E1007" s="6" t="str">
        <f>IF(SUMIF(Raw!$A$2:$A$500, MHT!A1007, Raw!$F$2:$F$500) = TIME(0,0,0), "", SUMIF(Raw!$A$2:$A$500, MHT!A1007, Raw!$F$2:$F$500))</f>
        <v/>
      </c>
      <c r="F1007" s="12" t="str">
        <f t="array" ref="F1007">IF(A1007="", "", IF(COUNTIF(Raw!$H$1:$I$500, A1007) &gt; 0, "Done", IF(COUNTIF(Raw!$J$1:$J$500, A1007) &gt; 0, "Pause", IF(COUNTIF(Raw!$K$1:$K$500, A1007) &gt; 0, "On-Going", "Pause"))))</f>
        <v/>
      </c>
      <c r="G1007" s="24"/>
      <c r="H1007" s="24"/>
      <c r="I1007" s="24"/>
    </row>
    <row r="1008" spans="1:9" x14ac:dyDescent="0.4">
      <c r="B1008" s="16" t="str">
        <f t="array" ref="B1008">IFERROR(MIN(IF(Raw!$A$2:$A$26=MHT!A1008,Raw!$B$2:$B$20)),"")</f>
        <v/>
      </c>
      <c r="C1008" s="13" t="str">
        <f t="array" ref="C1008">IFERROR(MIN(IF(Raw!$A$2:$A$26=MHT!A1008,Raw!$C$2:$C$20)),"")</f>
        <v/>
      </c>
      <c r="D1008" s="14" t="str">
        <f t="array" ref="D1008">IF(Raw!D1001="","",IFERROR(MAX(IF(Raw!$A$2:$A$26=MHT!A1008,Raw!$D$2:$D$20)),""))</f>
        <v/>
      </c>
      <c r="E1008" s="6" t="str">
        <f>IF(SUMIF(Raw!$A$2:$A$500, MHT!A1008, Raw!$F$2:$F$500) = TIME(0,0,0), "", SUMIF(Raw!$A$2:$A$500, MHT!A1008, Raw!$F$2:$F$500))</f>
        <v/>
      </c>
      <c r="F1008" s="12" t="str">
        <f t="array" ref="F1008">IF(A1008="", "", IF(COUNTIF(Raw!$H$1:$I$500, A1008) &gt; 0, "Done", IF(COUNTIF(Raw!$J$1:$J$500, A1008) &gt; 0, "Pause", IF(COUNTIF(Raw!$K$1:$K$500, A1008) &gt; 0, "On-Going", "Pause"))))</f>
        <v/>
      </c>
      <c r="G1008" s="24"/>
      <c r="H1008" s="24"/>
      <c r="I1008" s="24"/>
    </row>
    <row r="1009" spans="2:9" x14ac:dyDescent="0.4">
      <c r="B1009" s="16" t="str">
        <f t="array" ref="B1009">IFERROR(MIN(IF(Raw!$A$2:$A$26=MHT!A1009,Raw!$B$2:$B$20)),"")</f>
        <v/>
      </c>
      <c r="C1009" s="13" t="str">
        <f t="array" ref="C1009">IFERROR(MIN(IF(Raw!$A$2:$A$26=MHT!A1009,Raw!$C$2:$C$20)),"")</f>
        <v/>
      </c>
      <c r="D1009" s="14" t="str">
        <f t="array" ref="D1009">IF(Raw!D1002="","",IFERROR(MAX(IF(Raw!$A$2:$A$26=MHT!A1009,Raw!$D$2:$D$20)),""))</f>
        <v/>
      </c>
      <c r="E1009" s="6" t="str">
        <f>IF(SUMIF(Raw!$A$2:$A$500, MHT!A1009, Raw!$F$2:$F$500) = TIME(0,0,0), "", SUMIF(Raw!$A$2:$A$500, MHT!A1009, Raw!$F$2:$F$500))</f>
        <v/>
      </c>
      <c r="F1009" s="12" t="str">
        <f t="array" ref="F1009">IF(A1009="", "", IF(COUNTIF(Raw!$H$1:$I$500, A1009) &gt; 0, "Done", IF(COUNTIF(Raw!$J$1:$J$500, A1009) &gt; 0, "Pause", IF(COUNTIF(Raw!$K$1:$K$500, A1009) &gt; 0, "On-Going", "Pause"))))</f>
        <v/>
      </c>
      <c r="G1009" s="24"/>
      <c r="H1009" s="24"/>
      <c r="I1009" s="24"/>
    </row>
    <row r="1010" spans="2:9" x14ac:dyDescent="0.4">
      <c r="B1010" s="16" t="str">
        <f t="array" ref="B1010">IFERROR(MIN(IF(Raw!$A$2:$A$26=MHT!A1010,Raw!$B$2:$B$20)),"")</f>
        <v/>
      </c>
      <c r="C1010" s="13" t="str">
        <f t="array" ref="C1010">IFERROR(MIN(IF(Raw!$A$2:$A$26=MHT!A1010,Raw!$C$2:$C$20)),"")</f>
        <v/>
      </c>
      <c r="D1010" s="14" t="str">
        <f t="array" ref="D1010">IF(Raw!D1003="","",IFERROR(MAX(IF(Raw!$A$2:$A$26=MHT!A1010,Raw!$D$2:$D$20)),""))</f>
        <v/>
      </c>
      <c r="E1010" s="6" t="str">
        <f>IF(SUMIF(Raw!$A$2:$A$500, MHT!A1010, Raw!$F$2:$F$500) = TIME(0,0,0), "", SUMIF(Raw!$A$2:$A$500, MHT!A1010, Raw!$F$2:$F$500))</f>
        <v/>
      </c>
      <c r="F1010" s="12" t="str">
        <f t="array" ref="F1010">IF(A1010="", "", IF(COUNTIF(Raw!$H$1:$I$500, A1010) &gt; 0, "Done", IF(COUNTIF(Raw!$J$1:$J$500, A1010) &gt; 0, "Pause", IF(COUNTIF(Raw!$K$1:$K$500, A1010) &gt; 0, "On-Going", "Pause"))))</f>
        <v/>
      </c>
      <c r="G1010" s="24"/>
      <c r="H1010" s="24"/>
      <c r="I1010" s="24"/>
    </row>
    <row r="1011" spans="2:9" x14ac:dyDescent="0.4">
      <c r="B1011" s="16" t="str">
        <f t="array" ref="B1011">IFERROR(MIN(IF(Raw!$A$2:$A$26=MHT!A1011,Raw!$B$2:$B$20)),"")</f>
        <v/>
      </c>
      <c r="C1011" s="13" t="str">
        <f t="array" ref="C1011">IFERROR(MIN(IF(Raw!$A$2:$A$26=MHT!A1011,Raw!$C$2:$C$20)),"")</f>
        <v/>
      </c>
      <c r="D1011" s="14" t="str">
        <f t="array" ref="D1011">IF(Raw!D1004="","",IFERROR(MAX(IF(Raw!$A$2:$A$26=MHT!A1011,Raw!$D$2:$D$20)),""))</f>
        <v/>
      </c>
      <c r="E1011" s="6" t="str">
        <f>IF(SUMIF(Raw!$A$2:$A$500, MHT!A1011, Raw!$F$2:$F$500) = TIME(0,0,0), "", SUMIF(Raw!$A$2:$A$500, MHT!A1011, Raw!$F$2:$F$500))</f>
        <v/>
      </c>
      <c r="F1011" s="12" t="str">
        <f t="array" ref="F1011">IF(A1011="", "", IF(COUNTIF(Raw!$H$1:$I$500, A1011) &gt; 0, "Done", IF(COUNTIF(Raw!$J$1:$J$500, A1011) &gt; 0, "Pause", IF(COUNTIF(Raw!$K$1:$K$500, A1011) &gt; 0, "On-Going", "Pause"))))</f>
        <v/>
      </c>
      <c r="G1011" s="24"/>
      <c r="H1011" s="24"/>
      <c r="I1011" s="24"/>
    </row>
    <row r="1012" spans="2:9" x14ac:dyDescent="0.4">
      <c r="B1012" s="16" t="str">
        <f t="array" ref="B1012">IFERROR(MIN(IF(Raw!$A$2:$A$26=MHT!A1012,Raw!$B$2:$B$20)),"")</f>
        <v/>
      </c>
      <c r="C1012" s="13" t="str">
        <f t="array" ref="C1012">IFERROR(MIN(IF(Raw!$A$2:$A$26=MHT!A1012,Raw!$C$2:$C$20)),"")</f>
        <v/>
      </c>
      <c r="D1012" s="14" t="str">
        <f t="array" ref="D1012">IF(Raw!D1005="","",IFERROR(MAX(IF(Raw!$A$2:$A$26=MHT!A1012,Raw!$D$2:$D$20)),""))</f>
        <v/>
      </c>
      <c r="E1012" s="6" t="str">
        <f>IF(SUMIF(Raw!$A$2:$A$500, MHT!A1012, Raw!$F$2:$F$500) = TIME(0,0,0), "", SUMIF(Raw!$A$2:$A$500, MHT!A1012, Raw!$F$2:$F$500))</f>
        <v/>
      </c>
      <c r="F1012" s="12" t="str">
        <f t="array" ref="F1012">IF(A1012="", "", IF(COUNTIF(Raw!$H$1:$I$500, A1012) &gt; 0, "Done", IF(COUNTIF(Raw!$J$1:$J$500, A1012) &gt; 0, "Pause", IF(COUNTIF(Raw!$K$1:$K$500, A1012) &gt; 0, "On-Going", "Pause"))))</f>
        <v/>
      </c>
      <c r="G1012" s="24"/>
      <c r="H1012" s="24"/>
      <c r="I1012" s="24"/>
    </row>
    <row r="1013" spans="2:9" x14ac:dyDescent="0.4">
      <c r="B1013" s="16" t="str">
        <f t="array" ref="B1013">IFERROR(MIN(IF(Raw!$A$2:$A$26=MHT!A1013,Raw!$B$2:$B$20)),"")</f>
        <v/>
      </c>
      <c r="C1013" s="13" t="str">
        <f t="array" ref="C1013">IFERROR(MIN(IF(Raw!$A$2:$A$26=MHT!A1013,Raw!$C$2:$C$20)),"")</f>
        <v/>
      </c>
      <c r="D1013" s="14" t="str">
        <f t="array" ref="D1013">IF(Raw!D1006="","",IFERROR(MAX(IF(Raw!$A$2:$A$26=MHT!A1013,Raw!$D$2:$D$20)),""))</f>
        <v/>
      </c>
      <c r="E1013" s="6" t="str">
        <f>IF(SUMIF(Raw!$A$2:$A$500, MHT!A1013, Raw!$F$2:$F$500) = TIME(0,0,0), "", SUMIF(Raw!$A$2:$A$500, MHT!A1013, Raw!$F$2:$F$500))</f>
        <v/>
      </c>
      <c r="F1013" s="12" t="str">
        <f t="array" ref="F1013">IF(A1013="", "", IF(COUNTIF(Raw!$H$1:$I$500, A1013) &gt; 0, "Done", IF(COUNTIF(Raw!$J$1:$J$500, A1013) &gt; 0, "Pause", IF(COUNTIF(Raw!$K$1:$K$500, A1013) &gt; 0, "On-Going", "Pause"))))</f>
        <v/>
      </c>
      <c r="G1013" s="24"/>
      <c r="H1013" s="24"/>
      <c r="I1013" s="24"/>
    </row>
    <row r="1014" spans="2:9" x14ac:dyDescent="0.4">
      <c r="B1014" s="16" t="str">
        <f t="array" ref="B1014">IFERROR(MIN(IF(Raw!$A$2:$A$26=MHT!A1014,Raw!$B$2:$B$20)),"")</f>
        <v/>
      </c>
      <c r="C1014" s="13" t="str">
        <f t="array" ref="C1014">IFERROR(MIN(IF(Raw!$A$2:$A$26=MHT!A1014,Raw!$C$2:$C$20)),"")</f>
        <v/>
      </c>
      <c r="D1014" s="14" t="str">
        <f t="array" ref="D1014">IF(Raw!D1007="","",IFERROR(MAX(IF(Raw!$A$2:$A$26=MHT!A1014,Raw!$D$2:$D$20)),""))</f>
        <v/>
      </c>
      <c r="E1014" s="6" t="str">
        <f>IF(SUMIF(Raw!$A$2:$A$500, MHT!A1014, Raw!$F$2:$F$500) = TIME(0,0,0), "", SUMIF(Raw!$A$2:$A$500, MHT!A1014, Raw!$F$2:$F$500))</f>
        <v/>
      </c>
      <c r="F1014" s="12" t="str">
        <f t="array" ref="F1014">IF(A1014="", "", IF(COUNTIF(Raw!$H$1:$I$500, A1014) &gt; 0, "Done", IF(COUNTIF(Raw!$J$1:$J$500, A1014) &gt; 0, "Pause", IF(COUNTIF(Raw!$K$1:$K$500, A1014) &gt; 0, "On-Going", "Pause"))))</f>
        <v/>
      </c>
      <c r="G1014" s="24"/>
      <c r="H1014" s="24"/>
      <c r="I1014" s="24"/>
    </row>
    <row r="1015" spans="2:9" x14ac:dyDescent="0.4">
      <c r="B1015" s="16" t="str">
        <f t="array" ref="B1015">IFERROR(MIN(IF(Raw!$A$2:$A$26=MHT!A1015,Raw!$B$2:$B$20)),"")</f>
        <v/>
      </c>
      <c r="C1015" s="13" t="str">
        <f t="array" ref="C1015">IFERROR(MIN(IF(Raw!$A$2:$A$26=MHT!A1015,Raw!$C$2:$C$20)),"")</f>
        <v/>
      </c>
      <c r="D1015" s="14" t="str">
        <f t="array" ref="D1015">IF(Raw!D1008="","",IFERROR(MAX(IF(Raw!$A$2:$A$26=MHT!A1015,Raw!$D$2:$D$20)),""))</f>
        <v/>
      </c>
      <c r="E1015" s="6" t="str">
        <f>IF(SUMIF(Raw!$A$2:$A$500, MHT!A1015, Raw!$F$2:$F$500) = TIME(0,0,0), "", SUMIF(Raw!$A$2:$A$500, MHT!A1015, Raw!$F$2:$F$500))</f>
        <v/>
      </c>
      <c r="F1015" s="12" t="str">
        <f t="array" ref="F1015">IF(A1015="", "", IF(COUNTIF(Raw!$H$1:$I$500, A1015) &gt; 0, "Done", IF(COUNTIF(Raw!$J$1:$J$500, A1015) &gt; 0, "Pause", IF(COUNTIF(Raw!$K$1:$K$500, A1015) &gt; 0, "On-Going", "Pause"))))</f>
        <v/>
      </c>
      <c r="G1015" s="24"/>
      <c r="H1015" s="24"/>
      <c r="I1015" s="24"/>
    </row>
    <row r="1016" spans="2:9" x14ac:dyDescent="0.4">
      <c r="B1016" s="16" t="str">
        <f t="array" ref="B1016">IFERROR(MIN(IF(Raw!$A$2:$A$26=MHT!A1016,Raw!$B$2:$B$20)),"")</f>
        <v/>
      </c>
      <c r="C1016" s="13" t="str">
        <f t="array" ref="C1016">IFERROR(MIN(IF(Raw!$A$2:$A$26=MHT!A1016,Raw!$C$2:$C$20)),"")</f>
        <v/>
      </c>
      <c r="D1016" s="14" t="str">
        <f t="array" ref="D1016">IF(Raw!D1009="","",IFERROR(MAX(IF(Raw!$A$2:$A$26=MHT!A1016,Raw!$D$2:$D$20)),""))</f>
        <v/>
      </c>
      <c r="E1016" s="6" t="str">
        <f>IF(SUMIF(Raw!$A$2:$A$500, MHT!A1016, Raw!$F$2:$F$500) = TIME(0,0,0), "", SUMIF(Raw!$A$2:$A$500, MHT!A1016, Raw!$F$2:$F$500))</f>
        <v/>
      </c>
      <c r="F1016" s="12" t="str">
        <f t="array" ref="F1016">IF(A1016="", "", IF(COUNTIF(Raw!$H$1:$I$500, A1016) &gt; 0, "Done", IF(COUNTIF(Raw!$J$1:$J$500, A1016) &gt; 0, "Pause", IF(COUNTIF(Raw!$K$1:$K$500, A1016) &gt; 0, "On-Going", "Pause"))))</f>
        <v/>
      </c>
      <c r="G1016" s="24"/>
      <c r="H1016" s="24"/>
      <c r="I1016" s="24"/>
    </row>
    <row r="1017" spans="2:9" x14ac:dyDescent="0.4">
      <c r="B1017" s="16" t="str">
        <f t="array" ref="B1017">IFERROR(MIN(IF(Raw!$A$2:$A$26=MHT!A1017,Raw!$B$2:$B$20)),"")</f>
        <v/>
      </c>
      <c r="C1017" s="13" t="str">
        <f t="array" ref="C1017">IFERROR(MIN(IF(Raw!$A$2:$A$26=MHT!A1017,Raw!$C$2:$C$20)),"")</f>
        <v/>
      </c>
      <c r="D1017" s="14" t="str">
        <f t="array" ref="D1017">IF(Raw!D1010="","",IFERROR(MAX(IF(Raw!$A$2:$A$26=MHT!A1017,Raw!$D$2:$D$20)),""))</f>
        <v/>
      </c>
      <c r="E1017" s="6" t="str">
        <f>IF(SUMIF(Raw!$A$2:$A$500, MHT!A1017, Raw!$F$2:$F$500) = TIME(0,0,0), "", SUMIF(Raw!$A$2:$A$500, MHT!A1017, Raw!$F$2:$F$500))</f>
        <v/>
      </c>
      <c r="F1017" s="12" t="str">
        <f t="array" ref="F1017">IF(A1017="", "", IF(COUNTIF(Raw!$H$1:$I$500, A1017) &gt; 0, "Done", IF(COUNTIF(Raw!$J$1:$J$500, A1017) &gt; 0, "Pause", IF(COUNTIF(Raw!$K$1:$K$500, A1017) &gt; 0, "On-Going", "Pause"))))</f>
        <v/>
      </c>
      <c r="G1017" s="24"/>
      <c r="H1017" s="24"/>
      <c r="I1017" s="24"/>
    </row>
    <row r="1018" spans="2:9" x14ac:dyDescent="0.4">
      <c r="B1018" s="16" t="str">
        <f t="array" ref="B1018">IFERROR(MIN(IF(Raw!$A$2:$A$26=MHT!A1018,Raw!$B$2:$B$20)),"")</f>
        <v/>
      </c>
      <c r="C1018" s="13" t="str">
        <f t="array" ref="C1018">IFERROR(MIN(IF(Raw!$A$2:$A$26=MHT!A1018,Raw!$C$2:$C$20)),"")</f>
        <v/>
      </c>
      <c r="D1018" s="14" t="str">
        <f t="array" ref="D1018">IF(Raw!D1011="","",IFERROR(MAX(IF(Raw!$A$2:$A$26=MHT!A1018,Raw!$D$2:$D$20)),""))</f>
        <v/>
      </c>
      <c r="E1018" s="6" t="str">
        <f>IF(SUMIF(Raw!$A$2:$A$500, MHT!A1018, Raw!$F$2:$F$500) = TIME(0,0,0), "", SUMIF(Raw!$A$2:$A$500, MHT!A1018, Raw!$F$2:$F$500))</f>
        <v/>
      </c>
      <c r="F1018" s="12" t="str">
        <f t="array" ref="F1018">IF(A1018="", "", IF(COUNTIF(Raw!$H$1:$I$500, A1018) &gt; 0, "Done", IF(COUNTIF(Raw!$J$1:$J$500, A1018) &gt; 0, "Pause", IF(COUNTIF(Raw!$K$1:$K$500, A1018) &gt; 0, "On-Going", "Pause"))))</f>
        <v/>
      </c>
      <c r="G1018" s="24"/>
      <c r="H1018" s="24"/>
      <c r="I1018" s="24"/>
    </row>
    <row r="1019" spans="2:9" x14ac:dyDescent="0.4">
      <c r="B1019" s="16" t="str">
        <f t="array" ref="B1019">IFERROR(MIN(IF(Raw!$A$2:$A$26=MHT!A1019,Raw!$B$2:$B$20)),"")</f>
        <v/>
      </c>
      <c r="C1019" s="13" t="str">
        <f t="array" ref="C1019">IFERROR(MIN(IF(Raw!$A$2:$A$26=MHT!A1019,Raw!$C$2:$C$20)),"")</f>
        <v/>
      </c>
      <c r="D1019" s="14" t="str">
        <f t="array" ref="D1019">IF(Raw!D1012="","",IFERROR(MAX(IF(Raw!$A$2:$A$26=MHT!A1019,Raw!$D$2:$D$20)),""))</f>
        <v/>
      </c>
      <c r="E1019" s="6" t="str">
        <f>IF(SUMIF(Raw!$A$2:$A$500, MHT!A1019, Raw!$F$2:$F$500) = TIME(0,0,0), "", SUMIF(Raw!$A$2:$A$500, MHT!A1019, Raw!$F$2:$F$500))</f>
        <v/>
      </c>
      <c r="F1019" s="12" t="str">
        <f t="array" ref="F1019">IF(A1019="", "", IF(COUNTIF(Raw!$H$1:$I$500, A1019) &gt; 0, "Done", IF(COUNTIF(Raw!$J$1:$J$500, A1019) &gt; 0, "Pause", IF(COUNTIF(Raw!$K$1:$K$500, A1019) &gt; 0, "On-Going", "Pause"))))</f>
        <v/>
      </c>
      <c r="G1019" s="24"/>
      <c r="H1019" s="24"/>
      <c r="I1019" s="24"/>
    </row>
    <row r="1020" spans="2:9" x14ac:dyDescent="0.4">
      <c r="B1020" s="16" t="str">
        <f t="array" ref="B1020">IFERROR(MIN(IF(Raw!$A$2:$A$26=MHT!A1020,Raw!$B$2:$B$20)),"")</f>
        <v/>
      </c>
      <c r="C1020" s="13" t="str">
        <f t="array" ref="C1020">IFERROR(MIN(IF(Raw!$A$2:$A$26=MHT!A1020,Raw!$C$2:$C$20)),"")</f>
        <v/>
      </c>
      <c r="D1020" s="14" t="str">
        <f t="array" ref="D1020">IF(Raw!D1013="","",IFERROR(MAX(IF(Raw!$A$2:$A$26=MHT!A1020,Raw!$D$2:$D$20)),""))</f>
        <v/>
      </c>
      <c r="E1020" s="6" t="str">
        <f>IF(SUMIF(Raw!$A$2:$A$500, MHT!A1020, Raw!$F$2:$F$500) = TIME(0,0,0), "", SUMIF(Raw!$A$2:$A$500, MHT!A1020, Raw!$F$2:$F$500))</f>
        <v/>
      </c>
      <c r="F1020" s="12" t="str">
        <f t="array" ref="F1020">IF(A1020="", "", IF(COUNTIF(Raw!$H$1:$I$500, A1020) &gt; 0, "Done", IF(COUNTIF(Raw!$J$1:$J$500, A1020) &gt; 0, "Pause", IF(COUNTIF(Raw!$K$1:$K$500, A1020) &gt; 0, "On-Going", "Pause"))))</f>
        <v/>
      </c>
      <c r="G1020" s="24"/>
      <c r="H1020" s="24"/>
      <c r="I1020" s="24"/>
    </row>
    <row r="1021" spans="2:9" x14ac:dyDescent="0.4">
      <c r="B1021" s="16" t="str">
        <f t="array" ref="B1021">IFERROR(MIN(IF(Raw!$A$2:$A$26=MHT!A1021,Raw!$B$2:$B$20)),"")</f>
        <v/>
      </c>
      <c r="C1021" s="13" t="str">
        <f t="array" ref="C1021">IFERROR(MIN(IF(Raw!$A$2:$A$26=MHT!A1021,Raw!$C$2:$C$20)),"")</f>
        <v/>
      </c>
      <c r="D1021" s="14" t="str">
        <f t="array" ref="D1021">IF(Raw!D1014="","",IFERROR(MAX(IF(Raw!$A$2:$A$26=MHT!A1021,Raw!$D$2:$D$20)),""))</f>
        <v/>
      </c>
      <c r="E1021" s="6" t="str">
        <f>IF(SUMIF(Raw!$A$2:$A$500, MHT!A1021, Raw!$F$2:$F$500) = TIME(0,0,0), "", SUMIF(Raw!$A$2:$A$500, MHT!A1021, Raw!$F$2:$F$500))</f>
        <v/>
      </c>
      <c r="F1021" s="12" t="str">
        <f t="array" ref="F1021">IF(A1021="", "", IF(COUNTIF(Raw!$H$1:$I$500, A1021) &gt; 0, "Done", IF(COUNTIF(Raw!$J$1:$J$500, A1021) &gt; 0, "Pause", IF(COUNTIF(Raw!$K$1:$K$500, A1021) &gt; 0, "On-Going", "Pause"))))</f>
        <v/>
      </c>
      <c r="G1021" s="24"/>
      <c r="H1021" s="24"/>
      <c r="I1021" s="24"/>
    </row>
    <row r="1022" spans="2:9" x14ac:dyDescent="0.4">
      <c r="B1022" s="16" t="str">
        <f t="array" ref="B1022">IFERROR(MIN(IF(Raw!$A$2:$A$26=MHT!A1022,Raw!$B$2:$B$20)),"")</f>
        <v/>
      </c>
      <c r="C1022" s="13" t="str">
        <f t="array" ref="C1022">IFERROR(MIN(IF(Raw!$A$2:$A$26=MHT!A1022,Raw!$C$2:$C$20)),"")</f>
        <v/>
      </c>
      <c r="D1022" s="14" t="str">
        <f t="array" ref="D1022">IF(Raw!D1015="","",IFERROR(MAX(IF(Raw!$A$2:$A$26=MHT!A1022,Raw!$D$2:$D$20)),""))</f>
        <v/>
      </c>
      <c r="E1022" s="6" t="str">
        <f>IF(SUMIF(Raw!$A$2:$A$500, MHT!A1022, Raw!$F$2:$F$500) = TIME(0,0,0), "", SUMIF(Raw!$A$2:$A$500, MHT!A1022, Raw!$F$2:$F$500))</f>
        <v/>
      </c>
      <c r="F1022" s="12" t="str">
        <f t="array" ref="F1022">IF(A1022="", "", IF(COUNTIF(Raw!$H$1:$I$500, A1022) &gt; 0, "Done", IF(COUNTIF(Raw!$J$1:$J$500, A1022) &gt; 0, "Pause", IF(COUNTIF(Raw!$K$1:$K$500, A1022) &gt; 0, "On-Going", "Pause"))))</f>
        <v/>
      </c>
      <c r="G1022" s="24"/>
      <c r="H1022" s="24"/>
      <c r="I1022" s="24"/>
    </row>
    <row r="1023" spans="2:9" x14ac:dyDescent="0.4">
      <c r="B1023" s="16" t="str">
        <f t="array" ref="B1023">IFERROR(MIN(IF(Raw!$A$2:$A$26=MHT!A1023,Raw!$B$2:$B$20)),"")</f>
        <v/>
      </c>
      <c r="C1023" s="13" t="str">
        <f t="array" ref="C1023">IFERROR(MIN(IF(Raw!$A$2:$A$26=MHT!A1023,Raw!$C$2:$C$20)),"")</f>
        <v/>
      </c>
      <c r="D1023" s="14" t="str">
        <f t="array" ref="D1023">IF(Raw!D1016="","",IFERROR(MAX(IF(Raw!$A$2:$A$26=MHT!A1023,Raw!$D$2:$D$20)),""))</f>
        <v/>
      </c>
      <c r="E1023" s="6" t="str">
        <f>IF(SUMIF(Raw!$A$2:$A$500, MHT!A1023, Raw!$F$2:$F$500) = TIME(0,0,0), "", SUMIF(Raw!$A$2:$A$500, MHT!A1023, Raw!$F$2:$F$500))</f>
        <v/>
      </c>
      <c r="F1023" s="12" t="str">
        <f t="array" ref="F1023">IF(A1023="", "", IF(COUNTIF(Raw!$H$1:$I$500, A1023) &gt; 0, "Done", IF(COUNTIF(Raw!$J$1:$J$500, A1023) &gt; 0, "Pause", IF(COUNTIF(Raw!$K$1:$K$500, A1023) &gt; 0, "On-Going", "Pause"))))</f>
        <v/>
      </c>
      <c r="G1023" s="24"/>
      <c r="H1023" s="24"/>
      <c r="I1023" s="24"/>
    </row>
    <row r="1024" spans="2:9" x14ac:dyDescent="0.4">
      <c r="B1024" s="16" t="str">
        <f t="array" ref="B1024">IFERROR(MIN(IF(Raw!$A$2:$A$26=MHT!A1024,Raw!$B$2:$B$20)),"")</f>
        <v/>
      </c>
      <c r="C1024" s="13" t="str">
        <f t="array" ref="C1024">IFERROR(MIN(IF(Raw!$A$2:$A$26=MHT!A1024,Raw!$C$2:$C$20)),"")</f>
        <v/>
      </c>
      <c r="D1024" s="14" t="str">
        <f t="array" ref="D1024">IF(Raw!D1017="","",IFERROR(MAX(IF(Raw!$A$2:$A$26=MHT!A1024,Raw!$D$2:$D$20)),""))</f>
        <v/>
      </c>
      <c r="E1024" s="6" t="str">
        <f>IF(SUMIF(Raw!$A$2:$A$500, MHT!A1024, Raw!$F$2:$F$500) = TIME(0,0,0), "", SUMIF(Raw!$A$2:$A$500, MHT!A1024, Raw!$F$2:$F$500))</f>
        <v/>
      </c>
      <c r="F1024" s="12" t="str">
        <f t="array" ref="F1024">IF(A1024="", "", IF(COUNTIF(Raw!$H$1:$I$500, A1024) &gt; 0, "Done", IF(COUNTIF(Raw!$J$1:$J$500, A1024) &gt; 0, "Pause", IF(COUNTIF(Raw!$K$1:$K$500, A1024) &gt; 0, "On-Going", "Pause"))))</f>
        <v/>
      </c>
      <c r="G1024" s="24"/>
      <c r="H1024" s="24"/>
      <c r="I1024" s="24"/>
    </row>
    <row r="1025" spans="2:9" x14ac:dyDescent="0.4">
      <c r="B1025" s="16" t="str">
        <f t="array" ref="B1025">IFERROR(MIN(IF(Raw!$A$2:$A$26=MHT!A1025,Raw!$B$2:$B$20)),"")</f>
        <v/>
      </c>
      <c r="C1025" s="13" t="str">
        <f t="array" ref="C1025">IFERROR(MIN(IF(Raw!$A$2:$A$26=MHT!A1025,Raw!$C$2:$C$20)),"")</f>
        <v/>
      </c>
      <c r="D1025" s="14" t="str">
        <f t="array" ref="D1025">IF(Raw!D1018="","",IFERROR(MAX(IF(Raw!$A$2:$A$26=MHT!A1025,Raw!$D$2:$D$20)),""))</f>
        <v/>
      </c>
      <c r="E1025" s="6" t="str">
        <f>IF(SUMIF(Raw!$A$2:$A$500, MHT!A1025, Raw!$F$2:$F$500) = TIME(0,0,0), "", SUMIF(Raw!$A$2:$A$500, MHT!A1025, Raw!$F$2:$F$500))</f>
        <v/>
      </c>
      <c r="F1025" s="12" t="str">
        <f t="array" ref="F1025">IF(A1025="", "", IF(COUNTIF(Raw!$H$1:$I$500, A1025) &gt; 0, "Done", IF(COUNTIF(Raw!$J$1:$J$500, A1025) &gt; 0, "Pause", IF(COUNTIF(Raw!$K$1:$K$500, A1025) &gt; 0, "On-Going", "Pause"))))</f>
        <v/>
      </c>
      <c r="G1025" s="24"/>
      <c r="H1025" s="24"/>
      <c r="I1025" s="24"/>
    </row>
    <row r="1026" spans="2:9" x14ac:dyDescent="0.4">
      <c r="B1026" s="16" t="str">
        <f t="array" ref="B1026">IFERROR(MIN(IF(Raw!$A$2:$A$26=MHT!A1026,Raw!$B$2:$B$20)),"")</f>
        <v/>
      </c>
      <c r="C1026" s="13" t="str">
        <f t="array" ref="C1026">IFERROR(MIN(IF(Raw!$A$2:$A$26=MHT!A1026,Raw!$C$2:$C$20)),"")</f>
        <v/>
      </c>
      <c r="D1026" s="14" t="str">
        <f t="array" ref="D1026">IF(Raw!D1019="","",IFERROR(MAX(IF(Raw!$A$2:$A$26=MHT!A1026,Raw!$D$2:$D$20)),""))</f>
        <v/>
      </c>
      <c r="E1026" s="6" t="str">
        <f>IF(SUMIF(Raw!$A$2:$A$500, MHT!A1026, Raw!$F$2:$F$500) = TIME(0,0,0), "", SUMIF(Raw!$A$2:$A$500, MHT!A1026, Raw!$F$2:$F$500))</f>
        <v/>
      </c>
      <c r="F1026" s="12" t="str">
        <f t="array" ref="F1026">IF(A1026="", "", IF(COUNTIF(Raw!$H$1:$I$500, A1026) &gt; 0, "Done", IF(COUNTIF(Raw!$J$1:$J$500, A1026) &gt; 0, "Pause", IF(COUNTIF(Raw!$K$1:$K$500, A1026) &gt; 0, "On-Going", "Pause"))))</f>
        <v/>
      </c>
      <c r="G1026" s="24"/>
      <c r="H1026" s="24"/>
      <c r="I1026" s="24"/>
    </row>
    <row r="1027" spans="2:9" x14ac:dyDescent="0.4">
      <c r="B1027" s="16" t="str">
        <f t="array" ref="B1027">IFERROR(MIN(IF(Raw!$A$2:$A$26=MHT!A1027,Raw!$B$2:$B$20)),"")</f>
        <v/>
      </c>
      <c r="C1027" s="13" t="str">
        <f t="array" ref="C1027">IFERROR(MIN(IF(Raw!$A$2:$A$26=MHT!A1027,Raw!$C$2:$C$20)),"")</f>
        <v/>
      </c>
      <c r="D1027" s="14" t="str">
        <f t="array" ref="D1027">IF(Raw!D1020="","",IFERROR(MAX(IF(Raw!$A$2:$A$26=MHT!A1027,Raw!$D$2:$D$20)),""))</f>
        <v/>
      </c>
      <c r="E1027" s="6" t="str">
        <f>IF(SUMIF(Raw!$A$2:$A$500, MHT!A1027, Raw!$F$2:$F$500) = TIME(0,0,0), "", SUMIF(Raw!$A$2:$A$500, MHT!A1027, Raw!$F$2:$F$500))</f>
        <v/>
      </c>
      <c r="F1027" s="12" t="str">
        <f t="array" ref="F1027">IF(A1027="", "", IF(COUNTIF(Raw!$H$1:$I$500, A1027) &gt; 0, "Done", IF(COUNTIF(Raw!$J$1:$J$500, A1027) &gt; 0, "Pause", IF(COUNTIF(Raw!$K$1:$K$500, A1027) &gt; 0, "On-Going", "Pause"))))</f>
        <v/>
      </c>
      <c r="G1027" s="24"/>
      <c r="H1027" s="24"/>
      <c r="I1027" s="24"/>
    </row>
    <row r="1028" spans="2:9" x14ac:dyDescent="0.4">
      <c r="B1028" s="16" t="str">
        <f t="array" ref="B1028">IFERROR(MIN(IF(Raw!$A$2:$A$26=MHT!A1028,Raw!$B$2:$B$20)),"")</f>
        <v/>
      </c>
      <c r="C1028" s="13" t="str">
        <f t="array" ref="C1028">IFERROR(MIN(IF(Raw!$A$2:$A$26=MHT!A1028,Raw!$C$2:$C$20)),"")</f>
        <v/>
      </c>
      <c r="D1028" s="14" t="str">
        <f t="array" ref="D1028">IF(Raw!D1021="","",IFERROR(MAX(IF(Raw!$A$2:$A$26=MHT!A1028,Raw!$D$2:$D$20)),""))</f>
        <v/>
      </c>
      <c r="E1028" s="6" t="str">
        <f>IF(SUMIF(Raw!$A$2:$A$500, MHT!A1028, Raw!$F$2:$F$500) = TIME(0,0,0), "", SUMIF(Raw!$A$2:$A$500, MHT!A1028, Raw!$F$2:$F$500))</f>
        <v/>
      </c>
      <c r="F1028" s="12" t="str">
        <f t="array" ref="F1028">IF(A1028="", "", IF(COUNTIF(Raw!$H$1:$I$500, A1028) &gt; 0, "Done", IF(COUNTIF(Raw!$J$1:$J$500, A1028) &gt; 0, "Pause", IF(COUNTIF(Raw!$K$1:$K$500, A1028) &gt; 0, "On-Going", "Pause"))))</f>
        <v/>
      </c>
      <c r="G1028" s="24"/>
      <c r="H1028" s="24"/>
      <c r="I1028" s="24"/>
    </row>
    <row r="1029" spans="2:9" x14ac:dyDescent="0.4">
      <c r="B1029" s="16" t="str">
        <f t="array" ref="B1029">IFERROR(MIN(IF(Raw!$A$2:$A$26=MHT!A1029,Raw!$B$2:$B$20)),"")</f>
        <v/>
      </c>
      <c r="C1029" s="13" t="str">
        <f t="array" ref="C1029">IFERROR(MIN(IF(Raw!$A$2:$A$26=MHT!A1029,Raw!$C$2:$C$20)),"")</f>
        <v/>
      </c>
      <c r="D1029" s="14" t="str">
        <f t="array" ref="D1029">IF(Raw!D1022="","",IFERROR(MAX(IF(Raw!$A$2:$A$26=MHT!A1029,Raw!$D$2:$D$20)),""))</f>
        <v/>
      </c>
      <c r="E1029" s="6" t="str">
        <f>IF(SUMIF(Raw!$A$2:$A$500, MHT!A1029, Raw!$F$2:$F$500) = TIME(0,0,0), "", SUMIF(Raw!$A$2:$A$500, MHT!A1029, Raw!$F$2:$F$500))</f>
        <v/>
      </c>
      <c r="F1029" s="12" t="str">
        <f t="array" ref="F1029">IF(A1029="", "", IF(COUNTIF(Raw!$H$1:$I$500, A1029) &gt; 0, "Done", IF(COUNTIF(Raw!$J$1:$J$500, A1029) &gt; 0, "Pause", IF(COUNTIF(Raw!$K$1:$K$500, A1029) &gt; 0, "On-Going", "Pause"))))</f>
        <v/>
      </c>
      <c r="G1029" s="24"/>
      <c r="H1029" s="24"/>
      <c r="I1029" s="24"/>
    </row>
    <row r="1030" spans="2:9" x14ac:dyDescent="0.4">
      <c r="B1030" s="16" t="str">
        <f t="array" ref="B1030">IFERROR(MIN(IF(Raw!$A$2:$A$26=MHT!A1030,Raw!$B$2:$B$20)),"")</f>
        <v/>
      </c>
      <c r="C1030" s="13" t="str">
        <f t="array" ref="C1030">IFERROR(MIN(IF(Raw!$A$2:$A$26=MHT!A1030,Raw!$C$2:$C$20)),"")</f>
        <v/>
      </c>
      <c r="D1030" s="14" t="str">
        <f t="array" ref="D1030">IF(Raw!D1023="","",IFERROR(MAX(IF(Raw!$A$2:$A$26=MHT!A1030,Raw!$D$2:$D$20)),""))</f>
        <v/>
      </c>
      <c r="E1030" s="6" t="str">
        <f>IF(SUMIF(Raw!$A$2:$A$500, MHT!A1030, Raw!$F$2:$F$500) = TIME(0,0,0), "", SUMIF(Raw!$A$2:$A$500, MHT!A1030, Raw!$F$2:$F$500))</f>
        <v/>
      </c>
      <c r="F1030" s="12" t="str">
        <f t="array" ref="F1030">IF(A1030="", "", IF(COUNTIF(Raw!$H$1:$I$500, A1030) &gt; 0, "Done", IF(COUNTIF(Raw!$J$1:$J$500, A1030) &gt; 0, "Pause", IF(COUNTIF(Raw!$K$1:$K$500, A1030) &gt; 0, "On-Going", "Pause"))))</f>
        <v/>
      </c>
      <c r="G1030" s="24"/>
      <c r="H1030" s="24"/>
      <c r="I1030" s="24"/>
    </row>
    <row r="1031" spans="2:9" x14ac:dyDescent="0.4">
      <c r="B1031" s="16" t="str">
        <f t="array" ref="B1031">IFERROR(MIN(IF(Raw!$A$2:$A$26=MHT!A1031,Raw!$B$2:$B$20)),"")</f>
        <v/>
      </c>
      <c r="C1031" s="13" t="str">
        <f t="array" ref="C1031">IFERROR(MIN(IF(Raw!$A$2:$A$26=MHT!A1031,Raw!$C$2:$C$20)),"")</f>
        <v/>
      </c>
      <c r="D1031" s="14" t="str">
        <f t="array" ref="D1031">IF(Raw!D1024="","",IFERROR(MAX(IF(Raw!$A$2:$A$26=MHT!A1031,Raw!$D$2:$D$20)),""))</f>
        <v/>
      </c>
      <c r="E1031" s="6" t="str">
        <f>IF(SUMIF(Raw!$A$2:$A$500, MHT!A1031, Raw!$F$2:$F$500) = TIME(0,0,0), "", SUMIF(Raw!$A$2:$A$500, MHT!A1031, Raw!$F$2:$F$500))</f>
        <v/>
      </c>
      <c r="F1031" s="12" t="str">
        <f t="array" ref="F1031">IF(A1031="", "", IF(COUNTIF(Raw!$H$1:$I$500, A1031) &gt; 0, "Done", IF(COUNTIF(Raw!$J$1:$J$500, A1031) &gt; 0, "Pause", IF(COUNTIF(Raw!$K$1:$K$500, A1031) &gt; 0, "On-Going", "Pause"))))</f>
        <v/>
      </c>
      <c r="G1031" s="24"/>
      <c r="H1031" s="24"/>
      <c r="I1031" s="24"/>
    </row>
    <row r="1032" spans="2:9" x14ac:dyDescent="0.4">
      <c r="B1032" s="16" t="str">
        <f t="array" ref="B1032">IFERROR(MIN(IF(Raw!$A$2:$A$26=MHT!A1032,Raw!$B$2:$B$20)),"")</f>
        <v/>
      </c>
      <c r="C1032" s="13" t="str">
        <f t="array" ref="C1032">IFERROR(MIN(IF(Raw!$A$2:$A$26=MHT!A1032,Raw!$C$2:$C$20)),"")</f>
        <v/>
      </c>
      <c r="D1032" s="14" t="str">
        <f t="array" ref="D1032">IF(Raw!D1025="","",IFERROR(MAX(IF(Raw!$A$2:$A$26=MHT!A1032,Raw!$D$2:$D$20)),""))</f>
        <v/>
      </c>
      <c r="E1032" s="6" t="str">
        <f>IF(SUMIF(Raw!$A$2:$A$500, MHT!A1032, Raw!$F$2:$F$500) = TIME(0,0,0), "", SUMIF(Raw!$A$2:$A$500, MHT!A1032, Raw!$F$2:$F$500))</f>
        <v/>
      </c>
      <c r="F1032" s="12" t="str">
        <f t="array" ref="F1032">IF(A1032="", "", IF(COUNTIF(Raw!$H$1:$I$500, A1032) &gt; 0, "Done", IF(COUNTIF(Raw!$J$1:$J$500, A1032) &gt; 0, "Pause", IF(COUNTIF(Raw!$K$1:$K$500, A1032) &gt; 0, "On-Going", "Pause"))))</f>
        <v/>
      </c>
      <c r="G1032" s="24"/>
      <c r="H1032" s="24"/>
      <c r="I1032" s="24"/>
    </row>
    <row r="1033" spans="2:9" x14ac:dyDescent="0.4">
      <c r="B1033" s="16" t="str">
        <f t="array" ref="B1033">IFERROR(MIN(IF(Raw!$A$2:$A$26=MHT!A1033,Raw!$B$2:$B$20)),"")</f>
        <v/>
      </c>
      <c r="C1033" s="13" t="str">
        <f t="array" ref="C1033">IFERROR(MIN(IF(Raw!$A$2:$A$26=MHT!A1033,Raw!$C$2:$C$20)),"")</f>
        <v/>
      </c>
      <c r="D1033" s="14" t="str">
        <f t="array" ref="D1033">IF(Raw!D1026="","",IFERROR(MAX(IF(Raw!$A$2:$A$26=MHT!A1033,Raw!$D$2:$D$20)),""))</f>
        <v/>
      </c>
      <c r="E1033" s="6" t="str">
        <f>IF(SUMIF(Raw!$A$2:$A$500, MHT!A1033, Raw!$F$2:$F$500) = TIME(0,0,0), "", SUMIF(Raw!$A$2:$A$500, MHT!A1033, Raw!$F$2:$F$500))</f>
        <v/>
      </c>
      <c r="F1033" s="12" t="str">
        <f t="array" ref="F1033">IF(A1033="", "", IF(COUNTIF(Raw!$H$1:$I$500, A1033) &gt; 0, "Done", IF(COUNTIF(Raw!$J$1:$J$500, A1033) &gt; 0, "Pause", IF(COUNTIF(Raw!$K$1:$K$500, A1033) &gt; 0, "On-Going", "Pause"))))</f>
        <v/>
      </c>
      <c r="G1033" s="24"/>
      <c r="H1033" s="24"/>
      <c r="I1033" s="24"/>
    </row>
    <row r="1034" spans="2:9" x14ac:dyDescent="0.4">
      <c r="B1034" s="16" t="str">
        <f t="array" ref="B1034">IFERROR(MIN(IF(Raw!$A$2:$A$26=MHT!A1034,Raw!$B$2:$B$20)),"")</f>
        <v/>
      </c>
      <c r="C1034" s="13" t="str">
        <f t="array" ref="C1034">IFERROR(MIN(IF(Raw!$A$2:$A$26=MHT!A1034,Raw!$C$2:$C$20)),"")</f>
        <v/>
      </c>
      <c r="D1034" s="14" t="str">
        <f t="array" ref="D1034">IF(Raw!D1027="","",IFERROR(MAX(IF(Raw!$A$2:$A$26=MHT!A1034,Raw!$D$2:$D$20)),""))</f>
        <v/>
      </c>
      <c r="E1034" s="6" t="str">
        <f>IF(SUMIF(Raw!$A$2:$A$500, MHT!A1034, Raw!$F$2:$F$500) = TIME(0,0,0), "", SUMIF(Raw!$A$2:$A$500, MHT!A1034, Raw!$F$2:$F$500))</f>
        <v/>
      </c>
      <c r="F1034" s="12" t="str">
        <f t="array" ref="F1034">IF(A1034="", "", IF(COUNTIF(Raw!$H$1:$I$500, A1034) &gt; 0, "Done", IF(COUNTIF(Raw!$J$1:$J$500, A1034) &gt; 0, "Pause", IF(COUNTIF(Raw!$K$1:$K$500, A1034) &gt; 0, "On-Going", "Pause"))))</f>
        <v/>
      </c>
      <c r="G1034" s="24"/>
      <c r="H1034" s="24"/>
      <c r="I1034" s="24"/>
    </row>
    <row r="1035" spans="2:9" x14ac:dyDescent="0.4">
      <c r="B1035" s="16" t="str">
        <f t="array" ref="B1035">IFERROR(MIN(IF(Raw!$A$2:$A$26=MHT!A1035,Raw!$B$2:$B$20)),"")</f>
        <v/>
      </c>
      <c r="C1035" s="13" t="str">
        <f t="array" ref="C1035">IFERROR(MIN(IF(Raw!$A$2:$A$26=MHT!A1035,Raw!$C$2:$C$20)),"")</f>
        <v/>
      </c>
      <c r="D1035" s="14" t="str">
        <f t="array" ref="D1035">IF(Raw!D1028="","",IFERROR(MAX(IF(Raw!$A$2:$A$26=MHT!A1035,Raw!$D$2:$D$20)),""))</f>
        <v/>
      </c>
      <c r="E1035" s="6" t="str">
        <f>IF(SUMIF(Raw!$A$2:$A$500, MHT!A1035, Raw!$F$2:$F$500) = TIME(0,0,0), "", SUMIF(Raw!$A$2:$A$500, MHT!A1035, Raw!$F$2:$F$500))</f>
        <v/>
      </c>
      <c r="F1035" s="12" t="str">
        <f t="array" ref="F1035">IF(A1035="", "", IF(COUNTIF(Raw!$H$1:$I$500, A1035) &gt; 0, "Done", IF(COUNTIF(Raw!$J$1:$J$500, A1035) &gt; 0, "Pause", IF(COUNTIF(Raw!$K$1:$K$500, A1035) &gt; 0, "On-Going", "Pause"))))</f>
        <v/>
      </c>
      <c r="G1035" s="24"/>
      <c r="H1035" s="24"/>
      <c r="I1035" s="24"/>
    </row>
    <row r="1036" spans="2:9" x14ac:dyDescent="0.4">
      <c r="B1036" s="16" t="str">
        <f t="array" ref="B1036">IFERROR(MIN(IF(Raw!$A$2:$A$26=MHT!A1036,Raw!$B$2:$B$20)),"")</f>
        <v/>
      </c>
      <c r="C1036" s="13" t="str">
        <f t="array" ref="C1036">IFERROR(MIN(IF(Raw!$A$2:$A$26=MHT!A1036,Raw!$C$2:$C$20)),"")</f>
        <v/>
      </c>
      <c r="D1036" s="14" t="str">
        <f t="array" ref="D1036">IF(Raw!D1029="","",IFERROR(MAX(IF(Raw!$A$2:$A$26=MHT!A1036,Raw!$D$2:$D$20)),""))</f>
        <v/>
      </c>
      <c r="E1036" s="6" t="str">
        <f>IF(SUMIF(Raw!$A$2:$A$500, MHT!A1036, Raw!$F$2:$F$500) = TIME(0,0,0), "", SUMIF(Raw!$A$2:$A$500, MHT!A1036, Raw!$F$2:$F$500))</f>
        <v/>
      </c>
      <c r="F1036" s="12" t="str">
        <f t="array" ref="F1036">IF(A1036="", "", IF(COUNTIF(Raw!$H$1:$I$500, A1036) &gt; 0, "Done", IF(COUNTIF(Raw!$J$1:$J$500, A1036) &gt; 0, "Pause", IF(COUNTIF(Raw!$K$1:$K$500, A1036) &gt; 0, "On-Going", "Pause"))))</f>
        <v/>
      </c>
      <c r="G1036" s="24"/>
      <c r="H1036" s="24"/>
      <c r="I1036" s="24"/>
    </row>
    <row r="1037" spans="2:9" x14ac:dyDescent="0.4">
      <c r="B1037" s="16" t="str">
        <f t="array" ref="B1037">IFERROR(MIN(IF(Raw!$A$2:$A$26=MHT!A1037,Raw!$B$2:$B$20)),"")</f>
        <v/>
      </c>
      <c r="C1037" s="13" t="str">
        <f t="array" ref="C1037">IFERROR(MIN(IF(Raw!$A$2:$A$26=MHT!A1037,Raw!$C$2:$C$20)),"")</f>
        <v/>
      </c>
      <c r="D1037" s="14" t="str">
        <f t="array" ref="D1037">IF(Raw!D1030="","",IFERROR(MAX(IF(Raw!$A$2:$A$26=MHT!A1037,Raw!$D$2:$D$20)),""))</f>
        <v/>
      </c>
      <c r="E1037" s="6" t="str">
        <f>IF(SUMIF(Raw!$A$2:$A$500, MHT!A1037, Raw!$F$2:$F$500) = TIME(0,0,0), "", SUMIF(Raw!$A$2:$A$500, MHT!A1037, Raw!$F$2:$F$500))</f>
        <v/>
      </c>
      <c r="F1037" s="12" t="str">
        <f t="array" ref="F1037">IF(A1037="", "", IF(COUNTIF(Raw!$H$1:$I$500, A1037) &gt; 0, "Done", IF(COUNTIF(Raw!$J$1:$J$500, A1037) &gt; 0, "Pause", IF(COUNTIF(Raw!$K$1:$K$500, A1037) &gt; 0, "On-Going", "Pause"))))</f>
        <v/>
      </c>
      <c r="G1037" s="24"/>
      <c r="H1037" s="24"/>
      <c r="I1037" s="24"/>
    </row>
    <row r="1038" spans="2:9" x14ac:dyDescent="0.4">
      <c r="B1038" s="16" t="str">
        <f t="array" ref="B1038">IFERROR(MIN(IF(Raw!$A$2:$A$26=MHT!A1038,Raw!$B$2:$B$20)),"")</f>
        <v/>
      </c>
      <c r="C1038" s="13" t="str">
        <f t="array" ref="C1038">IFERROR(MIN(IF(Raw!$A$2:$A$26=MHT!A1038,Raw!$C$2:$C$20)),"")</f>
        <v/>
      </c>
      <c r="D1038" s="14" t="str">
        <f t="array" ref="D1038">IF(Raw!D1031="","",IFERROR(MAX(IF(Raw!$A$2:$A$26=MHT!A1038,Raw!$D$2:$D$20)),""))</f>
        <v/>
      </c>
      <c r="E1038" s="6" t="str">
        <f>IF(SUMIF(Raw!$A$2:$A$500, MHT!A1038, Raw!$F$2:$F$500) = TIME(0,0,0), "", SUMIF(Raw!$A$2:$A$500, MHT!A1038, Raw!$F$2:$F$500))</f>
        <v/>
      </c>
      <c r="F1038" s="12" t="str">
        <f t="array" ref="F1038">IF(A1038="", "", IF(COUNTIF(Raw!$H$1:$I$500, A1038) &gt; 0, "Done", IF(COUNTIF(Raw!$J$1:$J$500, A1038) &gt; 0, "Pause", IF(COUNTIF(Raw!$K$1:$K$500, A1038) &gt; 0, "On-Going", "Pause"))))</f>
        <v/>
      </c>
      <c r="G1038" s="24"/>
      <c r="H1038" s="24"/>
      <c r="I1038" s="24"/>
    </row>
    <row r="1039" spans="2:9" x14ac:dyDescent="0.4">
      <c r="B1039" s="16" t="str">
        <f t="array" ref="B1039">IFERROR(MIN(IF(Raw!$A$2:$A$26=MHT!A1039,Raw!$B$2:$B$20)),"")</f>
        <v/>
      </c>
      <c r="C1039" s="13" t="str">
        <f t="array" ref="C1039">IFERROR(MIN(IF(Raw!$A$2:$A$26=MHT!A1039,Raw!$C$2:$C$20)),"")</f>
        <v/>
      </c>
      <c r="D1039" s="14" t="str">
        <f t="array" ref="D1039">IF(Raw!D1032="","",IFERROR(MAX(IF(Raw!$A$2:$A$26=MHT!A1039,Raw!$D$2:$D$20)),""))</f>
        <v/>
      </c>
      <c r="E1039" s="6" t="str">
        <f>IF(SUMIF(Raw!$A$2:$A$500, MHT!A1039, Raw!$F$2:$F$500) = TIME(0,0,0), "", SUMIF(Raw!$A$2:$A$500, MHT!A1039, Raw!$F$2:$F$500))</f>
        <v/>
      </c>
      <c r="F1039" s="12" t="str">
        <f t="array" ref="F1039">IF(A1039="", "", IF(COUNTIF(Raw!$H$1:$I$500, A1039) &gt; 0, "Done", IF(COUNTIF(Raw!$J$1:$J$500, A1039) &gt; 0, "Pause", IF(COUNTIF(Raw!$K$1:$K$500, A1039) &gt; 0, "On-Going", "Pause"))))</f>
        <v/>
      </c>
      <c r="G1039" s="24"/>
      <c r="H1039" s="24"/>
      <c r="I1039" s="24"/>
    </row>
    <row r="1040" spans="2:9" x14ac:dyDescent="0.4">
      <c r="B1040" s="16" t="str">
        <f t="array" ref="B1040">IFERROR(MIN(IF(Raw!$A$2:$A$26=MHT!A1040,Raw!$B$2:$B$20)),"")</f>
        <v/>
      </c>
      <c r="C1040" s="13" t="str">
        <f t="array" ref="C1040">IFERROR(MIN(IF(Raw!$A$2:$A$26=MHT!A1040,Raw!$C$2:$C$20)),"")</f>
        <v/>
      </c>
      <c r="D1040" s="14" t="str">
        <f t="array" ref="D1040">IF(Raw!D1033="","",IFERROR(MAX(IF(Raw!$A$2:$A$26=MHT!A1040,Raw!$D$2:$D$20)),""))</f>
        <v/>
      </c>
      <c r="E1040" s="6" t="str">
        <f>IF(SUMIF(Raw!$A$2:$A$500, MHT!A1040, Raw!$F$2:$F$500) = TIME(0,0,0), "", SUMIF(Raw!$A$2:$A$500, MHT!A1040, Raw!$F$2:$F$500))</f>
        <v/>
      </c>
      <c r="F1040" s="12" t="str">
        <f t="array" ref="F1040">IF(A1040="", "", IF(COUNTIF(Raw!$H$1:$I$500, A1040) &gt; 0, "Done", IF(COUNTIF(Raw!$J$1:$J$500, A1040) &gt; 0, "Pause", IF(COUNTIF(Raw!$K$1:$K$500, A1040) &gt; 0, "On-Going", "Pause"))))</f>
        <v/>
      </c>
      <c r="G1040" s="24"/>
      <c r="H1040" s="24"/>
      <c r="I1040" s="24"/>
    </row>
    <row r="1041" spans="2:9" x14ac:dyDescent="0.4">
      <c r="B1041" s="16" t="str">
        <f t="array" ref="B1041">IFERROR(MIN(IF(Raw!$A$2:$A$26=MHT!A1041,Raw!$B$2:$B$20)),"")</f>
        <v/>
      </c>
      <c r="C1041" s="13" t="str">
        <f t="array" ref="C1041">IFERROR(MIN(IF(Raw!$A$2:$A$26=MHT!A1041,Raw!$C$2:$C$20)),"")</f>
        <v/>
      </c>
      <c r="D1041" s="14" t="str">
        <f t="array" ref="D1041">IF(Raw!D1034="","",IFERROR(MAX(IF(Raw!$A$2:$A$26=MHT!A1041,Raw!$D$2:$D$20)),""))</f>
        <v/>
      </c>
      <c r="E1041" s="6" t="str">
        <f>IF(SUMIF(Raw!$A$2:$A$500, MHT!A1041, Raw!$F$2:$F$500) = TIME(0,0,0), "", SUMIF(Raw!$A$2:$A$500, MHT!A1041, Raw!$F$2:$F$500))</f>
        <v/>
      </c>
      <c r="F1041" s="12" t="str">
        <f t="array" ref="F1041">IF(A1041="", "", IF(COUNTIF(Raw!$H$1:$I$500, A1041) &gt; 0, "Done", IF(COUNTIF(Raw!$J$1:$J$500, A1041) &gt; 0, "Pause", IF(COUNTIF(Raw!$K$1:$K$500, A1041) &gt; 0, "On-Going", "Pause"))))</f>
        <v/>
      </c>
      <c r="G1041" s="24"/>
      <c r="H1041" s="24"/>
      <c r="I1041" s="24"/>
    </row>
    <row r="1042" spans="2:9" x14ac:dyDescent="0.4">
      <c r="B1042" s="16" t="str">
        <f t="array" ref="B1042">IFERROR(MIN(IF(Raw!$A$2:$A$26=MHT!A1042,Raw!$B$2:$B$20)),"")</f>
        <v/>
      </c>
      <c r="C1042" s="13" t="str">
        <f t="array" ref="C1042">IFERROR(MIN(IF(Raw!$A$2:$A$26=MHT!A1042,Raw!$C$2:$C$20)),"")</f>
        <v/>
      </c>
      <c r="D1042" s="14" t="str">
        <f t="array" ref="D1042">IF(Raw!D1035="","",IFERROR(MAX(IF(Raw!$A$2:$A$26=MHT!A1042,Raw!$D$2:$D$20)),""))</f>
        <v/>
      </c>
      <c r="E1042" s="6" t="str">
        <f>IF(SUMIF(Raw!$A$2:$A$500, MHT!A1042, Raw!$F$2:$F$500) = TIME(0,0,0), "", SUMIF(Raw!$A$2:$A$500, MHT!A1042, Raw!$F$2:$F$500))</f>
        <v/>
      </c>
      <c r="F1042" s="12" t="str">
        <f t="array" ref="F1042">IF(A1042="", "", IF(COUNTIF(Raw!$H$1:$I$500, A1042) &gt; 0, "Done", IF(COUNTIF(Raw!$J$1:$J$500, A1042) &gt; 0, "Pause", IF(COUNTIF(Raw!$K$1:$K$500, A1042) &gt; 0, "On-Going", "Pause"))))</f>
        <v/>
      </c>
      <c r="G1042" s="24"/>
      <c r="H1042" s="24"/>
      <c r="I1042" s="24"/>
    </row>
    <row r="1043" spans="2:9" x14ac:dyDescent="0.4">
      <c r="B1043" s="16" t="str">
        <f t="array" ref="B1043">IFERROR(MIN(IF(Raw!$A$2:$A$26=MHT!A1043,Raw!$B$2:$B$20)),"")</f>
        <v/>
      </c>
      <c r="C1043" s="13" t="str">
        <f t="array" ref="C1043">IFERROR(MIN(IF(Raw!$A$2:$A$26=MHT!A1043,Raw!$C$2:$C$20)),"")</f>
        <v/>
      </c>
      <c r="D1043" s="14" t="str">
        <f t="array" ref="D1043">IF(Raw!D1036="","",IFERROR(MAX(IF(Raw!$A$2:$A$26=MHT!A1043,Raw!$D$2:$D$20)),""))</f>
        <v/>
      </c>
      <c r="E1043" s="6" t="str">
        <f>IF(SUMIF(Raw!$A$2:$A$500, MHT!A1043, Raw!$F$2:$F$500) = TIME(0,0,0), "", SUMIF(Raw!$A$2:$A$500, MHT!A1043, Raw!$F$2:$F$500))</f>
        <v/>
      </c>
      <c r="F1043" s="12" t="str">
        <f t="array" ref="F1043">IF(A1043="", "", IF(COUNTIF(Raw!$H$1:$I$500, A1043) &gt; 0, "Done", IF(COUNTIF(Raw!$J$1:$J$500, A1043) &gt; 0, "Pause", IF(COUNTIF(Raw!$K$1:$K$500, A1043) &gt; 0, "On-Going", "Pause"))))</f>
        <v/>
      </c>
      <c r="G1043" s="24"/>
      <c r="H1043" s="24"/>
      <c r="I1043" s="24"/>
    </row>
    <row r="1044" spans="2:9" x14ac:dyDescent="0.4">
      <c r="B1044" s="16" t="str">
        <f t="array" ref="B1044">IFERROR(MIN(IF(Raw!$A$2:$A$26=MHT!A1044,Raw!$B$2:$B$20)),"")</f>
        <v/>
      </c>
      <c r="C1044" s="13" t="str">
        <f t="array" ref="C1044">IFERROR(MIN(IF(Raw!$A$2:$A$26=MHT!A1044,Raw!$C$2:$C$20)),"")</f>
        <v/>
      </c>
      <c r="D1044" s="14" t="str">
        <f t="array" ref="D1044">IF(Raw!D1037="","",IFERROR(MAX(IF(Raw!$A$2:$A$26=MHT!A1044,Raw!$D$2:$D$20)),""))</f>
        <v/>
      </c>
      <c r="E1044" s="6" t="str">
        <f>IF(SUMIF(Raw!$A$2:$A$500, MHT!A1044, Raw!$F$2:$F$500) = TIME(0,0,0), "", SUMIF(Raw!$A$2:$A$500, MHT!A1044, Raw!$F$2:$F$500))</f>
        <v/>
      </c>
      <c r="F1044" s="12" t="str">
        <f t="array" ref="F1044">IF(A1044="", "", IF(COUNTIF(Raw!$H$1:$I$500, A1044) &gt; 0, "Done", IF(COUNTIF(Raw!$J$1:$J$500, A1044) &gt; 0, "Pause", IF(COUNTIF(Raw!$K$1:$K$500, A1044) &gt; 0, "On-Going", "Pause"))))</f>
        <v/>
      </c>
      <c r="G1044" s="24"/>
      <c r="H1044" s="24"/>
      <c r="I1044" s="24"/>
    </row>
    <row r="1045" spans="2:9" x14ac:dyDescent="0.4">
      <c r="B1045" s="16" t="str">
        <f t="array" ref="B1045">IFERROR(MIN(IF(Raw!$A$2:$A$26=MHT!A1045,Raw!$B$2:$B$20)),"")</f>
        <v/>
      </c>
      <c r="C1045" s="13" t="str">
        <f t="array" ref="C1045">IFERROR(MIN(IF(Raw!$A$2:$A$26=MHT!A1045,Raw!$C$2:$C$20)),"")</f>
        <v/>
      </c>
      <c r="D1045" s="14" t="str">
        <f t="array" ref="D1045">IF(Raw!D1038="","",IFERROR(MAX(IF(Raw!$A$2:$A$26=MHT!A1045,Raw!$D$2:$D$20)),""))</f>
        <v/>
      </c>
      <c r="E1045" s="6" t="str">
        <f>IF(SUMIF(Raw!$A$2:$A$500, MHT!A1045, Raw!$F$2:$F$500) = TIME(0,0,0), "", SUMIF(Raw!$A$2:$A$500, MHT!A1045, Raw!$F$2:$F$500))</f>
        <v/>
      </c>
      <c r="F1045" s="12" t="str">
        <f t="array" ref="F1045">IF(A1045="", "", IF(COUNTIF(Raw!$H$1:$I$500, A1045) &gt; 0, "Done", IF(COUNTIF(Raw!$J$1:$J$500, A1045) &gt; 0, "Pause", IF(COUNTIF(Raw!$K$1:$K$500, A1045) &gt; 0, "On-Going", "Pause"))))</f>
        <v/>
      </c>
      <c r="G1045" s="24"/>
      <c r="H1045" s="24"/>
      <c r="I1045" s="24"/>
    </row>
    <row r="1046" spans="2:9" x14ac:dyDescent="0.4">
      <c r="B1046" s="16" t="str">
        <f t="array" ref="B1046">IFERROR(MIN(IF(Raw!$A$2:$A$26=MHT!A1046,Raw!$B$2:$B$20)),"")</f>
        <v/>
      </c>
      <c r="C1046" s="13" t="str">
        <f t="array" ref="C1046">IFERROR(MIN(IF(Raw!$A$2:$A$26=MHT!A1046,Raw!$C$2:$C$20)),"")</f>
        <v/>
      </c>
      <c r="D1046" s="14" t="str">
        <f t="array" ref="D1046">IF(Raw!D1039="","",IFERROR(MAX(IF(Raw!$A$2:$A$26=MHT!A1046,Raw!$D$2:$D$20)),""))</f>
        <v/>
      </c>
      <c r="E1046" s="6" t="str">
        <f>IF(SUMIF(Raw!$A$2:$A$500, MHT!A1046, Raw!$F$2:$F$500) = TIME(0,0,0), "", SUMIF(Raw!$A$2:$A$500, MHT!A1046, Raw!$F$2:$F$500))</f>
        <v/>
      </c>
      <c r="F1046" s="12" t="str">
        <f t="array" ref="F1046">IF(A1046="", "", IF(COUNTIF(Raw!$H$1:$I$500, A1046) &gt; 0, "Done", IF(COUNTIF(Raw!$J$1:$J$500, A1046) &gt; 0, "Pause", IF(COUNTIF(Raw!$K$1:$K$500, A1046) &gt; 0, "On-Going", "Pause"))))</f>
        <v/>
      </c>
      <c r="G1046" s="24"/>
      <c r="H1046" s="24"/>
      <c r="I1046" s="24"/>
    </row>
    <row r="1047" spans="2:9" x14ac:dyDescent="0.4">
      <c r="B1047" s="16" t="str">
        <f t="array" ref="B1047">IFERROR(MIN(IF(Raw!$A$2:$A$26=MHT!A1047,Raw!$B$2:$B$20)),"")</f>
        <v/>
      </c>
      <c r="C1047" s="13" t="str">
        <f t="array" ref="C1047">IFERROR(MIN(IF(Raw!$A$2:$A$26=MHT!A1047,Raw!$C$2:$C$20)),"")</f>
        <v/>
      </c>
      <c r="D1047" s="14" t="str">
        <f t="array" ref="D1047">IF(Raw!D1040="","",IFERROR(MAX(IF(Raw!$A$2:$A$26=MHT!A1047,Raw!$D$2:$D$20)),""))</f>
        <v/>
      </c>
      <c r="E1047" s="6" t="str">
        <f>IF(SUMIF(Raw!$A$2:$A$500, MHT!A1047, Raw!$F$2:$F$500) = TIME(0,0,0), "", SUMIF(Raw!$A$2:$A$500, MHT!A1047, Raw!$F$2:$F$500))</f>
        <v/>
      </c>
      <c r="F1047" s="12" t="str">
        <f t="array" ref="F1047">IF(A1047="", "", IF(COUNTIF(Raw!$H$1:$I$500, A1047) &gt; 0, "Done", IF(COUNTIF(Raw!$J$1:$J$500, A1047) &gt; 0, "Pause", IF(COUNTIF(Raw!$K$1:$K$500, A1047) &gt; 0, "On-Going", "Pause"))))</f>
        <v/>
      </c>
      <c r="G1047" s="24"/>
      <c r="H1047" s="24"/>
      <c r="I1047" s="24"/>
    </row>
    <row r="1048" spans="2:9" x14ac:dyDescent="0.4">
      <c r="B1048" s="16" t="str">
        <f t="array" ref="B1048">IFERROR(MIN(IF(Raw!$A$2:$A$26=MHT!A1048,Raw!$B$2:$B$20)),"")</f>
        <v/>
      </c>
      <c r="C1048" s="13" t="str">
        <f t="array" ref="C1048">IFERROR(MIN(IF(Raw!$A$2:$A$26=MHT!A1048,Raw!$C$2:$C$20)),"")</f>
        <v/>
      </c>
      <c r="D1048" s="14" t="str">
        <f t="array" ref="D1048">IF(Raw!D1041="","",IFERROR(MAX(IF(Raw!$A$2:$A$26=MHT!A1048,Raw!$D$2:$D$20)),""))</f>
        <v/>
      </c>
      <c r="E1048" s="6" t="str">
        <f>IF(SUMIF(Raw!$A$2:$A$500, MHT!A1048, Raw!$F$2:$F$500) = TIME(0,0,0), "", SUMIF(Raw!$A$2:$A$500, MHT!A1048, Raw!$F$2:$F$500))</f>
        <v/>
      </c>
      <c r="F1048" s="12" t="str">
        <f t="array" ref="F1048">IF(A1048="", "", IF(COUNTIF(Raw!$H$1:$I$500, A1048) &gt; 0, "Done", IF(COUNTIF(Raw!$J$1:$J$500, A1048) &gt; 0, "Pause", IF(COUNTIF(Raw!$K$1:$K$500, A1048) &gt; 0, "On-Going", "Pause"))))</f>
        <v/>
      </c>
      <c r="G1048" s="24"/>
      <c r="H1048" s="24"/>
      <c r="I1048" s="24"/>
    </row>
    <row r="1049" spans="2:9" x14ac:dyDescent="0.4">
      <c r="B1049" s="16" t="str">
        <f t="array" ref="B1049">IFERROR(MIN(IF(Raw!$A$2:$A$26=MHT!A1049,Raw!$B$2:$B$20)),"")</f>
        <v/>
      </c>
      <c r="C1049" s="13" t="str">
        <f t="array" ref="C1049">IFERROR(MIN(IF(Raw!$A$2:$A$26=MHT!A1049,Raw!$C$2:$C$20)),"")</f>
        <v/>
      </c>
      <c r="D1049" s="14" t="str">
        <f t="array" ref="D1049">IF(Raw!D1042="","",IFERROR(MAX(IF(Raw!$A$2:$A$26=MHT!A1049,Raw!$D$2:$D$20)),""))</f>
        <v/>
      </c>
      <c r="E1049" s="6" t="str">
        <f>IF(SUMIF(Raw!$A$2:$A$500, MHT!A1049, Raw!$F$2:$F$500) = TIME(0,0,0), "", SUMIF(Raw!$A$2:$A$500, MHT!A1049, Raw!$F$2:$F$500))</f>
        <v/>
      </c>
      <c r="F1049" s="12" t="str">
        <f t="array" ref="F1049">IF(A1049="", "", IF(COUNTIF(Raw!$H$1:$I$500, A1049) &gt; 0, "Done", IF(COUNTIF(Raw!$J$1:$J$500, A1049) &gt; 0, "Pause", IF(COUNTIF(Raw!$K$1:$K$500, A1049) &gt; 0, "On-Going", "Pause"))))</f>
        <v/>
      </c>
      <c r="G1049" s="24"/>
      <c r="H1049" s="24"/>
      <c r="I1049" s="24"/>
    </row>
    <row r="1050" spans="2:9" x14ac:dyDescent="0.4">
      <c r="B1050" s="16" t="str">
        <f t="array" ref="B1050">IFERROR(MIN(IF(Raw!$A$2:$A$26=MHT!A1050,Raw!$B$2:$B$20)),"")</f>
        <v/>
      </c>
      <c r="C1050" s="13" t="str">
        <f t="array" ref="C1050">IFERROR(MIN(IF(Raw!$A$2:$A$26=MHT!A1050,Raw!$C$2:$C$20)),"")</f>
        <v/>
      </c>
      <c r="D1050" s="14" t="str">
        <f t="array" ref="D1050">IF(Raw!D1043="","",IFERROR(MAX(IF(Raw!$A$2:$A$26=MHT!A1050,Raw!$D$2:$D$20)),""))</f>
        <v/>
      </c>
      <c r="E1050" s="6" t="str">
        <f>IF(SUMIF(Raw!$A$2:$A$500, MHT!A1050, Raw!$F$2:$F$500) = TIME(0,0,0), "", SUMIF(Raw!$A$2:$A$500, MHT!A1050, Raw!$F$2:$F$500))</f>
        <v/>
      </c>
      <c r="F1050" s="12" t="str">
        <f t="array" ref="F1050">IF(A1050="", "", IF(COUNTIF(Raw!$H$1:$I$500, A1050) &gt; 0, "Done", IF(COUNTIF(Raw!$J$1:$J$500, A1050) &gt; 0, "Pause", IF(COUNTIF(Raw!$K$1:$K$500, A1050) &gt; 0, "On-Going", "Pause"))))</f>
        <v/>
      </c>
      <c r="G1050" s="24"/>
      <c r="H1050" s="24"/>
      <c r="I1050" s="24"/>
    </row>
    <row r="1051" spans="2:9" x14ac:dyDescent="0.4">
      <c r="B1051" s="16" t="str">
        <f t="array" ref="B1051">IFERROR(MIN(IF(Raw!$A$2:$A$26=MHT!A1051,Raw!$B$2:$B$20)),"")</f>
        <v/>
      </c>
      <c r="C1051" s="13" t="str">
        <f t="array" ref="C1051">IFERROR(MIN(IF(Raw!$A$2:$A$26=MHT!A1051,Raw!$C$2:$C$20)),"")</f>
        <v/>
      </c>
      <c r="D1051" s="14" t="str">
        <f t="array" ref="D1051">IF(Raw!D1044="","",IFERROR(MAX(IF(Raw!$A$2:$A$26=MHT!A1051,Raw!$D$2:$D$20)),""))</f>
        <v/>
      </c>
      <c r="E1051" s="6" t="str">
        <f>IF(SUMIF(Raw!$A$2:$A$500, MHT!A1051, Raw!$F$2:$F$500) = TIME(0,0,0), "", SUMIF(Raw!$A$2:$A$500, MHT!A1051, Raw!$F$2:$F$500))</f>
        <v/>
      </c>
      <c r="F1051" s="12" t="str">
        <f t="array" ref="F1051">IF(A1051="", "", IF(COUNTIF(Raw!$H$1:$I$500, A1051) &gt; 0, "Done", IF(COUNTIF(Raw!$J$1:$J$500, A1051) &gt; 0, "Pause", IF(COUNTIF(Raw!$K$1:$K$500, A1051) &gt; 0, "On-Going", "Pause"))))</f>
        <v/>
      </c>
      <c r="G1051" s="24"/>
      <c r="H1051" s="24"/>
      <c r="I1051" s="24"/>
    </row>
    <row r="1052" spans="2:9" x14ac:dyDescent="0.4">
      <c r="B1052" s="16" t="str">
        <f t="array" ref="B1052">IFERROR(MIN(IF(Raw!$A$2:$A$26=MHT!A1052,Raw!$B$2:$B$20)),"")</f>
        <v/>
      </c>
      <c r="C1052" s="13" t="str">
        <f t="array" ref="C1052">IFERROR(MIN(IF(Raw!$A$2:$A$26=MHT!A1052,Raw!$C$2:$C$20)),"")</f>
        <v/>
      </c>
      <c r="D1052" s="14" t="str">
        <f t="array" ref="D1052">IF(Raw!D1045="","",IFERROR(MAX(IF(Raw!$A$2:$A$26=MHT!A1052,Raw!$D$2:$D$20)),""))</f>
        <v/>
      </c>
      <c r="E1052" s="6" t="str">
        <f>IF(SUMIF(Raw!$A$2:$A$500, MHT!A1052, Raw!$F$2:$F$500) = TIME(0,0,0), "", SUMIF(Raw!$A$2:$A$500, MHT!A1052, Raw!$F$2:$F$500))</f>
        <v/>
      </c>
      <c r="F1052" s="12" t="str">
        <f t="array" ref="F1052">IF(A1052="", "", IF(COUNTIF(Raw!$H$1:$I$500, A1052) &gt; 0, "Done", IF(COUNTIF(Raw!$J$1:$J$500, A1052) &gt; 0, "Pause", IF(COUNTIF(Raw!$K$1:$K$500, A1052) &gt; 0, "On-Going", "Pause"))))</f>
        <v/>
      </c>
      <c r="G1052" s="24"/>
      <c r="H1052" s="24"/>
      <c r="I1052" s="24"/>
    </row>
    <row r="1053" spans="2:9" x14ac:dyDescent="0.4">
      <c r="B1053" s="16" t="str">
        <f t="array" ref="B1053">IFERROR(MIN(IF(Raw!$A$2:$A$26=MHT!A1053,Raw!$B$2:$B$20)),"")</f>
        <v/>
      </c>
      <c r="C1053" s="13" t="str">
        <f t="array" ref="C1053">IFERROR(MIN(IF(Raw!$A$2:$A$26=MHT!A1053,Raw!$C$2:$C$20)),"")</f>
        <v/>
      </c>
      <c r="D1053" s="14" t="str">
        <f t="array" ref="D1053">IF(Raw!D1046="","",IFERROR(MAX(IF(Raw!$A$2:$A$26=MHT!A1053,Raw!$D$2:$D$20)),""))</f>
        <v/>
      </c>
      <c r="E1053" s="6" t="str">
        <f>IF(SUMIF(Raw!$A$2:$A$500, MHT!A1053, Raw!$F$2:$F$500) = TIME(0,0,0), "", SUMIF(Raw!$A$2:$A$500, MHT!A1053, Raw!$F$2:$F$500))</f>
        <v/>
      </c>
      <c r="F1053" s="12" t="str">
        <f t="array" ref="F1053">IF(A1053="", "", IF(COUNTIF(Raw!$H$1:$I$500, A1053) &gt; 0, "Done", IF(COUNTIF(Raw!$J$1:$J$500, A1053) &gt; 0, "Pause", IF(COUNTIF(Raw!$K$1:$K$500, A1053) &gt; 0, "On-Going", "Pause"))))</f>
        <v/>
      </c>
      <c r="G1053" s="24"/>
      <c r="H1053" s="24"/>
      <c r="I1053" s="24"/>
    </row>
    <row r="1054" spans="2:9" x14ac:dyDescent="0.4">
      <c r="B1054" s="16" t="str">
        <f t="array" ref="B1054">IFERROR(MIN(IF(Raw!$A$2:$A$26=MHT!A1054,Raw!$B$2:$B$20)),"")</f>
        <v/>
      </c>
      <c r="C1054" s="13" t="str">
        <f t="array" ref="C1054">IFERROR(MIN(IF(Raw!$A$2:$A$26=MHT!A1054,Raw!$C$2:$C$20)),"")</f>
        <v/>
      </c>
      <c r="D1054" s="14" t="str">
        <f t="array" ref="D1054">IF(Raw!D1047="","",IFERROR(MAX(IF(Raw!$A$2:$A$26=MHT!A1054,Raw!$D$2:$D$20)),""))</f>
        <v/>
      </c>
      <c r="E1054" s="6" t="str">
        <f>IF(SUMIF(Raw!$A$2:$A$500, MHT!A1054, Raw!$F$2:$F$500) = TIME(0,0,0), "", SUMIF(Raw!$A$2:$A$500, MHT!A1054, Raw!$F$2:$F$500))</f>
        <v/>
      </c>
      <c r="F1054" s="12" t="str">
        <f t="array" ref="F1054">IF(A1054="", "", IF(COUNTIF(Raw!$H$1:$I$500, A1054) &gt; 0, "Done", IF(COUNTIF(Raw!$J$1:$J$500, A1054) &gt; 0, "Pause", IF(COUNTIF(Raw!$K$1:$K$500, A1054) &gt; 0, "On-Going", "Pause"))))</f>
        <v/>
      </c>
      <c r="G1054" s="24"/>
      <c r="H1054" s="24"/>
      <c r="I1054" s="24"/>
    </row>
    <row r="1055" spans="2:9" x14ac:dyDescent="0.4">
      <c r="B1055" s="16" t="str">
        <f t="array" ref="B1055">IFERROR(MIN(IF(Raw!$A$2:$A$26=MHT!A1055,Raw!$B$2:$B$20)),"")</f>
        <v/>
      </c>
      <c r="C1055" s="13" t="str">
        <f t="array" ref="C1055">IFERROR(MIN(IF(Raw!$A$2:$A$26=MHT!A1055,Raw!$C$2:$C$20)),"")</f>
        <v/>
      </c>
      <c r="D1055" s="14" t="str">
        <f t="array" ref="D1055">IF(Raw!D1048="","",IFERROR(MAX(IF(Raw!$A$2:$A$26=MHT!A1055,Raw!$D$2:$D$20)),""))</f>
        <v/>
      </c>
      <c r="E1055" s="6" t="str">
        <f>IF(SUMIF(Raw!$A$2:$A$500, MHT!A1055, Raw!$F$2:$F$500) = TIME(0,0,0), "", SUMIF(Raw!$A$2:$A$500, MHT!A1055, Raw!$F$2:$F$500))</f>
        <v/>
      </c>
      <c r="F1055" s="12" t="str">
        <f t="array" ref="F1055">IF(A1055="", "", IF(COUNTIF(Raw!$H$1:$I$500, A1055) &gt; 0, "Done", IF(COUNTIF(Raw!$J$1:$J$500, A1055) &gt; 0, "Pause", IF(COUNTIF(Raw!$K$1:$K$500, A1055) &gt; 0, "On-Going", "Pause"))))</f>
        <v/>
      </c>
      <c r="G1055" s="24"/>
      <c r="H1055" s="24"/>
      <c r="I1055" s="24"/>
    </row>
    <row r="1056" spans="2:9" x14ac:dyDescent="0.4">
      <c r="B1056" s="16" t="str">
        <f t="array" ref="B1056">IFERROR(MIN(IF(Raw!$A$2:$A$26=MHT!A1056,Raw!$B$2:$B$20)),"")</f>
        <v/>
      </c>
      <c r="C1056" s="13" t="str">
        <f t="array" ref="C1056">IFERROR(MIN(IF(Raw!$A$2:$A$26=MHT!A1056,Raw!$C$2:$C$20)),"")</f>
        <v/>
      </c>
      <c r="D1056" s="14" t="str">
        <f t="array" ref="D1056">IF(Raw!D1049="","",IFERROR(MAX(IF(Raw!$A$2:$A$26=MHT!A1056,Raw!$D$2:$D$20)),""))</f>
        <v/>
      </c>
      <c r="E1056" s="6" t="str">
        <f>IF(SUMIF(Raw!$A$2:$A$500, MHT!A1056, Raw!$F$2:$F$500) = TIME(0,0,0), "", SUMIF(Raw!$A$2:$A$500, MHT!A1056, Raw!$F$2:$F$500))</f>
        <v/>
      </c>
      <c r="F1056" s="12" t="str">
        <f t="array" ref="F1056">IF(A1056="", "", IF(COUNTIF(Raw!$H$1:$I$500, A1056) &gt; 0, "Done", IF(COUNTIF(Raw!$J$1:$J$500, A1056) &gt; 0, "Pause", IF(COUNTIF(Raw!$K$1:$K$500, A1056) &gt; 0, "On-Going", "Pause"))))</f>
        <v/>
      </c>
      <c r="G1056" s="24"/>
      <c r="H1056" s="24"/>
      <c r="I1056" s="24"/>
    </row>
    <row r="1057" spans="2:9" x14ac:dyDescent="0.4">
      <c r="B1057" s="16" t="str">
        <f t="array" ref="B1057">IFERROR(MIN(IF(Raw!$A$2:$A$26=MHT!A1057,Raw!$B$2:$B$20)),"")</f>
        <v/>
      </c>
      <c r="C1057" s="13" t="str">
        <f t="array" ref="C1057">IFERROR(MIN(IF(Raw!$A$2:$A$26=MHT!A1057,Raw!$C$2:$C$20)),"")</f>
        <v/>
      </c>
      <c r="D1057" s="14" t="str">
        <f t="array" ref="D1057">IF(Raw!D1050="","",IFERROR(MAX(IF(Raw!$A$2:$A$26=MHT!A1057,Raw!$D$2:$D$20)),""))</f>
        <v/>
      </c>
      <c r="E1057" s="6" t="str">
        <f>IF(SUMIF(Raw!$A$2:$A$500, MHT!A1057, Raw!$F$2:$F$500) = TIME(0,0,0), "", SUMIF(Raw!$A$2:$A$500, MHT!A1057, Raw!$F$2:$F$500))</f>
        <v/>
      </c>
      <c r="F1057" s="12" t="str">
        <f t="array" ref="F1057">IF(A1057="", "", IF(COUNTIF(Raw!$H$1:$I$500, A1057) &gt; 0, "Done", IF(COUNTIF(Raw!$J$1:$J$500, A1057) &gt; 0, "Pause", IF(COUNTIF(Raw!$K$1:$K$500, A1057) &gt; 0, "On-Going", "Pause"))))</f>
        <v/>
      </c>
      <c r="G1057" s="24"/>
      <c r="H1057" s="24"/>
      <c r="I1057" s="24"/>
    </row>
    <row r="1058" spans="2:9" x14ac:dyDescent="0.4">
      <c r="B1058" s="16" t="str">
        <f t="array" ref="B1058">IFERROR(MIN(IF(Raw!$A$2:$A$26=MHT!A1058,Raw!$B$2:$B$20)),"")</f>
        <v/>
      </c>
      <c r="C1058" s="13" t="str">
        <f t="array" ref="C1058">IFERROR(MIN(IF(Raw!$A$2:$A$26=MHT!A1058,Raw!$C$2:$C$20)),"")</f>
        <v/>
      </c>
      <c r="D1058" s="14" t="str">
        <f t="array" ref="D1058">IF(Raw!D1051="","",IFERROR(MAX(IF(Raw!$A$2:$A$26=MHT!A1058,Raw!$D$2:$D$20)),""))</f>
        <v/>
      </c>
      <c r="E1058" s="6" t="str">
        <f>IF(SUMIF(Raw!$A$2:$A$500, MHT!A1058, Raw!$F$2:$F$500) = TIME(0,0,0), "", SUMIF(Raw!$A$2:$A$500, MHT!A1058, Raw!$F$2:$F$500))</f>
        <v/>
      </c>
      <c r="F1058" s="12" t="str">
        <f t="array" ref="F1058">IF(A1058="", "", IF(COUNTIF(Raw!$H$1:$I$500, A1058) &gt; 0, "Done", IF(COUNTIF(Raw!$J$1:$J$500, A1058) &gt; 0, "Pause", IF(COUNTIF(Raw!$K$1:$K$500, A1058) &gt; 0, "On-Going", "Pause"))))</f>
        <v/>
      </c>
      <c r="G1058" s="24"/>
      <c r="H1058" s="24"/>
      <c r="I1058" s="24"/>
    </row>
    <row r="1059" spans="2:9" x14ac:dyDescent="0.4">
      <c r="B1059" s="16" t="str">
        <f t="array" ref="B1059">IFERROR(MIN(IF(Raw!$A$2:$A$26=MHT!A1059,Raw!$B$2:$B$20)),"")</f>
        <v/>
      </c>
      <c r="C1059" s="13" t="str">
        <f t="array" ref="C1059">IFERROR(MIN(IF(Raw!$A$2:$A$26=MHT!A1059,Raw!$C$2:$C$20)),"")</f>
        <v/>
      </c>
      <c r="D1059" s="14" t="str">
        <f t="array" ref="D1059">IF(Raw!D1052="","",IFERROR(MAX(IF(Raw!$A$2:$A$26=MHT!A1059,Raw!$D$2:$D$20)),""))</f>
        <v/>
      </c>
      <c r="E1059" s="6" t="str">
        <f>IF(SUMIF(Raw!$A$2:$A$500, MHT!A1059, Raw!$F$2:$F$500) = TIME(0,0,0), "", SUMIF(Raw!$A$2:$A$500, MHT!A1059, Raw!$F$2:$F$500))</f>
        <v/>
      </c>
      <c r="F1059" s="12" t="str">
        <f t="array" ref="F1059">IF(A1059="", "", IF(COUNTIF(Raw!$H$1:$I$500, A1059) &gt; 0, "Done", IF(COUNTIF(Raw!$J$1:$J$500, A1059) &gt; 0, "Pause", IF(COUNTIF(Raw!$K$1:$K$500, A1059) &gt; 0, "On-Going", "Pause"))))</f>
        <v/>
      </c>
      <c r="G1059" s="24"/>
      <c r="H1059" s="24"/>
      <c r="I1059" s="24"/>
    </row>
    <row r="1060" spans="2:9" x14ac:dyDescent="0.4">
      <c r="B1060" s="16" t="str">
        <f t="array" ref="B1060">IFERROR(MIN(IF(Raw!$A$2:$A$26=MHT!A1060,Raw!$B$2:$B$20)),"")</f>
        <v/>
      </c>
      <c r="C1060" s="13" t="str">
        <f t="array" ref="C1060">IFERROR(MIN(IF(Raw!$A$2:$A$26=MHT!A1060,Raw!$C$2:$C$20)),"")</f>
        <v/>
      </c>
      <c r="D1060" s="14" t="str">
        <f t="array" ref="D1060">IF(Raw!D1053="","",IFERROR(MAX(IF(Raw!$A$2:$A$26=MHT!A1060,Raw!$D$2:$D$20)),""))</f>
        <v/>
      </c>
      <c r="E1060" s="6" t="str">
        <f>IF(SUMIF(Raw!$A$2:$A$500, MHT!A1060, Raw!$F$2:$F$500) = TIME(0,0,0), "", SUMIF(Raw!$A$2:$A$500, MHT!A1060, Raw!$F$2:$F$500))</f>
        <v/>
      </c>
      <c r="F1060" s="12" t="str">
        <f t="array" ref="F1060">IF(A1060="", "", IF(COUNTIF(Raw!$H$1:$I$500, A1060) &gt; 0, "Done", IF(COUNTIF(Raw!$J$1:$J$500, A1060) &gt; 0, "Pause", IF(COUNTIF(Raw!$K$1:$K$500, A1060) &gt; 0, "On-Going", "Pause"))))</f>
        <v/>
      </c>
      <c r="G1060" s="24"/>
      <c r="H1060" s="24"/>
      <c r="I1060" s="24"/>
    </row>
    <row r="1061" spans="2:9" x14ac:dyDescent="0.4">
      <c r="B1061" s="16" t="str">
        <f t="array" ref="B1061">IFERROR(MIN(IF(Raw!$A$2:$A$26=MHT!A1061,Raw!$B$2:$B$20)),"")</f>
        <v/>
      </c>
      <c r="C1061" s="13" t="str">
        <f t="array" ref="C1061">IFERROR(MIN(IF(Raw!$A$2:$A$26=MHT!A1061,Raw!$C$2:$C$20)),"")</f>
        <v/>
      </c>
      <c r="D1061" s="14" t="str">
        <f t="array" ref="D1061">IF(Raw!D1054="","",IFERROR(MAX(IF(Raw!$A$2:$A$26=MHT!A1061,Raw!$D$2:$D$20)),""))</f>
        <v/>
      </c>
      <c r="E1061" s="6" t="str">
        <f>IF(SUMIF(Raw!$A$2:$A$500, MHT!A1061, Raw!$F$2:$F$500) = TIME(0,0,0), "", SUMIF(Raw!$A$2:$A$500, MHT!A1061, Raw!$F$2:$F$500))</f>
        <v/>
      </c>
      <c r="F1061" s="12" t="str">
        <f t="array" ref="F1061">IF(A1061="", "", IF(COUNTIF(Raw!$H$1:$I$500, A1061) &gt; 0, "Done", IF(COUNTIF(Raw!$J$1:$J$500, A1061) &gt; 0, "Pause", IF(COUNTIF(Raw!$K$1:$K$500, A1061) &gt; 0, "On-Going", "Pause"))))</f>
        <v/>
      </c>
      <c r="G1061" s="24"/>
      <c r="H1061" s="24"/>
      <c r="I1061" s="24"/>
    </row>
    <row r="1062" spans="2:9" x14ac:dyDescent="0.4">
      <c r="B1062" s="16" t="str">
        <f t="array" ref="B1062">IFERROR(MIN(IF(Raw!$A$2:$A$26=MHT!A1062,Raw!$B$2:$B$20)),"")</f>
        <v/>
      </c>
      <c r="C1062" s="13" t="str">
        <f t="array" ref="C1062">IFERROR(MIN(IF(Raw!$A$2:$A$26=MHT!A1062,Raw!$C$2:$C$20)),"")</f>
        <v/>
      </c>
      <c r="D1062" s="14" t="str">
        <f t="array" ref="D1062">IF(Raw!D1055="","",IFERROR(MAX(IF(Raw!$A$2:$A$26=MHT!A1062,Raw!$D$2:$D$20)),""))</f>
        <v/>
      </c>
      <c r="E1062" s="6" t="str">
        <f>IF(SUMIF(Raw!$A$2:$A$500, MHT!A1062, Raw!$F$2:$F$500) = TIME(0,0,0), "", SUMIF(Raw!$A$2:$A$500, MHT!A1062, Raw!$F$2:$F$500))</f>
        <v/>
      </c>
      <c r="F1062" s="12" t="str">
        <f t="array" ref="F1062">IF(A1062="", "", IF(COUNTIF(Raw!$H$1:$I$500, A1062) &gt; 0, "Done", IF(COUNTIF(Raw!$J$1:$J$500, A1062) &gt; 0, "Pause", IF(COUNTIF(Raw!$K$1:$K$500, A1062) &gt; 0, "On-Going", "Pause"))))</f>
        <v/>
      </c>
      <c r="G1062" s="24"/>
      <c r="H1062" s="24"/>
      <c r="I1062" s="24"/>
    </row>
    <row r="1063" spans="2:9" x14ac:dyDescent="0.4">
      <c r="B1063" s="16" t="str">
        <f t="array" ref="B1063">IFERROR(MIN(IF(Raw!$A$2:$A$26=MHT!A1063,Raw!$B$2:$B$20)),"")</f>
        <v/>
      </c>
      <c r="C1063" s="13" t="str">
        <f t="array" ref="C1063">IFERROR(MIN(IF(Raw!$A$2:$A$26=MHT!A1063,Raw!$C$2:$C$20)),"")</f>
        <v/>
      </c>
      <c r="D1063" s="14" t="str">
        <f t="array" ref="D1063">IF(Raw!D1056="","",IFERROR(MAX(IF(Raw!$A$2:$A$26=MHT!A1063,Raw!$D$2:$D$20)),""))</f>
        <v/>
      </c>
      <c r="E1063" s="6" t="str">
        <f>IF(SUMIF(Raw!$A$2:$A$500, MHT!A1063, Raw!$F$2:$F$500) = TIME(0,0,0), "", SUMIF(Raw!$A$2:$A$500, MHT!A1063, Raw!$F$2:$F$500))</f>
        <v/>
      </c>
      <c r="F1063" s="12" t="str">
        <f t="array" ref="F1063">IF(A1063="", "", IF(COUNTIF(Raw!$H$1:$I$500, A1063) &gt; 0, "Done", IF(COUNTIF(Raw!$J$1:$J$500, A1063) &gt; 0, "Pause", IF(COUNTIF(Raw!$K$1:$K$500, A1063) &gt; 0, "On-Going", "Pause"))))</f>
        <v/>
      </c>
      <c r="G1063" s="24"/>
      <c r="H1063" s="24"/>
      <c r="I1063" s="24"/>
    </row>
    <row r="1064" spans="2:9" x14ac:dyDescent="0.4">
      <c r="B1064" s="16" t="str">
        <f t="array" ref="B1064">IFERROR(MIN(IF(Raw!$A$2:$A$26=MHT!A1064,Raw!$B$2:$B$20)),"")</f>
        <v/>
      </c>
      <c r="C1064" s="13" t="str">
        <f t="array" ref="C1064">IFERROR(MIN(IF(Raw!$A$2:$A$26=MHT!A1064,Raw!$C$2:$C$20)),"")</f>
        <v/>
      </c>
      <c r="D1064" s="14" t="str">
        <f t="array" ref="D1064">IF(Raw!D1057="","",IFERROR(MAX(IF(Raw!$A$2:$A$26=MHT!A1064,Raw!$D$2:$D$20)),""))</f>
        <v/>
      </c>
      <c r="E1064" s="6" t="str">
        <f>IF(SUMIF(Raw!$A$2:$A$500, MHT!A1064, Raw!$F$2:$F$500) = TIME(0,0,0), "", SUMIF(Raw!$A$2:$A$500, MHT!A1064, Raw!$F$2:$F$500))</f>
        <v/>
      </c>
      <c r="F1064" s="12" t="str">
        <f t="array" ref="F1064">IF(A1064="", "", IF(COUNTIF(Raw!$H$1:$I$500, A1064) &gt; 0, "Done", IF(COUNTIF(Raw!$J$1:$J$500, A1064) &gt; 0, "Pause", IF(COUNTIF(Raw!$K$1:$K$500, A1064) &gt; 0, "On-Going", "Pause"))))</f>
        <v/>
      </c>
      <c r="G1064" s="24"/>
      <c r="H1064" s="24"/>
      <c r="I1064" s="24"/>
    </row>
    <row r="1065" spans="2:9" x14ac:dyDescent="0.4">
      <c r="B1065" s="16" t="str">
        <f t="array" ref="B1065">IFERROR(MIN(IF(Raw!$A$2:$A$26=MHT!A1065,Raw!$B$2:$B$20)),"")</f>
        <v/>
      </c>
      <c r="C1065" s="13" t="str">
        <f t="array" ref="C1065">IFERROR(MIN(IF(Raw!$A$2:$A$26=MHT!A1065,Raw!$C$2:$C$20)),"")</f>
        <v/>
      </c>
      <c r="D1065" s="14" t="str">
        <f t="array" ref="D1065">IF(Raw!D1058="","",IFERROR(MAX(IF(Raw!$A$2:$A$26=MHT!A1065,Raw!$D$2:$D$20)),""))</f>
        <v/>
      </c>
      <c r="E1065" s="6" t="str">
        <f>IF(SUMIF(Raw!$A$2:$A$500, MHT!A1065, Raw!$F$2:$F$500) = TIME(0,0,0), "", SUMIF(Raw!$A$2:$A$500, MHT!A1065, Raw!$F$2:$F$500))</f>
        <v/>
      </c>
      <c r="F1065" s="12" t="str">
        <f t="array" ref="F1065">IF(A1065="", "", IF(COUNTIF(Raw!$H$1:$I$500, A1065) &gt; 0, "Done", IF(COUNTIF(Raw!$J$1:$J$500, A1065) &gt; 0, "Pause", IF(COUNTIF(Raw!$K$1:$K$500, A1065) &gt; 0, "On-Going", "Pause"))))</f>
        <v/>
      </c>
      <c r="G1065" s="24"/>
      <c r="H1065" s="24"/>
      <c r="I1065" s="24"/>
    </row>
    <row r="1066" spans="2:9" x14ac:dyDescent="0.4">
      <c r="B1066" s="16" t="str">
        <f t="array" ref="B1066">IFERROR(MIN(IF(Raw!$A$2:$A$26=MHT!A1066,Raw!$B$2:$B$20)),"")</f>
        <v/>
      </c>
      <c r="C1066" s="13" t="str">
        <f t="array" ref="C1066">IFERROR(MIN(IF(Raw!$A$2:$A$26=MHT!A1066,Raw!$C$2:$C$20)),"")</f>
        <v/>
      </c>
      <c r="D1066" s="14" t="str">
        <f t="array" ref="D1066">IF(Raw!D1059="","",IFERROR(MAX(IF(Raw!$A$2:$A$26=MHT!A1066,Raw!$D$2:$D$20)),""))</f>
        <v/>
      </c>
      <c r="E1066" s="6" t="str">
        <f>IF(SUMIF(Raw!$A$2:$A$500, MHT!A1066, Raw!$F$2:$F$500) = TIME(0,0,0), "", SUMIF(Raw!$A$2:$A$500, MHT!A1066, Raw!$F$2:$F$500))</f>
        <v/>
      </c>
      <c r="F1066" s="12" t="str">
        <f t="array" ref="F1066">IF(A1066="", "", IF(COUNTIF(Raw!$H$1:$I$500, A1066) &gt; 0, "Done", IF(COUNTIF(Raw!$J$1:$J$500, A1066) &gt; 0, "Pause", IF(COUNTIF(Raw!$K$1:$K$500, A1066) &gt; 0, "On-Going", "Pause"))))</f>
        <v/>
      </c>
      <c r="G1066" s="24"/>
      <c r="H1066" s="24"/>
      <c r="I1066" s="24"/>
    </row>
    <row r="1067" spans="2:9" x14ac:dyDescent="0.4">
      <c r="B1067" s="16" t="str">
        <f t="array" ref="B1067">IFERROR(MIN(IF(Raw!$A$2:$A$26=MHT!A1067,Raw!$B$2:$B$20)),"")</f>
        <v/>
      </c>
      <c r="C1067" s="13" t="str">
        <f t="array" ref="C1067">IFERROR(MIN(IF(Raw!$A$2:$A$26=MHT!A1067,Raw!$C$2:$C$20)),"")</f>
        <v/>
      </c>
      <c r="D1067" s="14" t="str">
        <f t="array" ref="D1067">IF(Raw!D1060="","",IFERROR(MAX(IF(Raw!$A$2:$A$26=MHT!A1067,Raw!$D$2:$D$20)),""))</f>
        <v/>
      </c>
      <c r="E1067" s="6" t="str">
        <f>IF(SUMIF(Raw!$A$2:$A$500, MHT!A1067, Raw!$F$2:$F$500) = TIME(0,0,0), "", SUMIF(Raw!$A$2:$A$500, MHT!A1067, Raw!$F$2:$F$500))</f>
        <v/>
      </c>
      <c r="F1067" s="12" t="str">
        <f t="array" ref="F1067">IF(A1067="", "", IF(COUNTIF(Raw!$H$1:$I$500, A1067) &gt; 0, "Done", IF(COUNTIF(Raw!$J$1:$J$500, A1067) &gt; 0, "Pause", IF(COUNTIF(Raw!$K$1:$K$500, A1067) &gt; 0, "On-Going", "Pause"))))</f>
        <v/>
      </c>
      <c r="G1067" s="24"/>
      <c r="H1067" s="24"/>
      <c r="I1067" s="24"/>
    </row>
    <row r="1068" spans="2:9" x14ac:dyDescent="0.4">
      <c r="B1068" s="16" t="str">
        <f t="array" ref="B1068">IFERROR(MIN(IF(Raw!$A$2:$A$26=MHT!A1068,Raw!$B$2:$B$20)),"")</f>
        <v/>
      </c>
      <c r="C1068" s="13" t="str">
        <f t="array" ref="C1068">IFERROR(MIN(IF(Raw!$A$2:$A$26=MHT!A1068,Raw!$C$2:$C$20)),"")</f>
        <v/>
      </c>
      <c r="D1068" s="14" t="str">
        <f t="array" ref="D1068">IF(Raw!D1061="","",IFERROR(MAX(IF(Raw!$A$2:$A$26=MHT!A1068,Raw!$D$2:$D$20)),""))</f>
        <v/>
      </c>
      <c r="E1068" s="6" t="str">
        <f>IF(SUMIF(Raw!$A$2:$A$500, MHT!A1068, Raw!$F$2:$F$500) = TIME(0,0,0), "", SUMIF(Raw!$A$2:$A$500, MHT!A1068, Raw!$F$2:$F$500))</f>
        <v/>
      </c>
      <c r="F1068" s="12" t="str">
        <f t="array" ref="F1068">IF(A1068="", "", IF(COUNTIF(Raw!$H$1:$I$500, A1068) &gt; 0, "Done", IF(COUNTIF(Raw!$J$1:$J$500, A1068) &gt; 0, "Pause", IF(COUNTIF(Raw!$K$1:$K$500, A1068) &gt; 0, "On-Going", "Pause"))))</f>
        <v/>
      </c>
      <c r="G1068" s="24"/>
      <c r="H1068" s="24"/>
      <c r="I1068" s="24"/>
    </row>
    <row r="1069" spans="2:9" x14ac:dyDescent="0.4">
      <c r="B1069" s="16" t="str">
        <f t="array" ref="B1069">IFERROR(MIN(IF(Raw!$A$2:$A$26=MHT!A1069,Raw!$B$2:$B$20)),"")</f>
        <v/>
      </c>
      <c r="C1069" s="13" t="str">
        <f t="array" ref="C1069">IFERROR(MIN(IF(Raw!$A$2:$A$26=MHT!A1069,Raw!$C$2:$C$20)),"")</f>
        <v/>
      </c>
      <c r="D1069" s="14" t="str">
        <f t="array" ref="D1069">IF(Raw!D1062="","",IFERROR(MAX(IF(Raw!$A$2:$A$26=MHT!A1069,Raw!$D$2:$D$20)),""))</f>
        <v/>
      </c>
      <c r="E1069" s="6" t="str">
        <f>IF(SUMIF(Raw!$A$2:$A$500, MHT!A1069, Raw!$F$2:$F$500) = TIME(0,0,0), "", SUMIF(Raw!$A$2:$A$500, MHT!A1069, Raw!$F$2:$F$500))</f>
        <v/>
      </c>
      <c r="F1069" s="12" t="str">
        <f t="array" ref="F1069">IF(A1069="", "", IF(COUNTIF(Raw!$H$1:$I$500, A1069) &gt; 0, "Done", IF(COUNTIF(Raw!$J$1:$J$500, A1069) &gt; 0, "Pause", IF(COUNTIF(Raw!$K$1:$K$500, A1069) &gt; 0, "On-Going", "Pause"))))</f>
        <v/>
      </c>
      <c r="G1069" s="24"/>
      <c r="H1069" s="24"/>
      <c r="I1069" s="24"/>
    </row>
    <row r="1070" spans="2:9" x14ac:dyDescent="0.4">
      <c r="B1070" s="16" t="str">
        <f t="array" ref="B1070">IFERROR(MIN(IF(Raw!$A$2:$A$26=MHT!A1070,Raw!$B$2:$B$20)),"")</f>
        <v/>
      </c>
      <c r="C1070" s="13" t="str">
        <f t="array" ref="C1070">IFERROR(MIN(IF(Raw!$A$2:$A$26=MHT!A1070,Raw!$C$2:$C$20)),"")</f>
        <v/>
      </c>
      <c r="D1070" s="14" t="str">
        <f t="array" ref="D1070">IF(Raw!D1063="","",IFERROR(MAX(IF(Raw!$A$2:$A$26=MHT!A1070,Raw!$D$2:$D$20)),""))</f>
        <v/>
      </c>
      <c r="E1070" s="6" t="str">
        <f>IF(SUMIF(Raw!$A$2:$A$500, MHT!A1070, Raw!$F$2:$F$500) = TIME(0,0,0), "", SUMIF(Raw!$A$2:$A$500, MHT!A1070, Raw!$F$2:$F$500))</f>
        <v/>
      </c>
      <c r="F1070" s="12" t="str">
        <f t="array" ref="F1070">IF(A1070="", "", IF(COUNTIF(Raw!$H$1:$I$500, A1070) &gt; 0, "Done", IF(COUNTIF(Raw!$J$1:$J$500, A1070) &gt; 0, "Pause", IF(COUNTIF(Raw!$K$1:$K$500, A1070) &gt; 0, "On-Going", "Pause"))))</f>
        <v/>
      </c>
      <c r="G1070" s="24"/>
      <c r="H1070" s="24"/>
      <c r="I1070" s="24"/>
    </row>
    <row r="1071" spans="2:9" x14ac:dyDescent="0.4">
      <c r="B1071" s="16" t="str">
        <f t="array" ref="B1071">IFERROR(MIN(IF(Raw!$A$2:$A$26=MHT!A1071,Raw!$B$2:$B$20)),"")</f>
        <v/>
      </c>
      <c r="C1071" s="13" t="str">
        <f t="array" ref="C1071">IFERROR(MIN(IF(Raw!$A$2:$A$26=MHT!A1071,Raw!$C$2:$C$20)),"")</f>
        <v/>
      </c>
      <c r="D1071" s="14" t="str">
        <f t="array" ref="D1071">IF(Raw!D1064="","",IFERROR(MAX(IF(Raw!$A$2:$A$26=MHT!A1071,Raw!$D$2:$D$20)),""))</f>
        <v/>
      </c>
      <c r="E1071" s="6" t="str">
        <f>IF(SUMIF(Raw!$A$2:$A$500, MHT!A1071, Raw!$F$2:$F$500) = TIME(0,0,0), "", SUMIF(Raw!$A$2:$A$500, MHT!A1071, Raw!$F$2:$F$500))</f>
        <v/>
      </c>
      <c r="F1071" s="12" t="str">
        <f t="array" ref="F1071">IF(A1071="", "", IF(COUNTIF(Raw!$H$1:$I$500, A1071) &gt; 0, "Done", IF(COUNTIF(Raw!$J$1:$J$500, A1071) &gt; 0, "Pause", IF(COUNTIF(Raw!$K$1:$K$500, A1071) &gt; 0, "On-Going", "Pause"))))</f>
        <v/>
      </c>
      <c r="G1071" s="24"/>
      <c r="H1071" s="24"/>
      <c r="I1071" s="24"/>
    </row>
    <row r="1072" spans="2:9" x14ac:dyDescent="0.4">
      <c r="B1072" s="16" t="str">
        <f t="array" ref="B1072">IFERROR(MIN(IF(Raw!$A$2:$A$26=MHT!A1072,Raw!$B$2:$B$20)),"")</f>
        <v/>
      </c>
      <c r="C1072" s="13" t="str">
        <f t="array" ref="C1072">IFERROR(MIN(IF(Raw!$A$2:$A$26=MHT!A1072,Raw!$C$2:$C$20)),"")</f>
        <v/>
      </c>
      <c r="D1072" s="14" t="str">
        <f t="array" ref="D1072">IF(Raw!D1065="","",IFERROR(MAX(IF(Raw!$A$2:$A$26=MHT!A1072,Raw!$D$2:$D$20)),""))</f>
        <v/>
      </c>
      <c r="E1072" s="6" t="str">
        <f>IF(SUMIF(Raw!$A$2:$A$500, MHT!A1072, Raw!$F$2:$F$500) = TIME(0,0,0), "", SUMIF(Raw!$A$2:$A$500, MHT!A1072, Raw!$F$2:$F$500))</f>
        <v/>
      </c>
      <c r="F1072" s="12" t="str">
        <f t="array" ref="F1072">IF(A1072="", "", IF(COUNTIF(Raw!$H$1:$I$500, A1072) &gt; 0, "Done", IF(COUNTIF(Raw!$J$1:$J$500, A1072) &gt; 0, "Pause", IF(COUNTIF(Raw!$K$1:$K$500, A1072) &gt; 0, "On-Going", "Pause"))))</f>
        <v/>
      </c>
      <c r="G1072" s="24"/>
      <c r="H1072" s="24"/>
      <c r="I1072" s="24"/>
    </row>
    <row r="1073" spans="2:9" x14ac:dyDescent="0.4">
      <c r="B1073" s="16" t="str">
        <f t="array" ref="B1073">IFERROR(MIN(IF(Raw!$A$2:$A$26=MHT!A1073,Raw!$B$2:$B$20)),"")</f>
        <v/>
      </c>
      <c r="C1073" s="13" t="str">
        <f t="array" ref="C1073">IFERROR(MIN(IF(Raw!$A$2:$A$26=MHT!A1073,Raw!$C$2:$C$20)),"")</f>
        <v/>
      </c>
      <c r="D1073" s="14" t="str">
        <f t="array" ref="D1073">IF(Raw!D1066="","",IFERROR(MAX(IF(Raw!$A$2:$A$26=MHT!A1073,Raw!$D$2:$D$20)),""))</f>
        <v/>
      </c>
      <c r="E1073" s="6" t="str">
        <f>IF(SUMIF(Raw!$A$2:$A$500, MHT!A1073, Raw!$F$2:$F$500) = TIME(0,0,0), "", SUMIF(Raw!$A$2:$A$500, MHT!A1073, Raw!$F$2:$F$500))</f>
        <v/>
      </c>
      <c r="F1073" s="12" t="str">
        <f t="array" ref="F1073">IF(A1073="", "", IF(COUNTIF(Raw!$H$1:$I$500, A1073) &gt; 0, "Done", IF(COUNTIF(Raw!$J$1:$J$500, A1073) &gt; 0, "Pause", IF(COUNTIF(Raw!$K$1:$K$500, A1073) &gt; 0, "On-Going", "Pause"))))</f>
        <v/>
      </c>
      <c r="G1073" s="24"/>
      <c r="H1073" s="24"/>
      <c r="I1073" s="24"/>
    </row>
    <row r="1074" spans="2:9" x14ac:dyDescent="0.4">
      <c r="B1074" s="16" t="str">
        <f t="array" ref="B1074">IFERROR(MIN(IF(Raw!$A$2:$A$26=MHT!A1074,Raw!$B$2:$B$20)),"")</f>
        <v/>
      </c>
      <c r="C1074" s="13" t="str">
        <f t="array" ref="C1074">IFERROR(MIN(IF(Raw!$A$2:$A$26=MHT!A1074,Raw!$C$2:$C$20)),"")</f>
        <v/>
      </c>
      <c r="D1074" s="14" t="str">
        <f t="array" ref="D1074">IF(Raw!D1067="","",IFERROR(MAX(IF(Raw!$A$2:$A$26=MHT!A1074,Raw!$D$2:$D$20)),""))</f>
        <v/>
      </c>
      <c r="E1074" s="6" t="str">
        <f>IF(SUMIF(Raw!$A$2:$A$500, MHT!A1074, Raw!$F$2:$F$500) = TIME(0,0,0), "", SUMIF(Raw!$A$2:$A$500, MHT!A1074, Raw!$F$2:$F$500))</f>
        <v/>
      </c>
      <c r="F1074" s="12" t="str">
        <f t="array" ref="F1074">IF(A1074="", "", IF(COUNTIF(Raw!$H$1:$I$500, A1074) &gt; 0, "Done", IF(COUNTIF(Raw!$J$1:$J$500, A1074) &gt; 0, "Pause", IF(COUNTIF(Raw!$K$1:$K$500, A1074) &gt; 0, "On-Going", "Pause"))))</f>
        <v/>
      </c>
      <c r="G1074" s="24"/>
      <c r="H1074" s="24"/>
      <c r="I1074" s="24"/>
    </row>
    <row r="1075" spans="2:9" x14ac:dyDescent="0.4">
      <c r="B1075" s="16" t="str">
        <f t="array" ref="B1075">IFERROR(MIN(IF(Raw!$A$2:$A$26=MHT!A1075,Raw!$B$2:$B$20)),"")</f>
        <v/>
      </c>
      <c r="C1075" s="13" t="str">
        <f t="array" ref="C1075">IFERROR(MIN(IF(Raw!$A$2:$A$26=MHT!A1075,Raw!$C$2:$C$20)),"")</f>
        <v/>
      </c>
      <c r="D1075" s="14" t="str">
        <f t="array" ref="D1075">IF(Raw!D1068="","",IFERROR(MAX(IF(Raw!$A$2:$A$26=MHT!A1075,Raw!$D$2:$D$20)),""))</f>
        <v/>
      </c>
      <c r="E1075" s="6" t="str">
        <f>IF(SUMIF(Raw!$A$2:$A$500, MHT!A1075, Raw!$F$2:$F$500) = TIME(0,0,0), "", SUMIF(Raw!$A$2:$A$500, MHT!A1075, Raw!$F$2:$F$500))</f>
        <v/>
      </c>
      <c r="F1075" s="12" t="str">
        <f t="array" ref="F1075">IF(A1075="", "", IF(COUNTIF(Raw!$H$1:$I$500, A1075) &gt; 0, "Done", IF(COUNTIF(Raw!$J$1:$J$500, A1075) &gt; 0, "Pause", IF(COUNTIF(Raw!$K$1:$K$500, A1075) &gt; 0, "On-Going", "Pause"))))</f>
        <v/>
      </c>
      <c r="G1075" s="24"/>
      <c r="H1075" s="24"/>
      <c r="I1075" s="24"/>
    </row>
    <row r="1076" spans="2:9" x14ac:dyDescent="0.4">
      <c r="B1076" s="16" t="str">
        <f t="array" ref="B1076">IFERROR(MIN(IF(Raw!$A$2:$A$26=MHT!A1076,Raw!$B$2:$B$20)),"")</f>
        <v/>
      </c>
      <c r="C1076" s="13" t="str">
        <f t="array" ref="C1076">IFERROR(MIN(IF(Raw!$A$2:$A$26=MHT!A1076,Raw!$C$2:$C$20)),"")</f>
        <v/>
      </c>
      <c r="D1076" s="14" t="str">
        <f t="array" ref="D1076">IF(Raw!D1069="","",IFERROR(MAX(IF(Raw!$A$2:$A$26=MHT!A1076,Raw!$D$2:$D$20)),""))</f>
        <v/>
      </c>
      <c r="E1076" s="6" t="str">
        <f>IF(SUMIF(Raw!$A$2:$A$500, MHT!A1076, Raw!$F$2:$F$500) = TIME(0,0,0), "", SUMIF(Raw!$A$2:$A$500, MHT!A1076, Raw!$F$2:$F$500))</f>
        <v/>
      </c>
      <c r="F1076" s="12" t="str">
        <f t="array" ref="F1076">IF(A1076="", "", IF(COUNTIF(Raw!$H$1:$I$500, A1076) &gt; 0, "Done", IF(COUNTIF(Raw!$J$1:$J$500, A1076) &gt; 0, "Pause", IF(COUNTIF(Raw!$K$1:$K$500, A1076) &gt; 0, "On-Going", "Pause"))))</f>
        <v/>
      </c>
      <c r="G1076" s="24"/>
      <c r="H1076" s="24"/>
      <c r="I1076" s="24"/>
    </row>
    <row r="1077" spans="2:9" x14ac:dyDescent="0.4">
      <c r="B1077" s="16" t="str">
        <f t="array" ref="B1077">IFERROR(MIN(IF(Raw!$A$2:$A$26=MHT!A1077,Raw!$B$2:$B$20)),"")</f>
        <v/>
      </c>
      <c r="C1077" s="13" t="str">
        <f t="array" ref="C1077">IFERROR(MIN(IF(Raw!$A$2:$A$26=MHT!A1077,Raw!$C$2:$C$20)),"")</f>
        <v/>
      </c>
      <c r="D1077" s="14" t="str">
        <f t="array" ref="D1077">IF(Raw!D1070="","",IFERROR(MAX(IF(Raw!$A$2:$A$26=MHT!A1077,Raw!$D$2:$D$20)),""))</f>
        <v/>
      </c>
      <c r="E1077" s="6" t="str">
        <f>IF(SUMIF(Raw!$A$2:$A$500, MHT!A1077, Raw!$F$2:$F$500) = TIME(0,0,0), "", SUMIF(Raw!$A$2:$A$500, MHT!A1077, Raw!$F$2:$F$500))</f>
        <v/>
      </c>
      <c r="F1077" s="12" t="str">
        <f t="array" ref="F1077">IF(A1077="", "", IF(COUNTIF(Raw!$H$1:$I$500, A1077) &gt; 0, "Done", IF(COUNTIF(Raw!$J$1:$J$500, A1077) &gt; 0, "Pause", IF(COUNTIF(Raw!$K$1:$K$500, A1077) &gt; 0, "On-Going", "Pause"))))</f>
        <v/>
      </c>
      <c r="G1077" s="24"/>
      <c r="H1077" s="24"/>
      <c r="I1077" s="24"/>
    </row>
    <row r="1078" spans="2:9" x14ac:dyDescent="0.4">
      <c r="B1078" s="16" t="str">
        <f t="array" ref="B1078">IFERROR(MIN(IF(Raw!$A$2:$A$26=MHT!A1078,Raw!$B$2:$B$20)),"")</f>
        <v/>
      </c>
      <c r="C1078" s="13" t="str">
        <f t="array" ref="C1078">IFERROR(MIN(IF(Raw!$A$2:$A$26=MHT!A1078,Raw!$C$2:$C$20)),"")</f>
        <v/>
      </c>
      <c r="D1078" s="14" t="str">
        <f t="array" ref="D1078">IF(Raw!D1071="","",IFERROR(MAX(IF(Raw!$A$2:$A$26=MHT!A1078,Raw!$D$2:$D$20)),""))</f>
        <v/>
      </c>
      <c r="E1078" s="6" t="str">
        <f>IF(SUMIF(Raw!$A$2:$A$500, MHT!A1078, Raw!$F$2:$F$500) = TIME(0,0,0), "", SUMIF(Raw!$A$2:$A$500, MHT!A1078, Raw!$F$2:$F$500))</f>
        <v/>
      </c>
      <c r="F1078" s="12" t="str">
        <f t="array" ref="F1078">IF(A1078="", "", IF(COUNTIF(Raw!$H$1:$I$500, A1078) &gt; 0, "Done", IF(COUNTIF(Raw!$J$1:$J$500, A1078) &gt; 0, "Pause", IF(COUNTIF(Raw!$K$1:$K$500, A1078) &gt; 0, "On-Going", "Pause"))))</f>
        <v/>
      </c>
      <c r="G1078" s="24"/>
      <c r="H1078" s="24"/>
      <c r="I1078" s="24"/>
    </row>
    <row r="1079" spans="2:9" x14ac:dyDescent="0.4">
      <c r="B1079" s="16" t="str">
        <f t="array" ref="B1079">IFERROR(MIN(IF(Raw!$A$2:$A$26=MHT!A1079,Raw!$B$2:$B$20)),"")</f>
        <v/>
      </c>
      <c r="C1079" s="13" t="str">
        <f t="array" ref="C1079">IFERROR(MIN(IF(Raw!$A$2:$A$26=MHT!A1079,Raw!$C$2:$C$20)),"")</f>
        <v/>
      </c>
      <c r="D1079" s="14" t="str">
        <f t="array" ref="D1079">IF(Raw!D1072="","",IFERROR(MAX(IF(Raw!$A$2:$A$26=MHT!A1079,Raw!$D$2:$D$20)),""))</f>
        <v/>
      </c>
      <c r="E1079" s="6" t="str">
        <f>IF(SUMIF(Raw!$A$2:$A$500, MHT!A1079, Raw!$F$2:$F$500) = TIME(0,0,0), "", SUMIF(Raw!$A$2:$A$500, MHT!A1079, Raw!$F$2:$F$500))</f>
        <v/>
      </c>
      <c r="F1079" s="12" t="str">
        <f t="array" ref="F1079">IF(A1079="", "", IF(COUNTIF(Raw!$H$1:$I$500, A1079) &gt; 0, "Done", IF(COUNTIF(Raw!$J$1:$J$500, A1079) &gt; 0, "Pause", IF(COUNTIF(Raw!$K$1:$K$500, A1079) &gt; 0, "On-Going", "Pause"))))</f>
        <v/>
      </c>
      <c r="G1079" s="24"/>
      <c r="H1079" s="24"/>
      <c r="I1079" s="24"/>
    </row>
    <row r="1080" spans="2:9" x14ac:dyDescent="0.4">
      <c r="B1080" s="16" t="str">
        <f t="array" ref="B1080">IFERROR(MIN(IF(Raw!$A$2:$A$26=MHT!A1080,Raw!$B$2:$B$20)),"")</f>
        <v/>
      </c>
      <c r="C1080" s="13" t="str">
        <f t="array" ref="C1080">IFERROR(MIN(IF(Raw!$A$2:$A$26=MHT!A1080,Raw!$C$2:$C$20)),"")</f>
        <v/>
      </c>
      <c r="D1080" s="14" t="str">
        <f t="array" ref="D1080">IF(Raw!D1073="","",IFERROR(MAX(IF(Raw!$A$2:$A$26=MHT!A1080,Raw!$D$2:$D$20)),""))</f>
        <v/>
      </c>
      <c r="E1080" s="6" t="str">
        <f>IF(SUMIF(Raw!$A$2:$A$500, MHT!A1080, Raw!$F$2:$F$500) = TIME(0,0,0), "", SUMIF(Raw!$A$2:$A$500, MHT!A1080, Raw!$F$2:$F$500))</f>
        <v/>
      </c>
      <c r="F1080" s="12" t="str">
        <f t="array" ref="F1080">IF(A1080="", "", IF(COUNTIF(Raw!$H$1:$I$500, A1080) &gt; 0, "Done", IF(COUNTIF(Raw!$J$1:$J$500, A1080) &gt; 0, "Pause", IF(COUNTIF(Raw!$K$1:$K$500, A1080) &gt; 0, "On-Going", "Pause"))))</f>
        <v/>
      </c>
      <c r="G1080" s="24"/>
      <c r="H1080" s="24"/>
      <c r="I1080" s="24"/>
    </row>
    <row r="1081" spans="2:9" x14ac:dyDescent="0.4">
      <c r="B1081" s="16" t="str">
        <f t="array" ref="B1081">IFERROR(MIN(IF(Raw!$A$2:$A$26=MHT!A1081,Raw!$B$2:$B$20)),"")</f>
        <v/>
      </c>
      <c r="C1081" s="13" t="str">
        <f t="array" ref="C1081">IFERROR(MIN(IF(Raw!$A$2:$A$26=MHT!A1081,Raw!$C$2:$C$20)),"")</f>
        <v/>
      </c>
      <c r="D1081" s="14" t="str">
        <f t="array" ref="D1081">IF(Raw!D1074="","",IFERROR(MAX(IF(Raw!$A$2:$A$26=MHT!A1081,Raw!$D$2:$D$20)),""))</f>
        <v/>
      </c>
      <c r="E1081" s="6" t="str">
        <f>IF(SUMIF(Raw!$A$2:$A$500, MHT!A1081, Raw!$F$2:$F$500) = TIME(0,0,0), "", SUMIF(Raw!$A$2:$A$500, MHT!A1081, Raw!$F$2:$F$500))</f>
        <v/>
      </c>
      <c r="F1081" s="12" t="str">
        <f t="array" ref="F1081">IF(A1081="", "", IF(COUNTIF(Raw!$H$1:$I$500, A1081) &gt; 0, "Done", IF(COUNTIF(Raw!$J$1:$J$500, A1081) &gt; 0, "Pause", IF(COUNTIF(Raw!$K$1:$K$500, A1081) &gt; 0, "On-Going", "Pause"))))</f>
        <v/>
      </c>
      <c r="G1081" s="24"/>
      <c r="H1081" s="24"/>
      <c r="I1081" s="24"/>
    </row>
    <row r="1082" spans="2:9" x14ac:dyDescent="0.4">
      <c r="B1082" s="16" t="str">
        <f t="array" ref="B1082">IFERROR(MIN(IF(Raw!$A$2:$A$26=MHT!A1082,Raw!$B$2:$B$20)),"")</f>
        <v/>
      </c>
      <c r="C1082" s="13" t="str">
        <f t="array" ref="C1082">IFERROR(MIN(IF(Raw!$A$2:$A$26=MHT!A1082,Raw!$C$2:$C$20)),"")</f>
        <v/>
      </c>
      <c r="D1082" s="14" t="str">
        <f t="array" ref="D1082">IF(Raw!D1075="","",IFERROR(MAX(IF(Raw!$A$2:$A$26=MHT!A1082,Raw!$D$2:$D$20)),""))</f>
        <v/>
      </c>
      <c r="E1082" s="6" t="str">
        <f>IF(SUMIF(Raw!$A$2:$A$500, MHT!A1082, Raw!$F$2:$F$500) = TIME(0,0,0), "", SUMIF(Raw!$A$2:$A$500, MHT!A1082, Raw!$F$2:$F$500))</f>
        <v/>
      </c>
      <c r="F1082" s="12" t="str">
        <f t="array" ref="F1082">IF(A1082="", "", IF(COUNTIF(Raw!$H$1:$I$500, A1082) &gt; 0, "Done", IF(COUNTIF(Raw!$J$1:$J$500, A1082) &gt; 0, "Pause", IF(COUNTIF(Raw!$K$1:$K$500, A1082) &gt; 0, "On-Going", "Pause"))))</f>
        <v/>
      </c>
      <c r="G1082" s="24"/>
      <c r="H1082" s="24"/>
      <c r="I1082" s="24"/>
    </row>
    <row r="1083" spans="2:9" x14ac:dyDescent="0.4">
      <c r="B1083" s="16" t="str">
        <f t="array" ref="B1083">IFERROR(MIN(IF(Raw!$A$2:$A$26=MHT!A1083,Raw!$B$2:$B$20)),"")</f>
        <v/>
      </c>
      <c r="C1083" s="13" t="str">
        <f t="array" ref="C1083">IFERROR(MIN(IF(Raw!$A$2:$A$26=MHT!A1083,Raw!$C$2:$C$20)),"")</f>
        <v/>
      </c>
      <c r="D1083" s="14" t="str">
        <f t="array" ref="D1083">IF(Raw!D1076="","",IFERROR(MAX(IF(Raw!$A$2:$A$26=MHT!A1083,Raw!$D$2:$D$20)),""))</f>
        <v/>
      </c>
      <c r="E1083" s="6" t="str">
        <f>IF(SUMIF(Raw!$A$2:$A$500, MHT!A1083, Raw!$F$2:$F$500) = TIME(0,0,0), "", SUMIF(Raw!$A$2:$A$500, MHT!A1083, Raw!$F$2:$F$500))</f>
        <v/>
      </c>
      <c r="F1083" s="12" t="str">
        <f t="array" ref="F1083">IF(A1083="", "", IF(COUNTIF(Raw!$H$1:$I$500, A1083) &gt; 0, "Done", IF(COUNTIF(Raw!$J$1:$J$500, A1083) &gt; 0, "Pause", IF(COUNTIF(Raw!$K$1:$K$500, A1083) &gt; 0, "On-Going", "Pause"))))</f>
        <v/>
      </c>
      <c r="G1083" s="24"/>
      <c r="H1083" s="24"/>
      <c r="I1083" s="24"/>
    </row>
    <row r="1084" spans="2:9" x14ac:dyDescent="0.4">
      <c r="B1084" s="16" t="str">
        <f t="array" ref="B1084">IFERROR(MIN(IF(Raw!$A$2:$A$26=MHT!A1084,Raw!$B$2:$B$20)),"")</f>
        <v/>
      </c>
      <c r="C1084" s="13" t="str">
        <f t="array" ref="C1084">IFERROR(MIN(IF(Raw!$A$2:$A$26=MHT!A1084,Raw!$C$2:$C$20)),"")</f>
        <v/>
      </c>
      <c r="D1084" s="14" t="str">
        <f t="array" ref="D1084">IF(Raw!D1077="","",IFERROR(MAX(IF(Raw!$A$2:$A$26=MHT!A1084,Raw!$D$2:$D$20)),""))</f>
        <v/>
      </c>
      <c r="E1084" s="6" t="str">
        <f>IF(SUMIF(Raw!$A$2:$A$500, MHT!A1084, Raw!$F$2:$F$500) = TIME(0,0,0), "", SUMIF(Raw!$A$2:$A$500, MHT!A1084, Raw!$F$2:$F$500))</f>
        <v/>
      </c>
      <c r="F1084" s="12" t="str">
        <f t="array" ref="F1084">IF(A1084="", "", IF(COUNTIF(Raw!$H$1:$I$500, A1084) &gt; 0, "Done", IF(COUNTIF(Raw!$J$1:$J$500, A1084) &gt; 0, "Pause", IF(COUNTIF(Raw!$K$1:$K$500, A1084) &gt; 0, "On-Going", "Pause"))))</f>
        <v/>
      </c>
      <c r="G1084" s="24"/>
      <c r="H1084" s="24"/>
      <c r="I1084" s="24"/>
    </row>
    <row r="1085" spans="2:9" x14ac:dyDescent="0.4">
      <c r="B1085" s="16" t="str">
        <f t="array" ref="B1085">IFERROR(MIN(IF(Raw!$A$2:$A$26=MHT!A1085,Raw!$B$2:$B$20)),"")</f>
        <v/>
      </c>
      <c r="C1085" s="13" t="str">
        <f t="array" ref="C1085">IFERROR(MIN(IF(Raw!$A$2:$A$26=MHT!A1085,Raw!$C$2:$C$20)),"")</f>
        <v/>
      </c>
      <c r="D1085" s="14" t="str">
        <f t="array" ref="D1085">IF(Raw!D1078="","",IFERROR(MAX(IF(Raw!$A$2:$A$26=MHT!A1085,Raw!$D$2:$D$20)),""))</f>
        <v/>
      </c>
      <c r="E1085" s="6" t="str">
        <f>IF(SUMIF(Raw!$A$2:$A$500, MHT!A1085, Raw!$F$2:$F$500) = TIME(0,0,0), "", SUMIF(Raw!$A$2:$A$500, MHT!A1085, Raw!$F$2:$F$500))</f>
        <v/>
      </c>
      <c r="F1085" s="12" t="str">
        <f t="array" ref="F1085">IF(A1085="", "", IF(COUNTIF(Raw!$H$1:$I$500, A1085) &gt; 0, "Done", IF(COUNTIF(Raw!$J$1:$J$500, A1085) &gt; 0, "Pause", IF(COUNTIF(Raw!$K$1:$K$500, A1085) &gt; 0, "On-Going", "Pause"))))</f>
        <v/>
      </c>
      <c r="G1085" s="24"/>
      <c r="H1085" s="24"/>
      <c r="I1085" s="24"/>
    </row>
    <row r="1086" spans="2:9" x14ac:dyDescent="0.4">
      <c r="B1086" s="16" t="str">
        <f t="array" ref="B1086">IFERROR(MIN(IF(Raw!$A$2:$A$26=MHT!A1086,Raw!$B$2:$B$20)),"")</f>
        <v/>
      </c>
      <c r="C1086" s="13" t="str">
        <f t="array" ref="C1086">IFERROR(MIN(IF(Raw!$A$2:$A$26=MHT!A1086,Raw!$C$2:$C$20)),"")</f>
        <v/>
      </c>
      <c r="D1086" s="14" t="str">
        <f t="array" ref="D1086">IF(Raw!D1079="","",IFERROR(MAX(IF(Raw!$A$2:$A$26=MHT!A1086,Raw!$D$2:$D$20)),""))</f>
        <v/>
      </c>
      <c r="E1086" s="6" t="str">
        <f>IF(SUMIF(Raw!$A$2:$A$500, MHT!A1086, Raw!$F$2:$F$500) = TIME(0,0,0), "", SUMIF(Raw!$A$2:$A$500, MHT!A1086, Raw!$F$2:$F$500))</f>
        <v/>
      </c>
      <c r="F1086" s="12" t="str">
        <f t="array" ref="F1086">IF(A1086="", "", IF(COUNTIF(Raw!$H$1:$I$500, A1086) &gt; 0, "Done", IF(COUNTIF(Raw!$J$1:$J$500, A1086) &gt; 0, "Pause", IF(COUNTIF(Raw!$K$1:$K$500, A1086) &gt; 0, "On-Going", "Pause"))))</f>
        <v/>
      </c>
      <c r="G1086" s="24"/>
      <c r="H1086" s="24"/>
      <c r="I1086" s="24"/>
    </row>
    <row r="1087" spans="2:9" x14ac:dyDescent="0.4">
      <c r="B1087" s="16" t="str">
        <f t="array" ref="B1087">IFERROR(MIN(IF(Raw!$A$2:$A$26=MHT!A1087,Raw!$B$2:$B$20)),"")</f>
        <v/>
      </c>
      <c r="C1087" s="13" t="str">
        <f t="array" ref="C1087">IFERROR(MIN(IF(Raw!$A$2:$A$26=MHT!A1087,Raw!$C$2:$C$20)),"")</f>
        <v/>
      </c>
      <c r="D1087" s="14" t="str">
        <f t="array" ref="D1087">IF(Raw!D1080="","",IFERROR(MAX(IF(Raw!$A$2:$A$26=MHT!A1087,Raw!$D$2:$D$20)),""))</f>
        <v/>
      </c>
      <c r="E1087" s="6" t="str">
        <f>IF(SUMIF(Raw!$A$2:$A$500, MHT!A1087, Raw!$F$2:$F$500) = TIME(0,0,0), "", SUMIF(Raw!$A$2:$A$500, MHT!A1087, Raw!$F$2:$F$500))</f>
        <v/>
      </c>
      <c r="F1087" s="12" t="str">
        <f t="array" ref="F1087">IF(A1087="", "", IF(COUNTIF(Raw!$H$1:$I$500, A1087) &gt; 0, "Done", IF(COUNTIF(Raw!$J$1:$J$500, A1087) &gt; 0, "Pause", IF(COUNTIF(Raw!$K$1:$K$500, A1087) &gt; 0, "On-Going", "Pause"))))</f>
        <v/>
      </c>
      <c r="G1087" s="24"/>
      <c r="H1087" s="24"/>
      <c r="I1087" s="24"/>
    </row>
    <row r="1088" spans="2:9" x14ac:dyDescent="0.4">
      <c r="B1088" s="16" t="str">
        <f t="array" ref="B1088">IFERROR(MIN(IF(Raw!$A$2:$A$26=MHT!A1088,Raw!$B$2:$B$20)),"")</f>
        <v/>
      </c>
      <c r="C1088" s="13" t="str">
        <f t="array" ref="C1088">IFERROR(MIN(IF(Raw!$A$2:$A$26=MHT!A1088,Raw!$C$2:$C$20)),"")</f>
        <v/>
      </c>
      <c r="D1088" s="14" t="str">
        <f t="array" ref="D1088">IF(Raw!D1081="","",IFERROR(MAX(IF(Raw!$A$2:$A$26=MHT!A1088,Raw!$D$2:$D$20)),""))</f>
        <v/>
      </c>
      <c r="E1088" s="6" t="str">
        <f>IF(SUMIF(Raw!$A$2:$A$500, MHT!A1088, Raw!$F$2:$F$500) = TIME(0,0,0), "", SUMIF(Raw!$A$2:$A$500, MHT!A1088, Raw!$F$2:$F$500))</f>
        <v/>
      </c>
      <c r="F1088" s="12" t="str">
        <f t="array" ref="F1088">IF(A1088="", "", IF(COUNTIF(Raw!$H$1:$I$500, A1088) &gt; 0, "Done", IF(COUNTIF(Raw!$J$1:$J$500, A1088) &gt; 0, "Pause", IF(COUNTIF(Raw!$K$1:$K$500, A1088) &gt; 0, "On-Going", "Pause"))))</f>
        <v/>
      </c>
      <c r="G1088" s="24"/>
      <c r="H1088" s="24"/>
      <c r="I1088" s="24"/>
    </row>
    <row r="1089" spans="2:9" x14ac:dyDescent="0.4">
      <c r="B1089" s="16" t="str">
        <f t="array" ref="B1089">IFERROR(MIN(IF(Raw!$A$2:$A$26=MHT!A1089,Raw!$B$2:$B$20)),"")</f>
        <v/>
      </c>
      <c r="C1089" s="13" t="str">
        <f t="array" ref="C1089">IFERROR(MIN(IF(Raw!$A$2:$A$26=MHT!A1089,Raw!$C$2:$C$20)),"")</f>
        <v/>
      </c>
      <c r="D1089" s="14" t="str">
        <f t="array" ref="D1089">IF(Raw!D1082="","",IFERROR(MAX(IF(Raw!$A$2:$A$26=MHT!A1089,Raw!$D$2:$D$20)),""))</f>
        <v/>
      </c>
      <c r="E1089" s="6" t="str">
        <f>IF(SUMIF(Raw!$A$2:$A$500, MHT!A1089, Raw!$F$2:$F$500) = TIME(0,0,0), "", SUMIF(Raw!$A$2:$A$500, MHT!A1089, Raw!$F$2:$F$500))</f>
        <v/>
      </c>
      <c r="F1089" s="12" t="str">
        <f t="array" ref="F1089">IF(A1089="", "", IF(COUNTIF(Raw!$H$1:$I$500, A1089) &gt; 0, "Done", IF(COUNTIF(Raw!$J$1:$J$500, A1089) &gt; 0, "Pause", IF(COUNTIF(Raw!$K$1:$K$500, A1089) &gt; 0, "On-Going", "Pause"))))</f>
        <v/>
      </c>
      <c r="G1089" s="24"/>
      <c r="H1089" s="24"/>
      <c r="I1089" s="24"/>
    </row>
    <row r="1090" spans="2:9" x14ac:dyDescent="0.4">
      <c r="B1090" s="16" t="str">
        <f t="array" ref="B1090">IFERROR(MIN(IF(Raw!$A$2:$A$26=MHT!A1090,Raw!$B$2:$B$20)),"")</f>
        <v/>
      </c>
      <c r="C1090" s="13" t="str">
        <f t="array" ref="C1090">IFERROR(MIN(IF(Raw!$A$2:$A$26=MHT!A1090,Raw!$C$2:$C$20)),"")</f>
        <v/>
      </c>
      <c r="D1090" s="14" t="str">
        <f t="array" ref="D1090">IF(Raw!D1083="","",IFERROR(MAX(IF(Raw!$A$2:$A$26=MHT!A1090,Raw!$D$2:$D$20)),""))</f>
        <v/>
      </c>
      <c r="E1090" s="6" t="str">
        <f>IF(SUMIF(Raw!$A$2:$A$500, MHT!A1090, Raw!$F$2:$F$500) = TIME(0,0,0), "", SUMIF(Raw!$A$2:$A$500, MHT!A1090, Raw!$F$2:$F$500))</f>
        <v/>
      </c>
      <c r="F1090" s="12" t="str">
        <f t="array" ref="F1090">IF(A1090="", "", IF(COUNTIF(Raw!$H$1:$I$500, A1090) &gt; 0, "Done", IF(COUNTIF(Raw!$J$1:$J$500, A1090) &gt; 0, "Pause", IF(COUNTIF(Raw!$K$1:$K$500, A1090) &gt; 0, "On-Going", "Pause"))))</f>
        <v/>
      </c>
      <c r="G1090" s="24"/>
      <c r="H1090" s="24"/>
      <c r="I1090" s="24"/>
    </row>
    <row r="1091" spans="2:9" x14ac:dyDescent="0.4">
      <c r="B1091" s="16" t="str">
        <f t="array" ref="B1091">IFERROR(MIN(IF(Raw!$A$2:$A$26=MHT!A1091,Raw!$B$2:$B$20)),"")</f>
        <v/>
      </c>
      <c r="C1091" s="13" t="str">
        <f t="array" ref="C1091">IFERROR(MIN(IF(Raw!$A$2:$A$26=MHT!A1091,Raw!$C$2:$C$20)),"")</f>
        <v/>
      </c>
      <c r="D1091" s="14" t="str">
        <f t="array" ref="D1091">IF(Raw!D1084="","",IFERROR(MAX(IF(Raw!$A$2:$A$26=MHT!A1091,Raw!$D$2:$D$20)),""))</f>
        <v/>
      </c>
      <c r="E1091" s="6" t="str">
        <f>IF(SUMIF(Raw!$A$2:$A$500, MHT!A1091, Raw!$F$2:$F$500) = TIME(0,0,0), "", SUMIF(Raw!$A$2:$A$500, MHT!A1091, Raw!$F$2:$F$500))</f>
        <v/>
      </c>
      <c r="F1091" s="12" t="str">
        <f t="array" ref="F1091">IF(A1091="", "", IF(COUNTIF(Raw!$H$1:$I$500, A1091) &gt; 0, "Done", IF(COUNTIF(Raw!$J$1:$J$500, A1091) &gt; 0, "Pause", IF(COUNTIF(Raw!$K$1:$K$500, A1091) &gt; 0, "On-Going", "Pause"))))</f>
        <v/>
      </c>
      <c r="G1091" s="24"/>
      <c r="H1091" s="24"/>
      <c r="I1091" s="24"/>
    </row>
    <row r="1092" spans="2:9" x14ac:dyDescent="0.4">
      <c r="B1092" s="16" t="str">
        <f t="array" ref="B1092">IFERROR(MIN(IF(Raw!$A$2:$A$26=MHT!A1092,Raw!$B$2:$B$20)),"")</f>
        <v/>
      </c>
      <c r="C1092" s="13" t="str">
        <f t="array" ref="C1092">IFERROR(MIN(IF(Raw!$A$2:$A$26=MHT!A1092,Raw!$C$2:$C$20)),"")</f>
        <v/>
      </c>
      <c r="D1092" s="14" t="str">
        <f t="array" ref="D1092">IF(Raw!D1085="","",IFERROR(MAX(IF(Raw!$A$2:$A$26=MHT!A1092,Raw!$D$2:$D$20)),""))</f>
        <v/>
      </c>
      <c r="E1092" s="6" t="str">
        <f>IF(SUMIF(Raw!$A$2:$A$500, MHT!A1092, Raw!$F$2:$F$500) = TIME(0,0,0), "", SUMIF(Raw!$A$2:$A$500, MHT!A1092, Raw!$F$2:$F$500))</f>
        <v/>
      </c>
      <c r="F1092" s="12" t="str">
        <f t="array" ref="F1092">IF(A1092="", "", IF(COUNTIF(Raw!$H$1:$I$500, A1092) &gt; 0, "Done", IF(COUNTIF(Raw!$J$1:$J$500, A1092) &gt; 0, "Pause", IF(COUNTIF(Raw!$K$1:$K$500, A1092) &gt; 0, "On-Going", "Pause"))))</f>
        <v/>
      </c>
      <c r="G1092" s="24"/>
      <c r="H1092" s="24"/>
      <c r="I1092" s="24"/>
    </row>
    <row r="1093" spans="2:9" x14ac:dyDescent="0.4">
      <c r="B1093" s="16" t="str">
        <f t="array" ref="B1093">IFERROR(MIN(IF(Raw!$A$2:$A$26=MHT!A1093,Raw!$B$2:$B$20)),"")</f>
        <v/>
      </c>
      <c r="C1093" s="13" t="str">
        <f t="array" ref="C1093">IFERROR(MIN(IF(Raw!$A$2:$A$26=MHT!A1093,Raw!$C$2:$C$20)),"")</f>
        <v/>
      </c>
      <c r="D1093" s="14" t="str">
        <f t="array" ref="D1093">IF(Raw!D1086="","",IFERROR(MAX(IF(Raw!$A$2:$A$26=MHT!A1093,Raw!$D$2:$D$20)),""))</f>
        <v/>
      </c>
      <c r="E1093" s="6" t="str">
        <f>IF(SUMIF(Raw!$A$2:$A$500, MHT!A1093, Raw!$F$2:$F$500) = TIME(0,0,0), "", SUMIF(Raw!$A$2:$A$500, MHT!A1093, Raw!$F$2:$F$500))</f>
        <v/>
      </c>
      <c r="F1093" s="12" t="str">
        <f t="array" ref="F1093">IF(A1093="", "", IF(COUNTIF(Raw!$H$1:$I$500, A1093) &gt; 0, "Done", IF(COUNTIF(Raw!$J$1:$J$500, A1093) &gt; 0, "Pause", IF(COUNTIF(Raw!$K$1:$K$500, A1093) &gt; 0, "On-Going", "Pause"))))</f>
        <v/>
      </c>
      <c r="G1093" s="24"/>
      <c r="H1093" s="24"/>
      <c r="I1093" s="24"/>
    </row>
    <row r="1094" spans="2:9" x14ac:dyDescent="0.4">
      <c r="B1094" s="16" t="str">
        <f t="array" ref="B1094">IFERROR(MIN(IF(Raw!$A$2:$A$26=MHT!A1094,Raw!$B$2:$B$20)),"")</f>
        <v/>
      </c>
      <c r="C1094" s="13" t="str">
        <f t="array" ref="C1094">IFERROR(MIN(IF(Raw!$A$2:$A$26=MHT!A1094,Raw!$C$2:$C$20)),"")</f>
        <v/>
      </c>
      <c r="D1094" s="14" t="str">
        <f t="array" ref="D1094">IF(Raw!D1087="","",IFERROR(MAX(IF(Raw!$A$2:$A$26=MHT!A1094,Raw!$D$2:$D$20)),""))</f>
        <v/>
      </c>
      <c r="E1094" s="6" t="str">
        <f>IF(SUMIF(Raw!$A$2:$A$500, MHT!A1094, Raw!$F$2:$F$500) = TIME(0,0,0), "", SUMIF(Raw!$A$2:$A$500, MHT!A1094, Raw!$F$2:$F$500))</f>
        <v/>
      </c>
      <c r="F1094" s="12" t="str">
        <f t="array" ref="F1094">IF(A1094="", "", IF(COUNTIF(Raw!$H$1:$I$500, A1094) &gt; 0, "Done", IF(COUNTIF(Raw!$J$1:$J$500, A1094) &gt; 0, "Pause", IF(COUNTIF(Raw!$K$1:$K$500, A1094) &gt; 0, "On-Going", "Pause"))))</f>
        <v/>
      </c>
      <c r="G1094" s="24"/>
      <c r="H1094" s="24"/>
      <c r="I1094" s="24"/>
    </row>
    <row r="1095" spans="2:9" x14ac:dyDescent="0.4">
      <c r="B1095" s="16" t="str">
        <f t="array" ref="B1095">IFERROR(MIN(IF(Raw!$A$2:$A$26=MHT!A1095,Raw!$B$2:$B$20)),"")</f>
        <v/>
      </c>
      <c r="C1095" s="13" t="str">
        <f t="array" ref="C1095">IFERROR(MIN(IF(Raw!$A$2:$A$26=MHT!A1095,Raw!$C$2:$C$20)),"")</f>
        <v/>
      </c>
      <c r="D1095" s="14" t="str">
        <f t="array" ref="D1095">IF(Raw!D1088="","",IFERROR(MAX(IF(Raw!$A$2:$A$26=MHT!A1095,Raw!$D$2:$D$20)),""))</f>
        <v/>
      </c>
      <c r="E1095" s="6" t="str">
        <f>IF(SUMIF(Raw!$A$2:$A$500, MHT!A1095, Raw!$F$2:$F$500) = TIME(0,0,0), "", SUMIF(Raw!$A$2:$A$500, MHT!A1095, Raw!$F$2:$F$500))</f>
        <v/>
      </c>
      <c r="F1095" s="12" t="str">
        <f t="array" ref="F1095">IF(A1095="", "", IF(COUNTIF(Raw!$H$1:$I$500, A1095) &gt; 0, "Done", IF(COUNTIF(Raw!$J$1:$J$500, A1095) &gt; 0, "Pause", IF(COUNTIF(Raw!$K$1:$K$500, A1095) &gt; 0, "On-Going", "Pause"))))</f>
        <v/>
      </c>
      <c r="G1095" s="24"/>
      <c r="H1095" s="24"/>
      <c r="I1095" s="24"/>
    </row>
    <row r="1096" spans="2:9" x14ac:dyDescent="0.4">
      <c r="B1096" s="16" t="str">
        <f t="array" ref="B1096">IFERROR(MIN(IF(Raw!$A$2:$A$26=MHT!A1096,Raw!$B$2:$B$20)),"")</f>
        <v/>
      </c>
      <c r="C1096" s="13" t="str">
        <f t="array" ref="C1096">IFERROR(MIN(IF(Raw!$A$2:$A$26=MHT!A1096,Raw!$C$2:$C$20)),"")</f>
        <v/>
      </c>
      <c r="D1096" s="14" t="str">
        <f t="array" ref="D1096">IF(Raw!D1089="","",IFERROR(MAX(IF(Raw!$A$2:$A$26=MHT!A1096,Raw!$D$2:$D$20)),""))</f>
        <v/>
      </c>
      <c r="E1096" s="6" t="str">
        <f>IF(SUMIF(Raw!$A$2:$A$500, MHT!A1096, Raw!$F$2:$F$500) = TIME(0,0,0), "", SUMIF(Raw!$A$2:$A$500, MHT!A1096, Raw!$F$2:$F$500))</f>
        <v/>
      </c>
      <c r="F1096" s="12" t="str">
        <f t="array" ref="F1096">IF(A1096="", "", IF(COUNTIF(Raw!$H$1:$I$500, A1096) &gt; 0, "Done", IF(COUNTIF(Raw!$J$1:$J$500, A1096) &gt; 0, "Pause", IF(COUNTIF(Raw!$K$1:$K$500, A1096) &gt; 0, "On-Going", "Pause"))))</f>
        <v/>
      </c>
      <c r="G1096" s="24"/>
      <c r="H1096" s="24"/>
      <c r="I1096" s="24"/>
    </row>
    <row r="1097" spans="2:9" x14ac:dyDescent="0.4">
      <c r="B1097" s="16" t="str">
        <f t="array" ref="B1097">IFERROR(MIN(IF(Raw!$A$2:$A$26=MHT!A1097,Raw!$B$2:$B$20)),"")</f>
        <v/>
      </c>
      <c r="C1097" s="13" t="str">
        <f t="array" ref="C1097">IFERROR(MIN(IF(Raw!$A$2:$A$26=MHT!A1097,Raw!$C$2:$C$20)),"")</f>
        <v/>
      </c>
      <c r="D1097" s="14" t="str">
        <f t="array" ref="D1097">IF(Raw!D1090="","",IFERROR(MAX(IF(Raw!$A$2:$A$26=MHT!A1097,Raw!$D$2:$D$20)),""))</f>
        <v/>
      </c>
      <c r="E1097" s="6" t="str">
        <f>IF(SUMIF(Raw!$A$2:$A$500, MHT!A1097, Raw!$F$2:$F$500) = TIME(0,0,0), "", SUMIF(Raw!$A$2:$A$500, MHT!A1097, Raw!$F$2:$F$500))</f>
        <v/>
      </c>
      <c r="F1097" s="12" t="str">
        <f t="array" ref="F1097">IF(A1097="", "", IF(COUNTIF(Raw!$H$1:$I$500, A1097) &gt; 0, "Done", IF(COUNTIF(Raw!$J$1:$J$500, A1097) &gt; 0, "Pause", IF(COUNTIF(Raw!$K$1:$K$500, A1097) &gt; 0, "On-Going", "Pause"))))</f>
        <v/>
      </c>
      <c r="G1097" s="24"/>
      <c r="H1097" s="24"/>
      <c r="I1097" s="24"/>
    </row>
    <row r="1098" spans="2:9" x14ac:dyDescent="0.4">
      <c r="B1098" s="16" t="str">
        <f t="array" ref="B1098">IFERROR(MIN(IF(Raw!$A$2:$A$26=MHT!A1098,Raw!$B$2:$B$20)),"")</f>
        <v/>
      </c>
      <c r="C1098" s="13" t="str">
        <f t="array" ref="C1098">IFERROR(MIN(IF(Raw!$A$2:$A$26=MHT!A1098,Raw!$C$2:$C$20)),"")</f>
        <v/>
      </c>
      <c r="D1098" s="14" t="str">
        <f t="array" ref="D1098">IF(Raw!D1091="","",IFERROR(MAX(IF(Raw!$A$2:$A$26=MHT!A1098,Raw!$D$2:$D$20)),""))</f>
        <v/>
      </c>
      <c r="E1098" s="6" t="str">
        <f>IF(SUMIF(Raw!$A$2:$A$500, MHT!A1098, Raw!$F$2:$F$500) = TIME(0,0,0), "", SUMIF(Raw!$A$2:$A$500, MHT!A1098, Raw!$F$2:$F$500))</f>
        <v/>
      </c>
      <c r="F1098" s="12" t="str">
        <f t="array" ref="F1098">IF(A1098="", "", IF(COUNTIF(Raw!$H$1:$I$500, A1098) &gt; 0, "Done", IF(COUNTIF(Raw!$J$1:$J$500, A1098) &gt; 0, "Pause", IF(COUNTIF(Raw!$K$1:$K$500, A1098) &gt; 0, "On-Going", "Pause"))))</f>
        <v/>
      </c>
      <c r="G1098" s="24"/>
      <c r="H1098" s="24"/>
      <c r="I1098" s="24"/>
    </row>
    <row r="1099" spans="2:9" x14ac:dyDescent="0.4">
      <c r="B1099" s="16" t="str">
        <f t="array" ref="B1099">IFERROR(MIN(IF(Raw!$A$2:$A$26=MHT!A1099,Raw!$B$2:$B$20)),"")</f>
        <v/>
      </c>
      <c r="C1099" s="13" t="str">
        <f t="array" ref="C1099">IFERROR(MIN(IF(Raw!$A$2:$A$26=MHT!A1099,Raw!$C$2:$C$20)),"")</f>
        <v/>
      </c>
      <c r="D1099" s="14" t="str">
        <f t="array" ref="D1099">IF(Raw!D1092="","",IFERROR(MAX(IF(Raw!$A$2:$A$26=MHT!A1099,Raw!$D$2:$D$20)),""))</f>
        <v/>
      </c>
      <c r="E1099" s="6" t="str">
        <f>IF(SUMIF(Raw!$A$2:$A$500, MHT!A1099, Raw!$F$2:$F$500) = TIME(0,0,0), "", SUMIF(Raw!$A$2:$A$500, MHT!A1099, Raw!$F$2:$F$500))</f>
        <v/>
      </c>
      <c r="F1099" s="12" t="str">
        <f t="array" ref="F1099">IF(A1099="", "", IF(COUNTIF(Raw!$H$1:$I$500, A1099) &gt; 0, "Done", IF(COUNTIF(Raw!$J$1:$J$500, A1099) &gt; 0, "Pause", IF(COUNTIF(Raw!$K$1:$K$500, A1099) &gt; 0, "On-Going", "Pause"))))</f>
        <v/>
      </c>
      <c r="G1099" s="24"/>
      <c r="H1099" s="24"/>
      <c r="I1099" s="24"/>
    </row>
    <row r="1100" spans="2:9" x14ac:dyDescent="0.4">
      <c r="B1100" s="16" t="str">
        <f t="array" ref="B1100">IFERROR(MIN(IF(Raw!$A$2:$A$26=MHT!A1100,Raw!$B$2:$B$20)),"")</f>
        <v/>
      </c>
      <c r="C1100" s="13" t="str">
        <f t="array" ref="C1100">IFERROR(MIN(IF(Raw!$A$2:$A$26=MHT!A1100,Raw!$C$2:$C$20)),"")</f>
        <v/>
      </c>
      <c r="D1100" s="14" t="str">
        <f t="array" ref="D1100">IF(Raw!D1093="","",IFERROR(MAX(IF(Raw!$A$2:$A$26=MHT!A1100,Raw!$D$2:$D$20)),""))</f>
        <v/>
      </c>
      <c r="E1100" s="6" t="str">
        <f>IF(SUMIF(Raw!$A$2:$A$500, MHT!A1100, Raw!$F$2:$F$500) = TIME(0,0,0), "", SUMIF(Raw!$A$2:$A$500, MHT!A1100, Raw!$F$2:$F$500))</f>
        <v/>
      </c>
      <c r="F1100" s="12" t="str">
        <f t="array" ref="F1100">IF(A1100="", "", IF(COUNTIF(Raw!$H$1:$I$500, A1100) &gt; 0, "Done", IF(COUNTIF(Raw!$J$1:$J$500, A1100) &gt; 0, "Pause", IF(COUNTIF(Raw!$K$1:$K$500, A1100) &gt; 0, "On-Going", "Pause"))))</f>
        <v/>
      </c>
      <c r="G1100" s="24"/>
      <c r="H1100" s="24"/>
      <c r="I1100" s="24"/>
    </row>
    <row r="1101" spans="2:9" x14ac:dyDescent="0.4">
      <c r="B1101" s="16" t="str">
        <f t="array" ref="B1101">IFERROR(MIN(IF(Raw!$A$2:$A$26=MHT!A1101,Raw!$B$2:$B$20)),"")</f>
        <v/>
      </c>
      <c r="C1101" s="13" t="str">
        <f t="array" ref="C1101">IFERROR(MIN(IF(Raw!$A$2:$A$26=MHT!A1101,Raw!$C$2:$C$20)),"")</f>
        <v/>
      </c>
      <c r="D1101" s="14" t="str">
        <f t="array" ref="D1101">IF(Raw!D1094="","",IFERROR(MAX(IF(Raw!$A$2:$A$26=MHT!A1101,Raw!$D$2:$D$20)),""))</f>
        <v/>
      </c>
      <c r="E1101" s="6" t="str">
        <f>IF(SUMIF(Raw!$A$2:$A$500, MHT!A1101, Raw!$F$2:$F$500) = TIME(0,0,0), "", SUMIF(Raw!$A$2:$A$500, MHT!A1101, Raw!$F$2:$F$500))</f>
        <v/>
      </c>
      <c r="F1101" s="12" t="str">
        <f t="array" ref="F1101">IF(A1101="", "", IF(COUNTIF(Raw!$H$1:$I$500, A1101) &gt; 0, "Done", IF(COUNTIF(Raw!$J$1:$J$500, A1101) &gt; 0, "Pause", IF(COUNTIF(Raw!$K$1:$K$500, A1101) &gt; 0, "On-Going", "Pause"))))</f>
        <v/>
      </c>
      <c r="G1101" s="24"/>
      <c r="H1101" s="24"/>
      <c r="I1101" s="24"/>
    </row>
    <row r="1102" spans="2:9" x14ac:dyDescent="0.4">
      <c r="B1102" s="16" t="str">
        <f t="array" ref="B1102">IFERROR(MIN(IF(Raw!$A$2:$A$26=MHT!A1102,Raw!$B$2:$B$20)),"")</f>
        <v/>
      </c>
      <c r="C1102" s="13" t="str">
        <f t="array" ref="C1102">IFERROR(MIN(IF(Raw!$A$2:$A$26=MHT!A1102,Raw!$C$2:$C$20)),"")</f>
        <v/>
      </c>
      <c r="D1102" s="14" t="str">
        <f t="array" ref="D1102">IF(Raw!D1095="","",IFERROR(MAX(IF(Raw!$A$2:$A$26=MHT!A1102,Raw!$D$2:$D$20)),""))</f>
        <v/>
      </c>
      <c r="E1102" s="6" t="str">
        <f>IF(SUMIF(Raw!$A$2:$A$500, MHT!A1102, Raw!$F$2:$F$500) = TIME(0,0,0), "", SUMIF(Raw!$A$2:$A$500, MHT!A1102, Raw!$F$2:$F$500))</f>
        <v/>
      </c>
      <c r="F1102" s="12" t="str">
        <f t="array" ref="F1102">IF(A1102="", "", IF(COUNTIF(Raw!$H$1:$I$500, A1102) &gt; 0, "Done", IF(COUNTIF(Raw!$J$1:$J$500, A1102) &gt; 0, "Pause", IF(COUNTIF(Raw!$K$1:$K$500, A1102) &gt; 0, "On-Going", "Pause"))))</f>
        <v/>
      </c>
      <c r="G1102" s="24"/>
      <c r="H1102" s="24"/>
      <c r="I1102" s="24"/>
    </row>
    <row r="1103" spans="2:9" x14ac:dyDescent="0.4">
      <c r="B1103" s="16" t="str">
        <f t="array" ref="B1103">IFERROR(MIN(IF(Raw!$A$2:$A$26=MHT!A1103,Raw!$B$2:$B$20)),"")</f>
        <v/>
      </c>
      <c r="C1103" s="13" t="str">
        <f t="array" ref="C1103">IFERROR(MIN(IF(Raw!$A$2:$A$26=MHT!A1103,Raw!$C$2:$C$20)),"")</f>
        <v/>
      </c>
      <c r="D1103" s="14" t="str">
        <f t="array" ref="D1103">IF(Raw!D1096="","",IFERROR(MAX(IF(Raw!$A$2:$A$26=MHT!A1103,Raw!$D$2:$D$20)),""))</f>
        <v/>
      </c>
      <c r="E1103" s="6" t="str">
        <f>IF(SUMIF(Raw!$A$2:$A$500, MHT!A1103, Raw!$F$2:$F$500) = TIME(0,0,0), "", SUMIF(Raw!$A$2:$A$500, MHT!A1103, Raw!$F$2:$F$500))</f>
        <v/>
      </c>
      <c r="F1103" s="12" t="str">
        <f t="array" ref="F1103">IF(A1103="", "", IF(COUNTIF(Raw!$H$1:$I$500, A1103) &gt; 0, "Done", IF(COUNTIF(Raw!$J$1:$J$500, A1103) &gt; 0, "Pause", IF(COUNTIF(Raw!$K$1:$K$500, A1103) &gt; 0, "On-Going", "Pause"))))</f>
        <v/>
      </c>
      <c r="G1103" s="24"/>
      <c r="H1103" s="24"/>
      <c r="I1103" s="24"/>
    </row>
    <row r="1104" spans="2:9" x14ac:dyDescent="0.4">
      <c r="B1104" s="16" t="str">
        <f t="array" ref="B1104">IFERROR(MIN(IF(Raw!$A$2:$A$26=MHT!A1104,Raw!$B$2:$B$20)),"")</f>
        <v/>
      </c>
      <c r="C1104" s="13" t="str">
        <f t="array" ref="C1104">IFERROR(MIN(IF(Raw!$A$2:$A$26=MHT!A1104,Raw!$C$2:$C$20)),"")</f>
        <v/>
      </c>
      <c r="D1104" s="14" t="str">
        <f t="array" ref="D1104">IF(Raw!D1097="","",IFERROR(MAX(IF(Raw!$A$2:$A$26=MHT!A1104,Raw!$D$2:$D$20)),""))</f>
        <v/>
      </c>
      <c r="E1104" s="6" t="str">
        <f>IF(SUMIF(Raw!$A$2:$A$500, MHT!A1104, Raw!$F$2:$F$500) = TIME(0,0,0), "", SUMIF(Raw!$A$2:$A$500, MHT!A1104, Raw!$F$2:$F$500))</f>
        <v/>
      </c>
      <c r="F1104" s="12" t="str">
        <f t="array" ref="F1104">IF(A1104="", "", IF(COUNTIF(Raw!$H$1:$I$500, A1104) &gt; 0, "Done", IF(COUNTIF(Raw!$J$1:$J$500, A1104) &gt; 0, "Pause", IF(COUNTIF(Raw!$K$1:$K$500, A1104) &gt; 0, "On-Going", "Pause"))))</f>
        <v/>
      </c>
      <c r="G1104" s="24"/>
      <c r="H1104" s="24"/>
      <c r="I1104" s="24"/>
    </row>
    <row r="1105" spans="2:9" x14ac:dyDescent="0.4">
      <c r="B1105" s="16" t="str">
        <f t="array" ref="B1105">IFERROR(MIN(IF(Raw!$A$2:$A$26=MHT!A1105,Raw!$B$2:$B$20)),"")</f>
        <v/>
      </c>
      <c r="C1105" s="13" t="str">
        <f t="array" ref="C1105">IFERROR(MIN(IF(Raw!$A$2:$A$26=MHT!A1105,Raw!$C$2:$C$20)),"")</f>
        <v/>
      </c>
      <c r="D1105" s="14" t="str">
        <f t="array" ref="D1105">IF(Raw!D1098="","",IFERROR(MAX(IF(Raw!$A$2:$A$26=MHT!A1105,Raw!$D$2:$D$20)),""))</f>
        <v/>
      </c>
      <c r="E1105" s="6" t="str">
        <f>IF(SUMIF(Raw!$A$2:$A$500, MHT!A1105, Raw!$F$2:$F$500) = TIME(0,0,0), "", SUMIF(Raw!$A$2:$A$500, MHT!A1105, Raw!$F$2:$F$500))</f>
        <v/>
      </c>
      <c r="F1105" s="12" t="str">
        <f t="array" ref="F1105">IF(A1105="", "", IF(COUNTIF(Raw!$H$1:$I$500, A1105) &gt; 0, "Done", IF(COUNTIF(Raw!$J$1:$J$500, A1105) &gt; 0, "Pause", IF(COUNTIF(Raw!$K$1:$K$500, A1105) &gt; 0, "On-Going", "Pause"))))</f>
        <v/>
      </c>
      <c r="G1105" s="24"/>
      <c r="H1105" s="24"/>
      <c r="I1105" s="24"/>
    </row>
    <row r="1106" spans="2:9" x14ac:dyDescent="0.4">
      <c r="B1106" s="16" t="str">
        <f t="array" ref="B1106">IFERROR(MIN(IF(Raw!$A$2:$A$26=MHT!A1106,Raw!$B$2:$B$20)),"")</f>
        <v/>
      </c>
      <c r="C1106" s="13" t="str">
        <f t="array" ref="C1106">IFERROR(MIN(IF(Raw!$A$2:$A$26=MHT!A1106,Raw!$C$2:$C$20)),"")</f>
        <v/>
      </c>
      <c r="D1106" s="14" t="str">
        <f t="array" ref="D1106">IF(Raw!D1099="","",IFERROR(MAX(IF(Raw!$A$2:$A$26=MHT!A1106,Raw!$D$2:$D$20)),""))</f>
        <v/>
      </c>
      <c r="E1106" s="6" t="str">
        <f>IF(SUMIF(Raw!$A$2:$A$500, MHT!A1106, Raw!$F$2:$F$500) = TIME(0,0,0), "", SUMIF(Raw!$A$2:$A$500, MHT!A1106, Raw!$F$2:$F$500))</f>
        <v/>
      </c>
      <c r="F1106" s="12" t="str">
        <f t="array" ref="F1106">IF(A1106="", "", IF(COUNTIF(Raw!$H$1:$I$500, A1106) &gt; 0, "Done", IF(COUNTIF(Raw!$J$1:$J$500, A1106) &gt; 0, "Pause", IF(COUNTIF(Raw!$K$1:$K$500, A1106) &gt; 0, "On-Going", "Pause"))))</f>
        <v/>
      </c>
      <c r="G1106" s="24"/>
      <c r="H1106" s="24"/>
      <c r="I1106" s="24"/>
    </row>
    <row r="1107" spans="2:9" x14ac:dyDescent="0.4">
      <c r="B1107" s="16" t="str">
        <f t="array" ref="B1107">IFERROR(MIN(IF(Raw!$A$2:$A$26=MHT!A1107,Raw!$B$2:$B$20)),"")</f>
        <v/>
      </c>
      <c r="C1107" s="13" t="str">
        <f t="array" ref="C1107">IFERROR(MIN(IF(Raw!$A$2:$A$26=MHT!A1107,Raw!$C$2:$C$20)),"")</f>
        <v/>
      </c>
      <c r="D1107" s="14" t="str">
        <f t="array" ref="D1107">IF(Raw!D1100="","",IFERROR(MAX(IF(Raw!$A$2:$A$26=MHT!A1107,Raw!$D$2:$D$20)),""))</f>
        <v/>
      </c>
      <c r="E1107" s="6" t="str">
        <f>IF(SUMIF(Raw!$A$2:$A$500, MHT!A1107, Raw!$F$2:$F$500) = TIME(0,0,0), "", SUMIF(Raw!$A$2:$A$500, MHT!A1107, Raw!$F$2:$F$500))</f>
        <v/>
      </c>
      <c r="F1107" s="12" t="str">
        <f t="array" ref="F1107">IF(A1107="", "", IF(COUNTIF(Raw!$H$1:$I$500, A1107) &gt; 0, "Done", IF(COUNTIF(Raw!$J$1:$J$500, A1107) &gt; 0, "Pause", IF(COUNTIF(Raw!$K$1:$K$500, A1107) &gt; 0, "On-Going", "Pause"))))</f>
        <v/>
      </c>
      <c r="G1107" s="24"/>
      <c r="H1107" s="24"/>
      <c r="I1107" s="24"/>
    </row>
    <row r="1108" spans="2:9" x14ac:dyDescent="0.4">
      <c r="B1108" s="16" t="str">
        <f t="array" ref="B1108">IFERROR(MIN(IF(Raw!$A$2:$A$26=MHT!A1108,Raw!$B$2:$B$20)),"")</f>
        <v/>
      </c>
      <c r="C1108" s="13" t="str">
        <f t="array" ref="C1108">IFERROR(MIN(IF(Raw!$A$2:$A$26=MHT!A1108,Raw!$C$2:$C$20)),"")</f>
        <v/>
      </c>
      <c r="D1108" s="14" t="str">
        <f t="array" ref="D1108">IF(Raw!D1101="","",IFERROR(MAX(IF(Raw!$A$2:$A$26=MHT!A1108,Raw!$D$2:$D$20)),""))</f>
        <v/>
      </c>
      <c r="E1108" s="6" t="str">
        <f>IF(SUMIF(Raw!$A$2:$A$500, MHT!A1108, Raw!$F$2:$F$500) = TIME(0,0,0), "", SUMIF(Raw!$A$2:$A$500, MHT!A1108, Raw!$F$2:$F$500))</f>
        <v/>
      </c>
      <c r="F1108" s="12" t="str">
        <f t="array" ref="F1108">IF(A1108="", "", IF(COUNTIF(Raw!$H$1:$I$500, A1108) &gt; 0, "Done", IF(COUNTIF(Raw!$J$1:$J$500, A1108) &gt; 0, "Pause", IF(COUNTIF(Raw!$K$1:$K$500, A1108) &gt; 0, "On-Going", "Pause"))))</f>
        <v/>
      </c>
      <c r="G1108" s="24"/>
      <c r="H1108" s="24"/>
      <c r="I1108" s="24"/>
    </row>
    <row r="1109" spans="2:9" x14ac:dyDescent="0.4">
      <c r="B1109" s="16" t="str">
        <f t="array" ref="B1109">IFERROR(MIN(IF(Raw!$A$2:$A$26=MHT!A1109,Raw!$B$2:$B$20)),"")</f>
        <v/>
      </c>
      <c r="C1109" s="13" t="str">
        <f t="array" ref="C1109">IFERROR(MIN(IF(Raw!$A$2:$A$26=MHT!A1109,Raw!$C$2:$C$20)),"")</f>
        <v/>
      </c>
      <c r="D1109" s="14" t="str">
        <f t="array" ref="D1109">IF(Raw!D1102="","",IFERROR(MAX(IF(Raw!$A$2:$A$26=MHT!A1109,Raw!$D$2:$D$20)),""))</f>
        <v/>
      </c>
      <c r="E1109" s="6" t="str">
        <f>IF(SUMIF(Raw!$A$2:$A$500, MHT!A1109, Raw!$F$2:$F$500) = TIME(0,0,0), "", SUMIF(Raw!$A$2:$A$500, MHT!A1109, Raw!$F$2:$F$500))</f>
        <v/>
      </c>
      <c r="F1109" s="12" t="str">
        <f t="array" ref="F1109">IF(A1109="", "", IF(COUNTIF(Raw!$H$1:$I$500, A1109) &gt; 0, "Done", IF(COUNTIF(Raw!$J$1:$J$500, A1109) &gt; 0, "Pause", IF(COUNTIF(Raw!$K$1:$K$500, A1109) &gt; 0, "On-Going", "Pause"))))</f>
        <v/>
      </c>
      <c r="G1109" s="24"/>
      <c r="H1109" s="24"/>
      <c r="I1109" s="24"/>
    </row>
    <row r="1110" spans="2:9" x14ac:dyDescent="0.4">
      <c r="B1110" s="16" t="str">
        <f t="array" ref="B1110">IFERROR(MIN(IF(Raw!$A$2:$A$26=MHT!A1110,Raw!$B$2:$B$20)),"")</f>
        <v/>
      </c>
      <c r="C1110" s="13" t="str">
        <f t="array" ref="C1110">IFERROR(MIN(IF(Raw!$A$2:$A$26=MHT!A1110,Raw!$C$2:$C$20)),"")</f>
        <v/>
      </c>
      <c r="D1110" s="14" t="str">
        <f t="array" ref="D1110">IF(Raw!D1103="","",IFERROR(MAX(IF(Raw!$A$2:$A$26=MHT!A1110,Raw!$D$2:$D$20)),""))</f>
        <v/>
      </c>
      <c r="E1110" s="6" t="str">
        <f>IF(SUMIF(Raw!$A$2:$A$500, MHT!A1110, Raw!$F$2:$F$500) = TIME(0,0,0), "", SUMIF(Raw!$A$2:$A$500, MHT!A1110, Raw!$F$2:$F$500))</f>
        <v/>
      </c>
      <c r="F1110" s="12" t="str">
        <f t="array" ref="F1110">IF(A1110="", "", IF(COUNTIF(Raw!$H$1:$I$500, A1110) &gt; 0, "Done", IF(COUNTIF(Raw!$J$1:$J$500, A1110) &gt; 0, "Pause", IF(COUNTIF(Raw!$K$1:$K$500, A1110) &gt; 0, "On-Going", "Pause"))))</f>
        <v/>
      </c>
      <c r="G1110" s="24"/>
      <c r="H1110" s="24"/>
      <c r="I1110" s="24"/>
    </row>
    <row r="1111" spans="2:9" x14ac:dyDescent="0.4">
      <c r="B1111" s="17"/>
      <c r="C1111" s="15"/>
      <c r="D1111" s="15"/>
      <c r="E1111" s="18"/>
      <c r="G1111" s="24"/>
      <c r="H1111" s="24"/>
      <c r="I1111" s="24"/>
    </row>
    <row r="1112" spans="2:9" x14ac:dyDescent="0.4">
      <c r="B1112" s="17"/>
      <c r="C1112" s="15"/>
      <c r="D1112" s="15"/>
      <c r="E1112" s="18"/>
      <c r="G1112" s="24"/>
      <c r="H1112" s="24"/>
      <c r="I1112" s="24"/>
    </row>
    <row r="1113" spans="2:9" x14ac:dyDescent="0.4">
      <c r="B1113" s="17"/>
      <c r="C1113" s="15"/>
      <c r="D1113" s="15"/>
      <c r="E1113" s="18"/>
      <c r="G1113" s="24"/>
      <c r="H1113" s="24"/>
      <c r="I1113" s="24"/>
    </row>
    <row r="1114" spans="2:9" x14ac:dyDescent="0.4">
      <c r="B1114" s="17"/>
      <c r="C1114" s="15"/>
      <c r="D1114" s="15"/>
      <c r="E1114" s="18"/>
      <c r="G1114" s="24"/>
      <c r="H1114" s="24"/>
      <c r="I1114" s="24"/>
    </row>
    <row r="1115" spans="2:9" x14ac:dyDescent="0.4">
      <c r="B1115" s="17"/>
      <c r="C1115" s="15"/>
      <c r="D1115" s="15"/>
      <c r="E1115" s="18"/>
      <c r="G1115" s="24"/>
      <c r="H1115" s="24"/>
      <c r="I1115" s="24"/>
    </row>
    <row r="1116" spans="2:9" x14ac:dyDescent="0.4">
      <c r="B1116" s="17"/>
      <c r="C1116" s="15"/>
      <c r="D1116" s="15"/>
      <c r="E1116" s="18"/>
      <c r="G1116" s="24"/>
      <c r="H1116" s="24"/>
      <c r="I1116" s="24"/>
    </row>
    <row r="1117" spans="2:9" x14ac:dyDescent="0.4">
      <c r="B1117" s="17"/>
      <c r="C1117" s="15"/>
      <c r="D1117" s="15"/>
      <c r="E1117" s="18"/>
      <c r="G1117" s="24"/>
      <c r="H1117" s="24"/>
      <c r="I1117" s="24"/>
    </row>
    <row r="1118" spans="2:9" x14ac:dyDescent="0.4">
      <c r="B1118" s="17"/>
      <c r="C1118" s="15"/>
      <c r="D1118" s="15"/>
      <c r="E1118" s="18"/>
      <c r="G1118" s="24"/>
      <c r="H1118" s="24"/>
      <c r="I1118" s="24"/>
    </row>
    <row r="1119" spans="2:9" x14ac:dyDescent="0.4">
      <c r="B1119" s="17"/>
      <c r="C1119" s="15"/>
      <c r="D1119" s="15"/>
      <c r="E1119" s="18"/>
      <c r="G1119" s="24"/>
      <c r="H1119" s="24"/>
      <c r="I1119" s="24"/>
    </row>
    <row r="1120" spans="2:9" x14ac:dyDescent="0.4">
      <c r="B1120" s="17"/>
      <c r="C1120" s="15"/>
      <c r="D1120" s="15"/>
      <c r="E1120" s="18"/>
      <c r="G1120" s="24"/>
      <c r="H1120" s="24"/>
      <c r="I1120" s="24"/>
    </row>
    <row r="1121" spans="2:9" x14ac:dyDescent="0.4">
      <c r="B1121" s="17"/>
      <c r="C1121" s="15"/>
      <c r="D1121" s="15"/>
      <c r="E1121" s="18"/>
      <c r="G1121" s="24"/>
      <c r="H1121" s="24"/>
      <c r="I1121" s="24"/>
    </row>
    <row r="1122" spans="2:9" x14ac:dyDescent="0.4">
      <c r="B1122" s="17"/>
      <c r="C1122" s="15"/>
      <c r="D1122" s="15"/>
      <c r="E1122" s="18"/>
      <c r="G1122" s="24"/>
      <c r="H1122" s="24"/>
      <c r="I1122" s="24"/>
    </row>
    <row r="1123" spans="2:9" x14ac:dyDescent="0.4">
      <c r="B1123" s="17"/>
      <c r="C1123" s="15"/>
      <c r="D1123" s="15"/>
      <c r="E1123" s="18"/>
      <c r="G1123" s="24"/>
      <c r="H1123" s="24"/>
      <c r="I1123" s="24"/>
    </row>
    <row r="1124" spans="2:9" x14ac:dyDescent="0.4">
      <c r="B1124" s="17"/>
      <c r="C1124" s="15"/>
      <c r="D1124" s="15"/>
      <c r="E1124" s="18"/>
      <c r="G1124" s="24"/>
      <c r="H1124" s="24"/>
      <c r="I1124" s="24"/>
    </row>
    <row r="1125" spans="2:9" x14ac:dyDescent="0.4">
      <c r="B1125" s="17"/>
      <c r="C1125" s="15"/>
      <c r="D1125" s="15"/>
      <c r="E1125" s="18"/>
      <c r="G1125" s="24"/>
      <c r="H1125" s="24"/>
      <c r="I1125" s="24"/>
    </row>
    <row r="1126" spans="2:9" x14ac:dyDescent="0.4">
      <c r="B1126" s="17"/>
      <c r="C1126" s="15"/>
      <c r="D1126" s="15"/>
      <c r="E1126" s="18"/>
      <c r="G1126" s="24"/>
      <c r="H1126" s="24"/>
      <c r="I1126" s="24"/>
    </row>
    <row r="1127" spans="2:9" x14ac:dyDescent="0.4">
      <c r="B1127" s="17"/>
      <c r="C1127" s="15"/>
      <c r="D1127" s="15"/>
      <c r="E1127" s="18"/>
      <c r="G1127" s="24"/>
      <c r="H1127" s="24"/>
      <c r="I1127" s="24"/>
    </row>
    <row r="1128" spans="2:9" x14ac:dyDescent="0.4">
      <c r="B1128" s="17"/>
      <c r="C1128" s="15"/>
      <c r="D1128" s="15"/>
      <c r="E1128" s="18"/>
      <c r="G1128" s="24"/>
      <c r="H1128" s="24"/>
      <c r="I1128" s="24"/>
    </row>
    <row r="1129" spans="2:9" x14ac:dyDescent="0.4">
      <c r="B1129" s="17"/>
      <c r="C1129" s="15"/>
      <c r="D1129" s="15"/>
      <c r="E1129" s="18"/>
      <c r="G1129" s="24"/>
      <c r="H1129" s="24"/>
      <c r="I1129" s="24"/>
    </row>
    <row r="1130" spans="2:9" x14ac:dyDescent="0.4">
      <c r="B1130" s="17"/>
      <c r="C1130" s="15"/>
      <c r="D1130" s="15"/>
      <c r="E1130" s="18"/>
      <c r="G1130" s="24"/>
      <c r="H1130" s="24"/>
      <c r="I1130" s="24"/>
    </row>
    <row r="1131" spans="2:9" x14ac:dyDescent="0.4">
      <c r="B1131" s="17"/>
      <c r="C1131" s="15"/>
      <c r="D1131" s="15"/>
      <c r="E1131" s="18"/>
      <c r="G1131" s="24"/>
      <c r="H1131" s="24"/>
      <c r="I1131" s="24"/>
    </row>
    <row r="1132" spans="2:9" x14ac:dyDescent="0.4">
      <c r="B1132" s="17"/>
      <c r="C1132" s="15"/>
      <c r="D1132" s="15"/>
      <c r="E1132" s="18"/>
      <c r="G1132" s="24"/>
      <c r="H1132" s="24"/>
      <c r="I1132" s="24"/>
    </row>
    <row r="1133" spans="2:9" x14ac:dyDescent="0.4">
      <c r="B1133" s="17"/>
      <c r="C1133" s="15"/>
      <c r="D1133" s="15"/>
      <c r="E1133" s="18"/>
      <c r="G1133" s="24"/>
      <c r="H1133" s="24"/>
      <c r="I1133" s="24"/>
    </row>
    <row r="1134" spans="2:9" x14ac:dyDescent="0.4">
      <c r="B1134" s="17"/>
      <c r="C1134" s="15"/>
      <c r="D1134" s="15"/>
      <c r="E1134" s="18"/>
      <c r="G1134" s="24"/>
      <c r="H1134" s="24"/>
      <c r="I1134" s="24"/>
    </row>
    <row r="1135" spans="2:9" x14ac:dyDescent="0.4">
      <c r="B1135" s="17"/>
      <c r="C1135" s="15"/>
      <c r="D1135" s="15"/>
      <c r="E1135" s="18"/>
      <c r="G1135" s="24"/>
      <c r="H1135" s="24"/>
      <c r="I1135" s="24"/>
    </row>
    <row r="1136" spans="2:9" x14ac:dyDescent="0.4">
      <c r="B1136" s="17"/>
      <c r="C1136" s="15"/>
      <c r="D1136" s="15"/>
      <c r="E1136" s="18"/>
      <c r="G1136" s="24"/>
      <c r="H1136" s="24"/>
      <c r="I1136" s="24"/>
    </row>
    <row r="1137" spans="2:9" x14ac:dyDescent="0.4">
      <c r="B1137" s="17"/>
      <c r="C1137" s="15"/>
      <c r="D1137" s="15"/>
      <c r="E1137" s="18"/>
      <c r="G1137" s="24"/>
      <c r="H1137" s="24"/>
      <c r="I1137" s="24"/>
    </row>
    <row r="1138" spans="2:9" x14ac:dyDescent="0.4">
      <c r="B1138" s="17"/>
      <c r="C1138" s="15"/>
      <c r="D1138" s="15"/>
      <c r="E1138" s="18"/>
      <c r="G1138" s="24"/>
      <c r="H1138" s="24"/>
      <c r="I1138" s="24"/>
    </row>
    <row r="1139" spans="2:9" x14ac:dyDescent="0.4">
      <c r="B1139" s="17"/>
      <c r="C1139" s="15"/>
      <c r="D1139" s="15"/>
      <c r="E1139" s="18"/>
      <c r="G1139" s="24"/>
      <c r="H1139" s="24"/>
      <c r="I1139" s="24"/>
    </row>
    <row r="1140" spans="2:9" x14ac:dyDescent="0.4">
      <c r="B1140" s="17"/>
      <c r="C1140" s="15"/>
      <c r="D1140" s="15"/>
      <c r="E1140" s="18"/>
      <c r="G1140" s="24"/>
      <c r="H1140" s="24"/>
      <c r="I1140" s="24"/>
    </row>
    <row r="1141" spans="2:9" x14ac:dyDescent="0.4">
      <c r="B1141" s="17"/>
      <c r="C1141" s="15"/>
      <c r="D1141" s="15"/>
      <c r="E1141" s="18"/>
      <c r="G1141" s="24"/>
      <c r="H1141" s="24"/>
      <c r="I1141" s="24"/>
    </row>
    <row r="1142" spans="2:9" x14ac:dyDescent="0.4">
      <c r="B1142" s="17"/>
      <c r="C1142" s="15"/>
      <c r="D1142" s="15"/>
      <c r="E1142" s="18"/>
      <c r="G1142" s="24"/>
      <c r="H1142" s="24"/>
      <c r="I1142" s="24"/>
    </row>
    <row r="1143" spans="2:9" x14ac:dyDescent="0.4">
      <c r="B1143" s="17"/>
      <c r="C1143" s="15"/>
      <c r="D1143" s="15"/>
      <c r="E1143" s="18"/>
      <c r="G1143" s="24"/>
      <c r="H1143" s="24"/>
      <c r="I1143" s="24"/>
    </row>
    <row r="1144" spans="2:9" x14ac:dyDescent="0.4">
      <c r="B1144" s="17"/>
      <c r="C1144" s="15"/>
      <c r="D1144" s="15"/>
      <c r="E1144" s="18"/>
      <c r="G1144" s="24"/>
      <c r="H1144" s="24"/>
      <c r="I1144" s="24"/>
    </row>
    <row r="1145" spans="2:9" x14ac:dyDescent="0.4">
      <c r="B1145" s="17"/>
      <c r="C1145" s="15"/>
      <c r="D1145" s="15"/>
      <c r="E1145" s="18"/>
      <c r="G1145" s="24"/>
      <c r="H1145" s="24"/>
      <c r="I1145" s="24"/>
    </row>
    <row r="1146" spans="2:9" x14ac:dyDescent="0.4">
      <c r="B1146" s="17"/>
      <c r="C1146" s="15"/>
      <c r="D1146" s="15"/>
      <c r="E1146" s="18"/>
      <c r="G1146" s="24"/>
      <c r="H1146" s="24"/>
      <c r="I1146" s="24"/>
    </row>
    <row r="1147" spans="2:9" x14ac:dyDescent="0.4">
      <c r="B1147" s="17"/>
      <c r="C1147" s="15"/>
      <c r="D1147" s="15"/>
      <c r="E1147" s="18"/>
      <c r="G1147" s="24"/>
      <c r="H1147" s="24"/>
      <c r="I1147" s="24"/>
    </row>
    <row r="1148" spans="2:9" x14ac:dyDescent="0.4">
      <c r="B1148" s="17"/>
      <c r="C1148" s="15"/>
      <c r="D1148" s="15"/>
      <c r="E1148" s="18"/>
      <c r="G1148" s="24"/>
      <c r="H1148" s="24"/>
      <c r="I1148" s="24"/>
    </row>
    <row r="1149" spans="2:9" x14ac:dyDescent="0.4">
      <c r="B1149" s="17"/>
      <c r="C1149" s="15"/>
      <c r="D1149" s="15"/>
      <c r="E1149" s="18"/>
      <c r="G1149" s="24"/>
      <c r="H1149" s="24"/>
      <c r="I1149" s="24"/>
    </row>
    <row r="1150" spans="2:9" x14ac:dyDescent="0.4">
      <c r="B1150" s="17"/>
      <c r="C1150" s="15"/>
      <c r="D1150" s="15"/>
      <c r="E1150" s="18"/>
      <c r="G1150" s="24"/>
      <c r="H1150" s="24"/>
      <c r="I1150" s="24"/>
    </row>
    <row r="1151" spans="2:9" x14ac:dyDescent="0.4">
      <c r="B1151" s="17"/>
      <c r="C1151" s="15"/>
      <c r="D1151" s="15"/>
      <c r="E1151" s="18"/>
      <c r="G1151" s="24"/>
      <c r="H1151" s="24"/>
      <c r="I1151" s="24"/>
    </row>
    <row r="1152" spans="2:9" x14ac:dyDescent="0.4">
      <c r="B1152" s="17"/>
      <c r="C1152" s="15"/>
      <c r="D1152" s="15"/>
      <c r="E1152" s="18"/>
      <c r="G1152" s="24"/>
      <c r="H1152" s="24"/>
      <c r="I1152" s="24"/>
    </row>
    <row r="1153" spans="2:9" x14ac:dyDescent="0.4">
      <c r="B1153" s="17"/>
      <c r="C1153" s="15"/>
      <c r="D1153" s="15"/>
      <c r="E1153" s="18"/>
      <c r="G1153" s="24"/>
      <c r="H1153" s="24"/>
      <c r="I1153" s="24"/>
    </row>
    <row r="1154" spans="2:9" x14ac:dyDescent="0.4">
      <c r="B1154" s="17"/>
      <c r="C1154" s="15"/>
      <c r="D1154" s="15"/>
      <c r="E1154" s="18"/>
      <c r="G1154" s="24"/>
      <c r="H1154" s="24"/>
      <c r="I1154" s="24"/>
    </row>
    <row r="1155" spans="2:9" x14ac:dyDescent="0.4">
      <c r="B1155" s="17"/>
      <c r="C1155" s="15"/>
      <c r="D1155" s="15"/>
      <c r="E1155" s="18"/>
      <c r="G1155" s="24"/>
      <c r="H1155" s="24"/>
      <c r="I1155" s="24"/>
    </row>
    <row r="1156" spans="2:9" x14ac:dyDescent="0.4">
      <c r="B1156" s="17"/>
      <c r="C1156" s="15"/>
      <c r="D1156" s="15"/>
      <c r="E1156" s="18"/>
      <c r="G1156" s="24"/>
      <c r="H1156" s="24"/>
      <c r="I1156" s="24"/>
    </row>
    <row r="1157" spans="2:9" x14ac:dyDescent="0.4">
      <c r="B1157" s="17"/>
      <c r="C1157" s="15"/>
      <c r="D1157" s="15"/>
      <c r="E1157" s="18"/>
      <c r="G1157" s="24"/>
      <c r="H1157" s="24"/>
      <c r="I1157" s="24"/>
    </row>
    <row r="1158" spans="2:9" x14ac:dyDescent="0.4">
      <c r="B1158" s="17"/>
      <c r="C1158" s="15"/>
      <c r="D1158" s="15"/>
      <c r="E1158" s="18"/>
      <c r="G1158" s="24"/>
      <c r="H1158" s="24"/>
      <c r="I1158" s="24"/>
    </row>
    <row r="1159" spans="2:9" x14ac:dyDescent="0.4">
      <c r="B1159" s="17"/>
      <c r="C1159" s="15"/>
      <c r="D1159" s="15"/>
      <c r="E1159" s="18"/>
      <c r="G1159" s="24"/>
      <c r="H1159" s="24"/>
      <c r="I1159" s="24"/>
    </row>
    <row r="1160" spans="2:9" x14ac:dyDescent="0.4">
      <c r="B1160" s="17"/>
      <c r="C1160" s="15"/>
      <c r="D1160" s="15"/>
      <c r="E1160" s="18"/>
      <c r="G1160" s="24"/>
      <c r="H1160" s="24"/>
      <c r="I1160" s="24"/>
    </row>
    <row r="1161" spans="2:9" x14ac:dyDescent="0.4">
      <c r="B1161" s="17"/>
      <c r="C1161" s="15"/>
      <c r="D1161" s="15"/>
      <c r="E1161" s="18"/>
      <c r="G1161" s="24"/>
      <c r="H1161" s="24"/>
      <c r="I1161" s="24"/>
    </row>
    <row r="1162" spans="2:9" x14ac:dyDescent="0.4">
      <c r="B1162" s="17"/>
      <c r="C1162" s="15"/>
      <c r="D1162" s="15"/>
      <c r="E1162" s="18"/>
      <c r="G1162" s="24"/>
      <c r="H1162" s="24"/>
      <c r="I1162" s="24"/>
    </row>
    <row r="1163" spans="2:9" x14ac:dyDescent="0.4">
      <c r="B1163" s="17"/>
      <c r="C1163" s="15"/>
      <c r="D1163" s="15"/>
      <c r="E1163" s="18"/>
      <c r="G1163" s="24"/>
      <c r="H1163" s="24"/>
      <c r="I1163" s="24"/>
    </row>
    <row r="1164" spans="2:9" x14ac:dyDescent="0.4">
      <c r="B1164" s="17"/>
      <c r="C1164" s="15"/>
      <c r="D1164" s="15"/>
      <c r="E1164" s="18"/>
      <c r="G1164" s="24"/>
      <c r="H1164" s="24"/>
      <c r="I1164" s="24"/>
    </row>
    <row r="1165" spans="2:9" x14ac:dyDescent="0.4">
      <c r="B1165" s="17"/>
      <c r="C1165" s="15"/>
      <c r="D1165" s="15"/>
      <c r="E1165" s="18"/>
      <c r="G1165" s="24"/>
      <c r="H1165" s="24"/>
      <c r="I1165" s="24"/>
    </row>
    <row r="1166" spans="2:9" x14ac:dyDescent="0.4">
      <c r="B1166" s="17"/>
      <c r="C1166" s="15"/>
      <c r="D1166" s="15"/>
      <c r="E1166" s="18"/>
      <c r="G1166" s="24"/>
      <c r="H1166" s="24"/>
      <c r="I1166" s="24"/>
    </row>
    <row r="1167" spans="2:9" x14ac:dyDescent="0.4">
      <c r="B1167" s="17"/>
      <c r="C1167" s="15"/>
      <c r="D1167" s="15"/>
      <c r="E1167" s="18"/>
      <c r="G1167" s="24"/>
      <c r="H1167" s="24"/>
      <c r="I1167" s="24"/>
    </row>
    <row r="1168" spans="2:9" x14ac:dyDescent="0.4">
      <c r="B1168" s="17"/>
      <c r="C1168" s="15"/>
      <c r="D1168" s="15"/>
      <c r="E1168" s="18"/>
      <c r="G1168" s="24"/>
      <c r="H1168" s="24"/>
      <c r="I1168" s="24"/>
    </row>
    <row r="1169" spans="2:9" x14ac:dyDescent="0.4">
      <c r="B1169" s="17"/>
      <c r="C1169" s="15"/>
      <c r="D1169" s="15"/>
      <c r="E1169" s="18"/>
      <c r="G1169" s="24"/>
      <c r="H1169" s="24"/>
      <c r="I1169" s="24"/>
    </row>
    <row r="1170" spans="2:9" x14ac:dyDescent="0.4">
      <c r="B1170" s="17"/>
      <c r="C1170" s="15"/>
      <c r="D1170" s="15"/>
      <c r="E1170" s="18"/>
      <c r="G1170" s="24"/>
      <c r="H1170" s="24"/>
      <c r="I1170" s="24"/>
    </row>
    <row r="1171" spans="2:9" x14ac:dyDescent="0.4">
      <c r="B1171" s="17"/>
      <c r="C1171" s="15"/>
      <c r="D1171" s="15"/>
      <c r="E1171" s="18"/>
      <c r="G1171" s="24"/>
      <c r="H1171" s="24"/>
      <c r="I1171" s="24"/>
    </row>
    <row r="1172" spans="2:9" x14ac:dyDescent="0.4">
      <c r="B1172" s="17"/>
      <c r="C1172" s="15"/>
      <c r="D1172" s="15"/>
      <c r="E1172" s="18"/>
      <c r="G1172" s="24"/>
      <c r="H1172" s="24"/>
      <c r="I1172" s="24"/>
    </row>
    <row r="1173" spans="2:9" x14ac:dyDescent="0.4">
      <c r="B1173" s="17"/>
      <c r="C1173" s="15"/>
      <c r="D1173" s="15"/>
      <c r="E1173" s="18"/>
      <c r="G1173" s="24"/>
      <c r="H1173" s="24"/>
      <c r="I1173" s="24"/>
    </row>
    <row r="1174" spans="2:9" x14ac:dyDescent="0.4">
      <c r="B1174" s="17"/>
      <c r="C1174" s="15"/>
      <c r="D1174" s="15"/>
      <c r="E1174" s="18"/>
      <c r="G1174" s="24"/>
      <c r="H1174" s="24"/>
      <c r="I1174" s="24"/>
    </row>
    <row r="1175" spans="2:9" x14ac:dyDescent="0.4">
      <c r="B1175" s="17"/>
      <c r="C1175" s="15"/>
      <c r="D1175" s="15"/>
      <c r="E1175" s="18"/>
      <c r="G1175" s="24"/>
      <c r="H1175" s="24"/>
      <c r="I1175" s="24"/>
    </row>
    <row r="1176" spans="2:9" x14ac:dyDescent="0.4">
      <c r="B1176" s="17"/>
      <c r="C1176" s="15"/>
      <c r="D1176" s="15"/>
      <c r="E1176" s="18"/>
      <c r="G1176" s="24"/>
      <c r="H1176" s="24"/>
      <c r="I1176" s="24"/>
    </row>
    <row r="1177" spans="2:9" x14ac:dyDescent="0.4">
      <c r="B1177" s="17"/>
      <c r="C1177" s="15"/>
      <c r="D1177" s="15"/>
      <c r="E1177" s="18"/>
      <c r="G1177" s="24"/>
      <c r="H1177" s="24"/>
      <c r="I1177" s="24"/>
    </row>
    <row r="1178" spans="2:9" x14ac:dyDescent="0.4">
      <c r="B1178" s="17"/>
      <c r="C1178" s="15"/>
      <c r="D1178" s="15"/>
      <c r="E1178" s="18"/>
      <c r="G1178" s="24"/>
      <c r="H1178" s="24"/>
      <c r="I1178" s="24"/>
    </row>
    <row r="1179" spans="2:9" x14ac:dyDescent="0.4">
      <c r="B1179" s="17"/>
      <c r="C1179" s="15"/>
      <c r="D1179" s="15"/>
      <c r="E1179" s="18"/>
      <c r="G1179" s="24"/>
      <c r="H1179" s="24"/>
      <c r="I1179" s="24"/>
    </row>
    <row r="1180" spans="2:9" x14ac:dyDescent="0.4">
      <c r="B1180" s="17"/>
      <c r="C1180" s="15"/>
      <c r="D1180" s="15"/>
      <c r="E1180" s="18"/>
      <c r="G1180" s="24"/>
      <c r="H1180" s="24"/>
      <c r="I1180" s="24"/>
    </row>
    <row r="1181" spans="2:9" x14ac:dyDescent="0.4">
      <c r="B1181" s="17"/>
      <c r="C1181" s="15"/>
      <c r="D1181" s="15"/>
      <c r="E1181" s="18"/>
      <c r="G1181" s="24"/>
      <c r="H1181" s="24"/>
      <c r="I1181" s="24"/>
    </row>
    <row r="1182" spans="2:9" x14ac:dyDescent="0.4">
      <c r="B1182" s="17"/>
      <c r="C1182" s="15"/>
      <c r="D1182" s="15"/>
      <c r="E1182" s="18"/>
      <c r="G1182" s="24"/>
      <c r="H1182" s="24"/>
      <c r="I1182" s="24"/>
    </row>
    <row r="1183" spans="2:9" x14ac:dyDescent="0.4">
      <c r="B1183" s="17"/>
      <c r="C1183" s="15"/>
      <c r="D1183" s="15"/>
      <c r="E1183" s="18"/>
      <c r="G1183" s="24"/>
      <c r="H1183" s="24"/>
      <c r="I1183" s="24"/>
    </row>
    <row r="1184" spans="2:9" x14ac:dyDescent="0.4">
      <c r="B1184" s="17"/>
      <c r="C1184" s="15"/>
      <c r="D1184" s="15"/>
      <c r="E1184" s="18"/>
      <c r="G1184" s="24"/>
      <c r="H1184" s="24"/>
      <c r="I1184" s="24"/>
    </row>
    <row r="1185" spans="2:9" x14ac:dyDescent="0.4">
      <c r="B1185" s="17"/>
      <c r="C1185" s="15"/>
      <c r="D1185" s="15"/>
      <c r="E1185" s="18"/>
      <c r="G1185" s="24"/>
      <c r="H1185" s="24"/>
      <c r="I1185" s="24"/>
    </row>
    <row r="1186" spans="2:9" x14ac:dyDescent="0.4">
      <c r="B1186" s="17"/>
      <c r="C1186" s="15"/>
      <c r="D1186" s="15"/>
      <c r="E1186" s="18"/>
      <c r="G1186" s="24"/>
      <c r="H1186" s="24"/>
      <c r="I1186" s="24"/>
    </row>
    <row r="1187" spans="2:9" x14ac:dyDescent="0.4">
      <c r="B1187" s="17"/>
      <c r="C1187" s="15"/>
      <c r="D1187" s="15"/>
      <c r="E1187" s="18"/>
      <c r="G1187" s="24"/>
      <c r="H1187" s="24"/>
      <c r="I1187" s="24"/>
    </row>
    <row r="1188" spans="2:9" x14ac:dyDescent="0.4">
      <c r="B1188" s="17"/>
      <c r="C1188" s="15"/>
      <c r="D1188" s="15"/>
      <c r="E1188" s="18"/>
      <c r="G1188" s="24"/>
      <c r="H1188" s="24"/>
      <c r="I1188" s="24"/>
    </row>
    <row r="1189" spans="2:9" x14ac:dyDescent="0.4">
      <c r="B1189" s="17"/>
      <c r="C1189" s="15"/>
      <c r="D1189" s="15"/>
      <c r="E1189" s="18"/>
      <c r="G1189" s="24"/>
      <c r="H1189" s="24"/>
      <c r="I1189" s="24"/>
    </row>
    <row r="1190" spans="2:9" x14ac:dyDescent="0.4">
      <c r="B1190" s="17"/>
      <c r="C1190" s="15"/>
      <c r="D1190" s="15"/>
      <c r="E1190" s="18"/>
      <c r="G1190" s="24"/>
      <c r="H1190" s="24"/>
      <c r="I1190" s="24"/>
    </row>
    <row r="1191" spans="2:9" x14ac:dyDescent="0.4">
      <c r="B1191" s="17"/>
      <c r="C1191" s="15"/>
      <c r="D1191" s="15"/>
      <c r="E1191" s="18"/>
      <c r="G1191" s="24"/>
      <c r="H1191" s="24"/>
      <c r="I1191" s="24"/>
    </row>
    <row r="1192" spans="2:9" x14ac:dyDescent="0.4">
      <c r="B1192" s="17"/>
      <c r="C1192" s="15"/>
      <c r="D1192" s="15"/>
      <c r="E1192" s="18"/>
      <c r="G1192" s="24"/>
      <c r="H1192" s="24"/>
      <c r="I1192" s="24"/>
    </row>
    <row r="1193" spans="2:9" x14ac:dyDescent="0.4">
      <c r="B1193" s="17"/>
      <c r="C1193" s="15"/>
      <c r="D1193" s="15"/>
      <c r="E1193" s="18"/>
      <c r="G1193" s="24"/>
      <c r="H1193" s="24"/>
      <c r="I1193" s="24"/>
    </row>
    <row r="1194" spans="2:9" x14ac:dyDescent="0.4">
      <c r="B1194" s="17"/>
      <c r="C1194" s="15"/>
      <c r="D1194" s="15"/>
      <c r="E1194" s="18"/>
      <c r="G1194" s="24"/>
      <c r="H1194" s="24"/>
      <c r="I1194" s="24"/>
    </row>
    <row r="1195" spans="2:9" x14ac:dyDescent="0.4">
      <c r="B1195" s="17"/>
      <c r="C1195" s="15"/>
      <c r="D1195" s="15"/>
      <c r="E1195" s="18"/>
      <c r="G1195" s="24"/>
      <c r="H1195" s="24"/>
      <c r="I1195" s="24"/>
    </row>
    <row r="1196" spans="2:9" x14ac:dyDescent="0.4">
      <c r="B1196" s="17"/>
      <c r="C1196" s="15"/>
      <c r="D1196" s="15"/>
      <c r="E1196" s="18"/>
      <c r="G1196" s="24"/>
      <c r="H1196" s="24"/>
      <c r="I1196" s="24"/>
    </row>
    <row r="1197" spans="2:9" x14ac:dyDescent="0.4">
      <c r="B1197" s="17"/>
      <c r="C1197" s="15"/>
      <c r="D1197" s="15"/>
      <c r="E1197" s="18"/>
      <c r="G1197" s="24"/>
      <c r="H1197" s="24"/>
      <c r="I1197" s="24"/>
    </row>
    <row r="1198" spans="2:9" x14ac:dyDescent="0.4">
      <c r="B1198" s="17"/>
      <c r="C1198" s="15"/>
      <c r="D1198" s="15"/>
      <c r="E1198" s="18"/>
      <c r="G1198" s="24"/>
      <c r="H1198" s="24"/>
      <c r="I1198" s="24"/>
    </row>
    <row r="1199" spans="2:9" x14ac:dyDescent="0.4">
      <c r="B1199" s="17"/>
      <c r="C1199" s="15"/>
      <c r="D1199" s="15"/>
      <c r="E1199" s="18"/>
      <c r="G1199" s="24"/>
      <c r="H1199" s="24"/>
      <c r="I1199" s="24"/>
    </row>
    <row r="1200" spans="2:9" x14ac:dyDescent="0.4">
      <c r="B1200" s="17"/>
      <c r="C1200" s="15"/>
      <c r="D1200" s="15"/>
      <c r="E1200" s="18"/>
      <c r="G1200" s="24"/>
      <c r="H1200" s="24"/>
      <c r="I1200" s="24"/>
    </row>
    <row r="1201" spans="2:9" x14ac:dyDescent="0.4">
      <c r="B1201" s="17"/>
      <c r="C1201" s="15"/>
      <c r="D1201" s="15"/>
      <c r="E1201" s="18"/>
      <c r="G1201" s="24"/>
      <c r="H1201" s="24"/>
      <c r="I1201" s="24"/>
    </row>
    <row r="1202" spans="2:9" x14ac:dyDescent="0.4">
      <c r="B1202" s="17"/>
      <c r="C1202" s="15"/>
      <c r="D1202" s="15"/>
      <c r="E1202" s="18"/>
      <c r="G1202" s="24"/>
      <c r="H1202" s="24"/>
      <c r="I1202" s="24"/>
    </row>
    <row r="1203" spans="2:9" x14ac:dyDescent="0.4">
      <c r="B1203" s="17"/>
      <c r="C1203" s="15"/>
      <c r="D1203" s="15"/>
      <c r="E1203" s="18"/>
      <c r="G1203" s="24"/>
      <c r="H1203" s="24"/>
      <c r="I1203" s="24"/>
    </row>
    <row r="1204" spans="2:9" x14ac:dyDescent="0.4">
      <c r="B1204" s="17"/>
      <c r="C1204" s="15"/>
      <c r="D1204" s="15"/>
      <c r="E1204" s="18"/>
      <c r="G1204" s="24"/>
      <c r="H1204" s="24"/>
      <c r="I1204" s="24"/>
    </row>
    <row r="1205" spans="2:9" x14ac:dyDescent="0.4">
      <c r="B1205" s="17"/>
      <c r="C1205" s="15"/>
      <c r="D1205" s="15"/>
      <c r="E1205" s="18"/>
      <c r="G1205" s="24"/>
      <c r="H1205" s="24"/>
      <c r="I1205" s="24"/>
    </row>
    <row r="1206" spans="2:9" x14ac:dyDescent="0.4">
      <c r="B1206" s="17"/>
      <c r="C1206" s="15"/>
      <c r="D1206" s="15"/>
      <c r="E1206" s="18"/>
      <c r="G1206" s="24"/>
      <c r="H1206" s="24"/>
      <c r="I1206" s="24"/>
    </row>
    <row r="1207" spans="2:9" x14ac:dyDescent="0.4">
      <c r="B1207" s="17"/>
      <c r="C1207" s="15"/>
      <c r="D1207" s="15"/>
      <c r="E1207" s="18"/>
      <c r="G1207" s="24"/>
      <c r="H1207" s="24"/>
      <c r="I1207" s="24"/>
    </row>
    <row r="1208" spans="2:9" x14ac:dyDescent="0.4">
      <c r="B1208" s="17"/>
      <c r="C1208" s="15"/>
      <c r="D1208" s="15"/>
      <c r="E1208" s="18"/>
      <c r="G1208" s="24"/>
      <c r="H1208" s="24"/>
      <c r="I1208" s="24"/>
    </row>
    <row r="1209" spans="2:9" x14ac:dyDescent="0.4">
      <c r="B1209" s="17"/>
      <c r="C1209" s="15"/>
      <c r="D1209" s="15"/>
      <c r="E1209" s="18"/>
      <c r="G1209" s="24"/>
      <c r="H1209" s="24"/>
      <c r="I1209" s="24"/>
    </row>
    <row r="1210" spans="2:9" x14ac:dyDescent="0.4">
      <c r="B1210" s="17"/>
      <c r="C1210" s="15"/>
      <c r="D1210" s="15"/>
      <c r="E1210" s="18"/>
      <c r="G1210" s="24"/>
      <c r="H1210" s="24"/>
      <c r="I1210" s="24"/>
    </row>
    <row r="1211" spans="2:9" x14ac:dyDescent="0.4">
      <c r="B1211" s="17"/>
      <c r="C1211" s="15"/>
      <c r="D1211" s="15"/>
      <c r="E1211" s="18"/>
      <c r="G1211" s="24"/>
      <c r="H1211" s="24"/>
      <c r="I1211" s="24"/>
    </row>
    <row r="1212" spans="2:9" x14ac:dyDescent="0.4">
      <c r="B1212" s="17"/>
      <c r="C1212" s="15"/>
      <c r="D1212" s="15"/>
      <c r="E1212" s="18"/>
      <c r="G1212" s="24"/>
      <c r="H1212" s="24"/>
      <c r="I1212" s="24"/>
    </row>
    <row r="1213" spans="2:9" x14ac:dyDescent="0.4">
      <c r="B1213" s="17"/>
      <c r="C1213" s="15"/>
      <c r="D1213" s="15"/>
      <c r="E1213" s="18"/>
      <c r="G1213" s="24"/>
      <c r="H1213" s="24"/>
      <c r="I1213" s="24"/>
    </row>
    <row r="1214" spans="2:9" x14ac:dyDescent="0.4">
      <c r="B1214" s="17"/>
      <c r="C1214" s="15"/>
      <c r="D1214" s="15"/>
      <c r="E1214" s="18"/>
      <c r="G1214" s="24"/>
      <c r="H1214" s="24"/>
      <c r="I1214" s="24"/>
    </row>
    <row r="1215" spans="2:9" x14ac:dyDescent="0.4">
      <c r="B1215" s="17"/>
      <c r="C1215" s="15"/>
      <c r="D1215" s="15"/>
      <c r="E1215" s="18"/>
      <c r="G1215" s="24"/>
      <c r="H1215" s="24"/>
      <c r="I1215" s="24"/>
    </row>
    <row r="1216" spans="2:9" x14ac:dyDescent="0.4">
      <c r="B1216" s="17"/>
      <c r="C1216" s="15"/>
      <c r="D1216" s="15"/>
      <c r="E1216" s="18"/>
      <c r="G1216" s="24"/>
      <c r="H1216" s="24"/>
      <c r="I1216" s="24"/>
    </row>
    <row r="1217" spans="2:9" x14ac:dyDescent="0.4">
      <c r="B1217" s="17"/>
      <c r="C1217" s="15"/>
      <c r="D1217" s="15"/>
      <c r="E1217" s="18"/>
      <c r="G1217" s="24"/>
      <c r="H1217" s="24"/>
      <c r="I1217" s="24"/>
    </row>
    <row r="1218" spans="2:9" x14ac:dyDescent="0.4">
      <c r="B1218" s="17"/>
      <c r="C1218" s="15"/>
      <c r="D1218" s="15"/>
      <c r="E1218" s="18"/>
      <c r="G1218" s="24"/>
      <c r="H1218" s="24"/>
      <c r="I1218" s="24"/>
    </row>
    <row r="1219" spans="2:9" x14ac:dyDescent="0.4">
      <c r="B1219" s="17"/>
      <c r="C1219" s="15"/>
      <c r="D1219" s="15"/>
      <c r="E1219" s="18"/>
      <c r="G1219" s="24"/>
      <c r="H1219" s="24"/>
      <c r="I1219" s="24"/>
    </row>
    <row r="1220" spans="2:9" x14ac:dyDescent="0.4">
      <c r="B1220" s="17"/>
      <c r="C1220" s="15"/>
      <c r="D1220" s="15"/>
      <c r="E1220" s="18"/>
      <c r="G1220" s="24"/>
      <c r="H1220" s="24"/>
      <c r="I1220" s="24"/>
    </row>
    <row r="1221" spans="2:9" x14ac:dyDescent="0.4">
      <c r="B1221" s="17"/>
      <c r="C1221" s="15"/>
      <c r="D1221" s="15"/>
      <c r="E1221" s="18"/>
      <c r="G1221" s="24"/>
      <c r="H1221" s="24"/>
      <c r="I1221" s="24"/>
    </row>
    <row r="1222" spans="2:9" x14ac:dyDescent="0.4">
      <c r="B1222" s="17"/>
      <c r="C1222" s="15"/>
      <c r="D1222" s="15"/>
      <c r="E1222" s="18"/>
      <c r="G1222" s="24"/>
      <c r="H1222" s="24"/>
      <c r="I1222" s="24"/>
    </row>
    <row r="1223" spans="2:9" x14ac:dyDescent="0.4">
      <c r="B1223" s="17"/>
      <c r="C1223" s="15"/>
      <c r="D1223" s="15"/>
      <c r="E1223" s="18"/>
      <c r="G1223" s="24"/>
      <c r="H1223" s="24"/>
      <c r="I1223" s="24"/>
    </row>
    <row r="1224" spans="2:9" x14ac:dyDescent="0.4">
      <c r="B1224" s="17"/>
      <c r="C1224" s="15"/>
      <c r="D1224" s="15"/>
      <c r="E1224" s="18"/>
      <c r="G1224" s="24"/>
      <c r="H1224" s="24"/>
      <c r="I1224" s="24"/>
    </row>
    <row r="1225" spans="2:9" x14ac:dyDescent="0.4">
      <c r="B1225" s="17"/>
      <c r="C1225" s="15"/>
      <c r="D1225" s="15"/>
      <c r="E1225" s="18"/>
      <c r="G1225" s="24"/>
      <c r="H1225" s="24"/>
      <c r="I1225" s="24"/>
    </row>
    <row r="1226" spans="2:9" x14ac:dyDescent="0.4">
      <c r="B1226" s="17"/>
      <c r="C1226" s="15"/>
      <c r="D1226" s="15"/>
      <c r="E1226" s="18"/>
      <c r="G1226" s="24"/>
      <c r="H1226" s="24"/>
      <c r="I1226" s="24"/>
    </row>
    <row r="1227" spans="2:9" x14ac:dyDescent="0.4">
      <c r="B1227" s="17"/>
      <c r="C1227" s="15"/>
      <c r="D1227" s="15"/>
      <c r="E1227" s="18"/>
      <c r="G1227" s="24"/>
      <c r="H1227" s="24"/>
      <c r="I1227" s="24"/>
    </row>
    <row r="1228" spans="2:9" x14ac:dyDescent="0.4">
      <c r="B1228" s="17"/>
      <c r="C1228" s="15"/>
      <c r="D1228" s="15"/>
      <c r="E1228" s="18"/>
      <c r="G1228" s="24"/>
      <c r="H1228" s="24"/>
      <c r="I1228" s="24"/>
    </row>
    <row r="1229" spans="2:9" x14ac:dyDescent="0.4">
      <c r="B1229" s="17"/>
      <c r="C1229" s="15"/>
      <c r="D1229" s="15"/>
      <c r="E1229" s="18"/>
      <c r="G1229" s="24"/>
      <c r="H1229" s="24"/>
      <c r="I1229" s="24"/>
    </row>
    <row r="1230" spans="2:9" x14ac:dyDescent="0.4">
      <c r="B1230" s="17"/>
      <c r="C1230" s="15"/>
      <c r="D1230" s="15"/>
      <c r="E1230" s="18"/>
      <c r="G1230" s="24"/>
      <c r="H1230" s="24"/>
      <c r="I1230" s="24"/>
    </row>
    <row r="1231" spans="2:9" x14ac:dyDescent="0.4">
      <c r="B1231" s="17"/>
      <c r="C1231" s="15"/>
      <c r="D1231" s="15"/>
      <c r="E1231" s="18"/>
      <c r="G1231" s="24"/>
      <c r="H1231" s="24"/>
      <c r="I1231" s="24"/>
    </row>
    <row r="1232" spans="2:9" x14ac:dyDescent="0.4">
      <c r="B1232" s="17"/>
      <c r="C1232" s="15"/>
      <c r="D1232" s="15"/>
      <c r="E1232" s="18"/>
      <c r="G1232" s="24"/>
      <c r="H1232" s="24"/>
      <c r="I1232" s="24"/>
    </row>
    <row r="1233" spans="2:9" x14ac:dyDescent="0.4">
      <c r="B1233" s="17"/>
      <c r="C1233" s="15"/>
      <c r="D1233" s="15"/>
      <c r="E1233" s="18"/>
      <c r="G1233" s="24"/>
      <c r="H1233" s="24"/>
      <c r="I1233" s="24"/>
    </row>
    <row r="1234" spans="2:9" x14ac:dyDescent="0.4">
      <c r="B1234" s="17"/>
      <c r="C1234" s="15"/>
      <c r="D1234" s="15"/>
      <c r="E1234" s="18"/>
      <c r="G1234" s="24"/>
      <c r="H1234" s="24"/>
      <c r="I1234" s="24"/>
    </row>
    <row r="1235" spans="2:9" x14ac:dyDescent="0.4">
      <c r="B1235" s="17"/>
      <c r="C1235" s="15"/>
      <c r="D1235" s="15"/>
      <c r="E1235" s="18"/>
      <c r="G1235" s="24"/>
      <c r="H1235" s="24"/>
      <c r="I1235" s="24"/>
    </row>
    <row r="1236" spans="2:9" x14ac:dyDescent="0.4">
      <c r="B1236" s="17"/>
      <c r="C1236" s="15"/>
      <c r="D1236" s="15"/>
      <c r="E1236" s="18"/>
      <c r="G1236" s="24"/>
      <c r="H1236" s="24"/>
      <c r="I1236" s="24"/>
    </row>
    <row r="1237" spans="2:9" x14ac:dyDescent="0.4">
      <c r="B1237" s="17"/>
      <c r="C1237" s="15"/>
      <c r="D1237" s="15"/>
      <c r="E1237" s="18"/>
      <c r="G1237" s="24"/>
      <c r="H1237" s="24"/>
      <c r="I1237" s="24"/>
    </row>
    <row r="1238" spans="2:9" x14ac:dyDescent="0.4">
      <c r="B1238" s="17"/>
      <c r="C1238" s="15"/>
      <c r="D1238" s="15"/>
      <c r="E1238" s="18"/>
      <c r="G1238" s="24"/>
      <c r="H1238" s="24"/>
      <c r="I1238" s="24"/>
    </row>
    <row r="1239" spans="2:9" x14ac:dyDescent="0.4">
      <c r="B1239" s="17"/>
      <c r="C1239" s="15"/>
      <c r="D1239" s="15"/>
      <c r="E1239" s="18"/>
      <c r="G1239" s="24"/>
      <c r="H1239" s="24"/>
      <c r="I1239" s="24"/>
    </row>
    <row r="1240" spans="2:9" x14ac:dyDescent="0.4">
      <c r="B1240" s="17"/>
      <c r="C1240" s="15"/>
      <c r="D1240" s="15"/>
      <c r="E1240" s="18"/>
      <c r="G1240" s="24"/>
      <c r="H1240" s="24"/>
      <c r="I1240" s="24"/>
    </row>
    <row r="1241" spans="2:9" x14ac:dyDescent="0.4">
      <c r="B1241" s="17"/>
      <c r="C1241" s="15"/>
      <c r="D1241" s="15"/>
      <c r="E1241" s="18"/>
      <c r="G1241" s="24"/>
      <c r="H1241" s="24"/>
      <c r="I1241" s="24"/>
    </row>
    <row r="1242" spans="2:9" x14ac:dyDescent="0.4">
      <c r="B1242" s="17"/>
      <c r="C1242" s="15"/>
      <c r="D1242" s="15"/>
      <c r="E1242" s="18"/>
      <c r="G1242" s="24"/>
      <c r="H1242" s="24"/>
      <c r="I1242" s="24"/>
    </row>
    <row r="1243" spans="2:9" x14ac:dyDescent="0.4">
      <c r="B1243" s="17"/>
      <c r="C1243" s="15"/>
      <c r="D1243" s="15"/>
      <c r="E1243" s="18"/>
      <c r="G1243" s="24"/>
      <c r="H1243" s="24"/>
      <c r="I1243" s="24"/>
    </row>
    <row r="1244" spans="2:9" x14ac:dyDescent="0.4">
      <c r="B1244" s="17"/>
      <c r="C1244" s="15"/>
      <c r="D1244" s="15"/>
      <c r="E1244" s="18"/>
      <c r="G1244" s="24"/>
      <c r="H1244" s="24"/>
      <c r="I1244" s="24"/>
    </row>
    <row r="1245" spans="2:9" x14ac:dyDescent="0.4">
      <c r="B1245" s="17"/>
      <c r="C1245" s="15"/>
      <c r="D1245" s="15"/>
      <c r="E1245" s="18"/>
      <c r="G1245" s="24"/>
      <c r="H1245" s="24"/>
      <c r="I1245" s="24"/>
    </row>
    <row r="1246" spans="2:9" x14ac:dyDescent="0.4">
      <c r="B1246" s="17"/>
      <c r="C1246" s="15"/>
      <c r="D1246" s="15"/>
      <c r="E1246" s="18"/>
      <c r="G1246" s="24"/>
      <c r="H1246" s="24"/>
      <c r="I1246" s="24"/>
    </row>
    <row r="1247" spans="2:9" x14ac:dyDescent="0.4">
      <c r="B1247" s="17"/>
      <c r="C1247" s="15"/>
      <c r="D1247" s="15"/>
      <c r="E1247" s="18"/>
      <c r="G1247" s="24"/>
      <c r="H1247" s="24"/>
      <c r="I1247" s="24"/>
    </row>
    <row r="1248" spans="2:9" x14ac:dyDescent="0.4">
      <c r="B1248" s="17"/>
      <c r="C1248" s="15"/>
      <c r="D1248" s="15"/>
      <c r="E1248" s="18"/>
      <c r="G1248" s="24"/>
      <c r="H1248" s="24"/>
      <c r="I1248" s="24"/>
    </row>
    <row r="1249" spans="2:9" x14ac:dyDescent="0.4">
      <c r="B1249" s="17"/>
      <c r="C1249" s="15"/>
      <c r="D1249" s="15"/>
      <c r="E1249" s="18"/>
      <c r="G1249" s="24"/>
      <c r="H1249" s="24"/>
      <c r="I1249" s="24"/>
    </row>
    <row r="1250" spans="2:9" x14ac:dyDescent="0.4">
      <c r="B1250" s="17"/>
      <c r="C1250" s="15"/>
      <c r="D1250" s="15"/>
      <c r="E1250" s="18"/>
      <c r="G1250" s="24"/>
      <c r="H1250" s="24"/>
      <c r="I1250" s="24"/>
    </row>
    <row r="1251" spans="2:9" x14ac:dyDescent="0.4">
      <c r="B1251" s="17"/>
      <c r="C1251" s="15"/>
      <c r="D1251" s="15"/>
      <c r="E1251" s="18"/>
      <c r="G1251" s="24"/>
      <c r="H1251" s="24"/>
      <c r="I1251" s="24"/>
    </row>
    <row r="1252" spans="2:9" x14ac:dyDescent="0.4">
      <c r="B1252" s="17"/>
      <c r="C1252" s="15"/>
      <c r="D1252" s="15"/>
      <c r="E1252" s="18"/>
      <c r="G1252" s="24"/>
      <c r="H1252" s="24"/>
      <c r="I1252" s="24"/>
    </row>
    <row r="1253" spans="2:9" x14ac:dyDescent="0.4">
      <c r="B1253" s="17"/>
      <c r="C1253" s="15"/>
      <c r="D1253" s="15"/>
      <c r="E1253" s="18"/>
      <c r="G1253" s="24"/>
      <c r="H1253" s="24"/>
      <c r="I1253" s="24"/>
    </row>
    <row r="1254" spans="2:9" x14ac:dyDescent="0.4">
      <c r="B1254" s="17"/>
      <c r="C1254" s="15"/>
      <c r="D1254" s="15"/>
      <c r="E1254" s="18"/>
      <c r="G1254" s="24"/>
      <c r="H1254" s="24"/>
      <c r="I1254" s="24"/>
    </row>
    <row r="1255" spans="2:9" x14ac:dyDescent="0.4">
      <c r="B1255" s="17"/>
      <c r="C1255" s="15"/>
      <c r="D1255" s="15"/>
      <c r="E1255" s="18"/>
      <c r="G1255" s="24"/>
      <c r="H1255" s="24"/>
      <c r="I1255" s="24"/>
    </row>
    <row r="1256" spans="2:9" x14ac:dyDescent="0.4">
      <c r="B1256" s="17"/>
      <c r="C1256" s="15"/>
      <c r="D1256" s="15"/>
      <c r="E1256" s="18"/>
      <c r="G1256" s="24"/>
      <c r="H1256" s="24"/>
      <c r="I1256" s="24"/>
    </row>
    <row r="1257" spans="2:9" x14ac:dyDescent="0.4">
      <c r="B1257" s="17"/>
      <c r="C1257" s="15"/>
      <c r="D1257" s="15"/>
      <c r="E1257" s="18"/>
      <c r="G1257" s="24"/>
      <c r="H1257" s="24"/>
      <c r="I1257" s="24"/>
    </row>
    <row r="1258" spans="2:9" x14ac:dyDescent="0.4">
      <c r="B1258" s="17"/>
      <c r="C1258" s="15"/>
      <c r="D1258" s="15"/>
      <c r="E1258" s="18"/>
      <c r="G1258" s="24"/>
      <c r="H1258" s="24"/>
      <c r="I1258" s="24"/>
    </row>
    <row r="1259" spans="2:9" x14ac:dyDescent="0.4">
      <c r="B1259" s="17"/>
      <c r="C1259" s="15"/>
      <c r="D1259" s="15"/>
      <c r="E1259" s="18"/>
      <c r="G1259" s="24"/>
      <c r="H1259" s="24"/>
      <c r="I1259" s="24"/>
    </row>
    <row r="1260" spans="2:9" x14ac:dyDescent="0.4">
      <c r="B1260" s="17"/>
      <c r="C1260" s="15"/>
      <c r="D1260" s="15"/>
      <c r="E1260" s="18"/>
      <c r="G1260" s="24"/>
      <c r="H1260" s="24"/>
      <c r="I1260" s="24"/>
    </row>
    <row r="1261" spans="2:9" x14ac:dyDescent="0.4">
      <c r="B1261" s="17"/>
      <c r="C1261" s="15"/>
      <c r="D1261" s="15"/>
      <c r="E1261" s="18"/>
      <c r="G1261" s="24"/>
      <c r="H1261" s="24"/>
      <c r="I1261" s="24"/>
    </row>
    <row r="1262" spans="2:9" x14ac:dyDescent="0.4">
      <c r="B1262" s="17"/>
      <c r="C1262" s="15"/>
      <c r="D1262" s="15"/>
      <c r="E1262" s="18"/>
      <c r="G1262" s="24"/>
      <c r="H1262" s="24"/>
      <c r="I1262" s="24"/>
    </row>
    <row r="1263" spans="2:9" x14ac:dyDescent="0.4">
      <c r="B1263" s="17"/>
      <c r="C1263" s="15"/>
      <c r="D1263" s="15"/>
      <c r="E1263" s="18"/>
      <c r="G1263" s="24"/>
      <c r="H1263" s="24"/>
      <c r="I1263" s="24"/>
    </row>
    <row r="1264" spans="2:9" x14ac:dyDescent="0.4">
      <c r="B1264" s="17"/>
      <c r="C1264" s="15"/>
      <c r="D1264" s="15"/>
      <c r="E1264" s="18"/>
      <c r="G1264" s="24"/>
      <c r="H1264" s="24"/>
      <c r="I1264" s="24"/>
    </row>
    <row r="1265" spans="2:9" x14ac:dyDescent="0.4">
      <c r="B1265" s="17"/>
      <c r="C1265" s="15"/>
      <c r="D1265" s="15"/>
      <c r="E1265" s="18"/>
      <c r="G1265" s="24"/>
      <c r="H1265" s="24"/>
      <c r="I1265" s="24"/>
    </row>
    <row r="1266" spans="2:9" x14ac:dyDescent="0.4">
      <c r="B1266" s="17"/>
      <c r="C1266" s="15"/>
      <c r="D1266" s="15"/>
      <c r="E1266" s="18"/>
      <c r="G1266" s="24"/>
      <c r="H1266" s="24"/>
      <c r="I1266" s="24"/>
    </row>
    <row r="1267" spans="2:9" x14ac:dyDescent="0.4">
      <c r="B1267" s="17"/>
      <c r="C1267" s="15"/>
      <c r="D1267" s="15"/>
      <c r="E1267" s="18"/>
      <c r="G1267" s="24"/>
      <c r="H1267" s="24"/>
      <c r="I1267" s="24"/>
    </row>
    <row r="1268" spans="2:9" x14ac:dyDescent="0.4">
      <c r="B1268" s="17"/>
      <c r="C1268" s="15"/>
      <c r="D1268" s="15"/>
      <c r="E1268" s="18"/>
      <c r="G1268" s="24"/>
      <c r="H1268" s="24"/>
      <c r="I1268" s="24"/>
    </row>
    <row r="1269" spans="2:9" x14ac:dyDescent="0.4">
      <c r="B1269" s="17"/>
      <c r="C1269" s="15"/>
      <c r="D1269" s="15"/>
      <c r="E1269" s="18"/>
      <c r="G1269" s="24"/>
      <c r="H1269" s="24"/>
      <c r="I1269" s="24"/>
    </row>
    <row r="1270" spans="2:9" x14ac:dyDescent="0.4">
      <c r="B1270" s="17"/>
      <c r="C1270" s="15"/>
      <c r="D1270" s="15"/>
      <c r="E1270" s="18"/>
      <c r="G1270" s="24"/>
      <c r="H1270" s="24"/>
      <c r="I1270" s="24"/>
    </row>
    <row r="1271" spans="2:9" x14ac:dyDescent="0.4">
      <c r="B1271" s="17"/>
      <c r="C1271" s="15"/>
      <c r="D1271" s="15"/>
      <c r="E1271" s="18"/>
      <c r="G1271" s="24"/>
      <c r="H1271" s="24"/>
      <c r="I1271" s="24"/>
    </row>
    <row r="1272" spans="2:9" x14ac:dyDescent="0.4">
      <c r="B1272" s="17"/>
      <c r="C1272" s="15"/>
      <c r="D1272" s="15"/>
      <c r="E1272" s="18"/>
      <c r="G1272" s="24"/>
      <c r="H1272" s="24"/>
      <c r="I1272" s="24"/>
    </row>
    <row r="1273" spans="2:9" x14ac:dyDescent="0.4">
      <c r="B1273" s="17"/>
      <c r="C1273" s="15"/>
      <c r="D1273" s="15"/>
      <c r="E1273" s="18"/>
      <c r="G1273" s="24"/>
      <c r="H1273" s="24"/>
      <c r="I1273" s="24"/>
    </row>
    <row r="1274" spans="2:9" x14ac:dyDescent="0.4">
      <c r="B1274" s="17"/>
      <c r="C1274" s="15"/>
      <c r="D1274" s="15"/>
      <c r="E1274" s="18"/>
      <c r="G1274" s="24"/>
      <c r="H1274" s="24"/>
      <c r="I1274" s="24"/>
    </row>
    <row r="1275" spans="2:9" x14ac:dyDescent="0.4">
      <c r="B1275" s="17"/>
      <c r="C1275" s="15"/>
      <c r="D1275" s="15"/>
      <c r="E1275" s="18"/>
      <c r="G1275" s="24"/>
      <c r="H1275" s="24"/>
      <c r="I1275" s="24"/>
    </row>
    <row r="1276" spans="2:9" x14ac:dyDescent="0.4">
      <c r="B1276" s="17"/>
      <c r="C1276" s="15"/>
      <c r="D1276" s="15"/>
      <c r="E1276" s="18"/>
      <c r="G1276" s="24"/>
      <c r="H1276" s="24"/>
      <c r="I1276" s="24"/>
    </row>
    <row r="1277" spans="2:9" x14ac:dyDescent="0.4">
      <c r="B1277" s="17"/>
      <c r="C1277" s="15"/>
      <c r="D1277" s="15"/>
      <c r="E1277" s="18"/>
      <c r="G1277" s="24"/>
      <c r="H1277" s="24"/>
      <c r="I1277" s="24"/>
    </row>
    <row r="1278" spans="2:9" x14ac:dyDescent="0.4">
      <c r="B1278" s="17"/>
      <c r="C1278" s="15"/>
      <c r="D1278" s="15"/>
      <c r="E1278" s="18"/>
      <c r="G1278" s="24"/>
      <c r="H1278" s="24"/>
      <c r="I1278" s="24"/>
    </row>
    <row r="1279" spans="2:9" x14ac:dyDescent="0.4">
      <c r="B1279" s="17"/>
      <c r="C1279" s="15"/>
      <c r="D1279" s="15"/>
      <c r="E1279" s="18"/>
      <c r="G1279" s="24"/>
      <c r="H1279" s="24"/>
      <c r="I1279" s="24"/>
    </row>
    <row r="1280" spans="2:9" x14ac:dyDescent="0.4">
      <c r="B1280" s="17"/>
      <c r="C1280" s="15"/>
      <c r="D1280" s="15"/>
      <c r="E1280" s="18"/>
      <c r="G1280" s="24"/>
      <c r="H1280" s="24"/>
      <c r="I1280" s="24"/>
    </row>
    <row r="1281" spans="2:9" x14ac:dyDescent="0.4">
      <c r="B1281" s="17"/>
      <c r="C1281" s="15"/>
      <c r="D1281" s="15"/>
      <c r="E1281" s="18"/>
      <c r="G1281" s="24"/>
      <c r="H1281" s="24"/>
      <c r="I1281" s="24"/>
    </row>
    <row r="1282" spans="2:9" x14ac:dyDescent="0.4">
      <c r="B1282" s="17"/>
      <c r="C1282" s="15"/>
      <c r="D1282" s="15"/>
      <c r="E1282" s="18"/>
      <c r="G1282" s="24"/>
      <c r="H1282" s="24"/>
      <c r="I1282" s="24"/>
    </row>
    <row r="1283" spans="2:9" x14ac:dyDescent="0.4">
      <c r="B1283" s="17"/>
      <c r="C1283" s="15"/>
      <c r="D1283" s="15"/>
      <c r="E1283" s="18"/>
      <c r="G1283" s="24"/>
      <c r="H1283" s="24"/>
      <c r="I1283" s="24"/>
    </row>
    <row r="1284" spans="2:9" x14ac:dyDescent="0.4">
      <c r="B1284" s="17"/>
      <c r="C1284" s="15"/>
      <c r="D1284" s="15"/>
      <c r="E1284" s="18"/>
      <c r="G1284" s="24"/>
      <c r="H1284" s="24"/>
      <c r="I1284" s="24"/>
    </row>
    <row r="1285" spans="2:9" x14ac:dyDescent="0.4">
      <c r="B1285" s="17"/>
      <c r="C1285" s="15"/>
      <c r="D1285" s="15"/>
      <c r="E1285" s="18"/>
      <c r="G1285" s="24"/>
      <c r="H1285" s="24"/>
      <c r="I1285" s="24"/>
    </row>
    <row r="1286" spans="2:9" x14ac:dyDescent="0.4">
      <c r="B1286" s="17"/>
      <c r="C1286" s="15"/>
      <c r="D1286" s="15"/>
      <c r="E1286" s="18"/>
      <c r="G1286" s="24"/>
      <c r="H1286" s="24"/>
      <c r="I1286" s="24"/>
    </row>
    <row r="1287" spans="2:9" x14ac:dyDescent="0.4">
      <c r="B1287" s="17"/>
      <c r="C1287" s="15"/>
      <c r="D1287" s="15"/>
      <c r="E1287" s="18"/>
      <c r="G1287" s="24"/>
      <c r="H1287" s="24"/>
      <c r="I1287" s="24"/>
    </row>
    <row r="1288" spans="2:9" x14ac:dyDescent="0.4">
      <c r="B1288" s="17"/>
      <c r="C1288" s="15"/>
      <c r="D1288" s="15"/>
      <c r="E1288" s="18"/>
      <c r="G1288" s="24"/>
      <c r="H1288" s="24"/>
      <c r="I1288" s="24"/>
    </row>
    <row r="1289" spans="2:9" x14ac:dyDescent="0.4">
      <c r="B1289" s="17"/>
      <c r="C1289" s="15"/>
      <c r="D1289" s="15"/>
      <c r="E1289" s="18"/>
      <c r="G1289" s="24"/>
      <c r="H1289" s="24"/>
      <c r="I1289" s="24"/>
    </row>
    <row r="1290" spans="2:9" x14ac:dyDescent="0.4">
      <c r="B1290" s="17"/>
      <c r="C1290" s="15"/>
      <c r="D1290" s="15"/>
      <c r="E1290" s="18"/>
      <c r="G1290" s="24"/>
      <c r="H1290" s="24"/>
      <c r="I1290" s="24"/>
    </row>
    <row r="1291" spans="2:9" x14ac:dyDescent="0.4">
      <c r="B1291" s="17"/>
      <c r="C1291" s="15"/>
      <c r="D1291" s="15"/>
      <c r="E1291" s="18"/>
      <c r="G1291" s="24"/>
      <c r="H1291" s="24"/>
      <c r="I1291" s="24"/>
    </row>
    <row r="1292" spans="2:9" x14ac:dyDescent="0.4">
      <c r="B1292" s="17"/>
      <c r="C1292" s="15"/>
      <c r="D1292" s="15"/>
      <c r="E1292" s="18"/>
      <c r="G1292" s="24"/>
      <c r="H1292" s="24"/>
      <c r="I1292" s="24"/>
    </row>
    <row r="1293" spans="2:9" x14ac:dyDescent="0.4">
      <c r="B1293" s="17"/>
      <c r="C1293" s="15"/>
      <c r="D1293" s="15"/>
      <c r="E1293" s="18"/>
      <c r="G1293" s="24"/>
      <c r="H1293" s="24"/>
      <c r="I1293" s="24"/>
    </row>
    <row r="1294" spans="2:9" x14ac:dyDescent="0.4">
      <c r="B1294" s="17"/>
      <c r="C1294" s="15"/>
      <c r="D1294" s="15"/>
      <c r="E1294" s="18"/>
      <c r="G1294" s="24"/>
      <c r="H1294" s="24"/>
      <c r="I1294" s="24"/>
    </row>
    <row r="1295" spans="2:9" x14ac:dyDescent="0.4">
      <c r="B1295" s="17"/>
      <c r="C1295" s="15"/>
      <c r="D1295" s="15"/>
      <c r="E1295" s="18"/>
      <c r="G1295" s="24"/>
      <c r="H1295" s="24"/>
      <c r="I1295" s="24"/>
    </row>
    <row r="1296" spans="2:9" x14ac:dyDescent="0.4">
      <c r="B1296" s="17"/>
      <c r="C1296" s="15"/>
      <c r="D1296" s="15"/>
      <c r="E1296" s="18"/>
      <c r="G1296" s="24"/>
      <c r="H1296" s="24"/>
      <c r="I1296" s="24"/>
    </row>
    <row r="1297" spans="2:9" x14ac:dyDescent="0.4">
      <c r="B1297" s="17"/>
      <c r="C1297" s="15"/>
      <c r="D1297" s="15"/>
      <c r="E1297" s="18"/>
      <c r="G1297" s="24"/>
      <c r="H1297" s="24"/>
      <c r="I1297" s="24"/>
    </row>
    <row r="1298" spans="2:9" x14ac:dyDescent="0.4">
      <c r="B1298" s="17"/>
      <c r="C1298" s="15"/>
      <c r="D1298" s="15"/>
      <c r="E1298" s="18"/>
      <c r="G1298" s="24"/>
      <c r="H1298" s="24"/>
      <c r="I1298" s="24"/>
    </row>
    <row r="1299" spans="2:9" x14ac:dyDescent="0.4">
      <c r="B1299" s="17"/>
      <c r="C1299" s="15"/>
      <c r="D1299" s="15"/>
      <c r="E1299" s="18"/>
      <c r="G1299" s="24"/>
      <c r="H1299" s="24"/>
      <c r="I1299" s="24"/>
    </row>
    <row r="1300" spans="2:9" x14ac:dyDescent="0.4">
      <c r="B1300" s="17"/>
      <c r="C1300" s="15"/>
      <c r="D1300" s="15"/>
      <c r="E1300" s="18"/>
      <c r="G1300" s="24"/>
      <c r="H1300" s="24"/>
      <c r="I1300" s="24"/>
    </row>
    <row r="1301" spans="2:9" x14ac:dyDescent="0.4">
      <c r="B1301" s="17"/>
      <c r="C1301" s="15"/>
      <c r="D1301" s="15"/>
      <c r="E1301" s="18"/>
      <c r="G1301" s="24"/>
      <c r="H1301" s="24"/>
      <c r="I1301" s="24"/>
    </row>
    <row r="1302" spans="2:9" x14ac:dyDescent="0.4">
      <c r="B1302" s="17"/>
      <c r="C1302" s="15"/>
      <c r="D1302" s="15"/>
      <c r="E1302" s="18"/>
      <c r="G1302" s="24"/>
      <c r="H1302" s="24"/>
      <c r="I1302" s="24"/>
    </row>
    <row r="1303" spans="2:9" x14ac:dyDescent="0.4">
      <c r="B1303" s="17"/>
      <c r="C1303" s="15"/>
      <c r="D1303" s="15"/>
      <c r="E1303" s="18"/>
      <c r="G1303" s="24"/>
      <c r="H1303" s="24"/>
      <c r="I1303" s="24"/>
    </row>
    <row r="1304" spans="2:9" x14ac:dyDescent="0.4">
      <c r="B1304" s="17"/>
      <c r="C1304" s="15"/>
      <c r="D1304" s="15"/>
      <c r="E1304" s="18"/>
      <c r="G1304" s="24"/>
      <c r="H1304" s="24"/>
      <c r="I1304" s="24"/>
    </row>
    <row r="1305" spans="2:9" x14ac:dyDescent="0.4">
      <c r="B1305" s="17"/>
      <c r="C1305" s="15"/>
      <c r="D1305" s="15"/>
      <c r="E1305" s="18"/>
      <c r="G1305" s="24"/>
      <c r="H1305" s="24"/>
      <c r="I1305" s="24"/>
    </row>
    <row r="1306" spans="2:9" x14ac:dyDescent="0.4">
      <c r="B1306" s="17"/>
      <c r="C1306" s="15"/>
      <c r="D1306" s="15"/>
      <c r="E1306" s="18"/>
      <c r="G1306" s="24"/>
      <c r="H1306" s="24"/>
      <c r="I1306" s="24"/>
    </row>
    <row r="1307" spans="2:9" x14ac:dyDescent="0.4">
      <c r="B1307" s="17"/>
      <c r="C1307" s="15"/>
      <c r="D1307" s="15"/>
      <c r="E1307" s="18"/>
      <c r="G1307" s="24"/>
      <c r="H1307" s="24"/>
      <c r="I1307" s="24"/>
    </row>
    <row r="1308" spans="2:9" x14ac:dyDescent="0.4">
      <c r="B1308" s="17"/>
      <c r="C1308" s="15"/>
      <c r="D1308" s="15"/>
      <c r="E1308" s="18"/>
      <c r="G1308" s="24"/>
      <c r="H1308" s="24"/>
      <c r="I1308" s="24"/>
    </row>
    <row r="1309" spans="2:9" x14ac:dyDescent="0.4">
      <c r="B1309" s="17"/>
      <c r="C1309" s="15"/>
      <c r="D1309" s="15"/>
      <c r="E1309" s="18"/>
      <c r="G1309" s="24"/>
      <c r="H1309" s="24"/>
      <c r="I1309" s="24"/>
    </row>
    <row r="1310" spans="2:9" x14ac:dyDescent="0.4">
      <c r="B1310" s="17"/>
      <c r="C1310" s="15"/>
      <c r="D1310" s="15"/>
      <c r="E1310" s="18"/>
      <c r="G1310" s="24"/>
      <c r="H1310" s="24"/>
      <c r="I1310" s="24"/>
    </row>
    <row r="1311" spans="2:9" x14ac:dyDescent="0.4">
      <c r="B1311" s="17"/>
      <c r="C1311" s="15"/>
      <c r="D1311" s="15"/>
      <c r="E1311" s="18"/>
      <c r="G1311" s="24"/>
      <c r="H1311" s="24"/>
      <c r="I1311" s="24"/>
    </row>
    <row r="1312" spans="2:9" x14ac:dyDescent="0.4">
      <c r="B1312" s="17"/>
      <c r="C1312" s="15"/>
      <c r="D1312" s="15"/>
      <c r="E1312" s="18"/>
      <c r="G1312" s="24"/>
      <c r="H1312" s="24"/>
      <c r="I1312" s="24"/>
    </row>
    <row r="1313" spans="2:9" x14ac:dyDescent="0.4">
      <c r="B1313" s="17"/>
      <c r="C1313" s="15"/>
      <c r="D1313" s="15"/>
      <c r="E1313" s="18"/>
      <c r="G1313" s="24"/>
      <c r="H1313" s="24"/>
      <c r="I1313" s="24"/>
    </row>
    <row r="1314" spans="2:9" x14ac:dyDescent="0.4">
      <c r="B1314" s="17"/>
      <c r="C1314" s="15"/>
      <c r="D1314" s="15"/>
      <c r="E1314" s="18"/>
      <c r="G1314" s="24"/>
      <c r="H1314" s="24"/>
      <c r="I1314" s="24"/>
    </row>
    <row r="1315" spans="2:9" x14ac:dyDescent="0.4">
      <c r="B1315" s="17"/>
      <c r="C1315" s="15"/>
      <c r="D1315" s="15"/>
      <c r="E1315" s="18"/>
      <c r="G1315" s="24"/>
      <c r="H1315" s="24"/>
      <c r="I1315" s="24"/>
    </row>
    <row r="1316" spans="2:9" x14ac:dyDescent="0.4">
      <c r="B1316" s="17"/>
      <c r="C1316" s="15"/>
      <c r="D1316" s="15"/>
      <c r="E1316" s="18"/>
      <c r="G1316" s="24"/>
      <c r="H1316" s="24"/>
      <c r="I1316" s="24"/>
    </row>
    <row r="1317" spans="2:9" x14ac:dyDescent="0.4">
      <c r="B1317" s="17"/>
      <c r="C1317" s="15"/>
      <c r="D1317" s="15"/>
      <c r="E1317" s="18"/>
      <c r="G1317" s="24"/>
      <c r="H1317" s="24"/>
      <c r="I1317" s="24"/>
    </row>
    <row r="1318" spans="2:9" x14ac:dyDescent="0.4">
      <c r="B1318" s="17"/>
      <c r="C1318" s="15"/>
      <c r="D1318" s="15"/>
      <c r="E1318" s="18"/>
      <c r="G1318" s="24"/>
      <c r="H1318" s="24"/>
      <c r="I1318" s="24"/>
    </row>
    <row r="1319" spans="2:9" x14ac:dyDescent="0.4">
      <c r="B1319" s="17"/>
      <c r="C1319" s="15"/>
      <c r="D1319" s="15"/>
      <c r="E1319" s="18"/>
      <c r="G1319" s="24"/>
      <c r="H1319" s="24"/>
      <c r="I1319" s="24"/>
    </row>
    <row r="1320" spans="2:9" x14ac:dyDescent="0.4">
      <c r="B1320" s="17"/>
      <c r="C1320" s="15"/>
      <c r="D1320" s="15"/>
      <c r="E1320" s="18"/>
      <c r="G1320" s="24"/>
      <c r="H1320" s="24"/>
      <c r="I1320" s="24"/>
    </row>
    <row r="1321" spans="2:9" x14ac:dyDescent="0.4">
      <c r="B1321" s="17"/>
      <c r="C1321" s="15"/>
      <c r="D1321" s="15"/>
      <c r="E1321" s="18"/>
      <c r="G1321" s="24"/>
      <c r="H1321" s="24"/>
      <c r="I1321" s="24"/>
    </row>
    <row r="1322" spans="2:9" x14ac:dyDescent="0.4">
      <c r="B1322" s="17"/>
      <c r="C1322" s="15"/>
      <c r="D1322" s="15"/>
      <c r="E1322" s="18"/>
      <c r="G1322" s="24"/>
      <c r="H1322" s="24"/>
      <c r="I1322" s="24"/>
    </row>
    <row r="1323" spans="2:9" x14ac:dyDescent="0.4">
      <c r="B1323" s="17"/>
      <c r="C1323" s="15"/>
      <c r="D1323" s="15"/>
      <c r="E1323" s="18"/>
      <c r="G1323" s="24"/>
      <c r="H1323" s="24"/>
      <c r="I1323" s="24"/>
    </row>
    <row r="1324" spans="2:9" x14ac:dyDescent="0.4">
      <c r="B1324" s="17"/>
      <c r="C1324" s="15"/>
      <c r="D1324" s="15"/>
      <c r="E1324" s="18"/>
      <c r="G1324" s="24"/>
      <c r="H1324" s="24"/>
      <c r="I1324" s="24"/>
    </row>
    <row r="1325" spans="2:9" x14ac:dyDescent="0.4">
      <c r="B1325" s="17"/>
      <c r="C1325" s="15"/>
      <c r="D1325" s="15"/>
      <c r="E1325" s="18"/>
      <c r="G1325" s="24"/>
      <c r="H1325" s="24"/>
      <c r="I1325" s="24"/>
    </row>
    <row r="1326" spans="2:9" x14ac:dyDescent="0.4">
      <c r="B1326" s="17"/>
      <c r="C1326" s="15"/>
      <c r="D1326" s="15"/>
      <c r="E1326" s="18"/>
      <c r="G1326" s="24"/>
      <c r="H1326" s="24"/>
      <c r="I1326" s="24"/>
    </row>
    <row r="1327" spans="2:9" x14ac:dyDescent="0.4">
      <c r="B1327" s="17"/>
      <c r="C1327" s="15"/>
      <c r="D1327" s="15"/>
      <c r="E1327" s="18"/>
      <c r="G1327" s="24"/>
      <c r="H1327" s="24"/>
      <c r="I1327" s="24"/>
    </row>
    <row r="1328" spans="2:9" x14ac:dyDescent="0.4">
      <c r="B1328" s="17"/>
      <c r="C1328" s="15"/>
      <c r="D1328" s="15"/>
      <c r="E1328" s="18"/>
      <c r="G1328" s="24"/>
      <c r="H1328" s="24"/>
      <c r="I1328" s="24"/>
    </row>
    <row r="1329" spans="2:9" x14ac:dyDescent="0.4">
      <c r="B1329" s="17"/>
      <c r="C1329" s="15"/>
      <c r="D1329" s="15"/>
      <c r="E1329" s="18"/>
      <c r="G1329" s="24"/>
      <c r="H1329" s="24"/>
      <c r="I1329" s="24"/>
    </row>
    <row r="1330" spans="2:9" x14ac:dyDescent="0.4">
      <c r="B1330" s="17"/>
      <c r="C1330" s="15"/>
      <c r="D1330" s="15"/>
      <c r="E1330" s="18"/>
      <c r="G1330" s="24"/>
      <c r="H1330" s="24"/>
      <c r="I1330" s="24"/>
    </row>
    <row r="1331" spans="2:9" x14ac:dyDescent="0.4">
      <c r="B1331" s="17"/>
      <c r="C1331" s="15"/>
      <c r="D1331" s="15"/>
      <c r="E1331" s="18"/>
      <c r="G1331" s="24"/>
      <c r="H1331" s="24"/>
      <c r="I1331" s="24"/>
    </row>
    <row r="1332" spans="2:9" x14ac:dyDescent="0.4">
      <c r="B1332" s="17"/>
      <c r="C1332" s="15"/>
      <c r="D1332" s="15"/>
      <c r="E1332" s="18"/>
      <c r="G1332" s="24"/>
      <c r="H1332" s="24"/>
      <c r="I1332" s="24"/>
    </row>
    <row r="1333" spans="2:9" x14ac:dyDescent="0.4">
      <c r="B1333" s="17"/>
      <c r="C1333" s="15"/>
      <c r="D1333" s="15"/>
      <c r="E1333" s="18"/>
      <c r="G1333" s="24"/>
      <c r="H1333" s="24"/>
      <c r="I1333" s="24"/>
    </row>
    <row r="1334" spans="2:9" x14ac:dyDescent="0.4">
      <c r="B1334" s="17"/>
      <c r="C1334" s="15"/>
      <c r="D1334" s="15"/>
      <c r="E1334" s="18"/>
      <c r="G1334" s="24"/>
      <c r="H1334" s="24"/>
      <c r="I1334" s="24"/>
    </row>
    <row r="1335" spans="2:9" x14ac:dyDescent="0.4">
      <c r="B1335" s="17"/>
      <c r="C1335" s="15"/>
      <c r="D1335" s="15"/>
      <c r="E1335" s="18"/>
      <c r="G1335" s="24"/>
      <c r="H1335" s="24"/>
      <c r="I1335" s="24"/>
    </row>
    <row r="1336" spans="2:9" x14ac:dyDescent="0.4">
      <c r="B1336" s="17"/>
      <c r="C1336" s="15"/>
      <c r="D1336" s="15"/>
      <c r="E1336" s="18"/>
      <c r="G1336" s="24"/>
      <c r="H1336" s="24"/>
      <c r="I1336" s="24"/>
    </row>
    <row r="1337" spans="2:9" x14ac:dyDescent="0.4">
      <c r="B1337" s="17"/>
      <c r="C1337" s="15"/>
      <c r="D1337" s="15"/>
      <c r="E1337" s="18"/>
      <c r="G1337" s="24"/>
      <c r="H1337" s="24"/>
      <c r="I1337" s="24"/>
    </row>
    <row r="1338" spans="2:9" x14ac:dyDescent="0.4">
      <c r="B1338" s="17"/>
      <c r="C1338" s="15"/>
      <c r="D1338" s="15"/>
      <c r="E1338" s="18"/>
      <c r="G1338" s="24"/>
      <c r="H1338" s="24"/>
      <c r="I1338" s="24"/>
    </row>
    <row r="1339" spans="2:9" x14ac:dyDescent="0.4">
      <c r="B1339" s="17"/>
      <c r="C1339" s="15"/>
      <c r="D1339" s="15"/>
      <c r="E1339" s="18"/>
      <c r="G1339" s="24"/>
      <c r="H1339" s="24"/>
      <c r="I1339" s="24"/>
    </row>
    <row r="1340" spans="2:9" x14ac:dyDescent="0.4">
      <c r="B1340" s="17"/>
      <c r="C1340" s="15"/>
      <c r="D1340" s="15"/>
      <c r="E1340" s="18"/>
      <c r="G1340" s="24"/>
      <c r="H1340" s="24"/>
      <c r="I1340" s="24"/>
    </row>
    <row r="1341" spans="2:9" x14ac:dyDescent="0.4">
      <c r="B1341" s="17"/>
      <c r="C1341" s="15"/>
      <c r="D1341" s="15"/>
      <c r="E1341" s="18"/>
      <c r="G1341" s="24"/>
      <c r="H1341" s="24"/>
      <c r="I1341" s="24"/>
    </row>
    <row r="1342" spans="2:9" x14ac:dyDescent="0.4">
      <c r="B1342" s="17"/>
      <c r="C1342" s="15"/>
      <c r="D1342" s="15"/>
      <c r="E1342" s="18"/>
      <c r="G1342" s="24"/>
      <c r="H1342" s="24"/>
      <c r="I1342" s="24"/>
    </row>
    <row r="1343" spans="2:9" x14ac:dyDescent="0.4">
      <c r="B1343" s="17"/>
      <c r="C1343" s="15"/>
      <c r="D1343" s="15"/>
      <c r="E1343" s="18"/>
      <c r="G1343" s="24"/>
      <c r="H1343" s="24"/>
      <c r="I1343" s="24"/>
    </row>
    <row r="1344" spans="2:9" x14ac:dyDescent="0.4">
      <c r="B1344" s="17"/>
      <c r="C1344" s="15"/>
      <c r="D1344" s="15"/>
      <c r="E1344" s="18"/>
      <c r="G1344" s="24"/>
      <c r="H1344" s="24"/>
      <c r="I1344" s="24"/>
    </row>
    <row r="1345" spans="2:9" x14ac:dyDescent="0.4">
      <c r="B1345" s="17"/>
      <c r="C1345" s="15"/>
      <c r="D1345" s="15"/>
      <c r="E1345" s="18"/>
      <c r="G1345" s="24"/>
      <c r="H1345" s="24"/>
      <c r="I1345" s="24"/>
    </row>
    <row r="1346" spans="2:9" x14ac:dyDescent="0.4">
      <c r="B1346" s="17"/>
      <c r="C1346" s="15"/>
      <c r="D1346" s="15"/>
      <c r="E1346" s="18"/>
      <c r="G1346" s="24"/>
      <c r="H1346" s="24"/>
      <c r="I1346" s="24"/>
    </row>
    <row r="1347" spans="2:9" x14ac:dyDescent="0.4">
      <c r="B1347" s="17"/>
      <c r="C1347" s="15"/>
      <c r="D1347" s="15"/>
      <c r="E1347" s="18"/>
      <c r="G1347" s="24"/>
      <c r="H1347" s="24"/>
      <c r="I1347" s="24"/>
    </row>
    <row r="1348" spans="2:9" x14ac:dyDescent="0.4">
      <c r="B1348" s="17"/>
      <c r="C1348" s="15"/>
      <c r="D1348" s="15"/>
      <c r="E1348" s="18"/>
      <c r="G1348" s="24"/>
      <c r="H1348" s="24"/>
      <c r="I1348" s="24"/>
    </row>
    <row r="1349" spans="2:9" x14ac:dyDescent="0.4">
      <c r="B1349" s="17"/>
      <c r="C1349" s="15"/>
      <c r="D1349" s="15"/>
      <c r="E1349" s="18"/>
      <c r="G1349" s="24"/>
      <c r="H1349" s="24"/>
      <c r="I1349" s="24"/>
    </row>
    <row r="1350" spans="2:9" x14ac:dyDescent="0.4">
      <c r="B1350" s="17"/>
      <c r="C1350" s="15"/>
      <c r="D1350" s="15"/>
      <c r="E1350" s="18"/>
      <c r="G1350" s="24"/>
      <c r="H1350" s="24"/>
      <c r="I1350" s="24"/>
    </row>
    <row r="1351" spans="2:9" x14ac:dyDescent="0.4">
      <c r="B1351" s="17"/>
      <c r="C1351" s="15"/>
      <c r="D1351" s="15"/>
      <c r="E1351" s="18"/>
      <c r="G1351" s="24"/>
      <c r="H1351" s="24"/>
      <c r="I1351" s="24"/>
    </row>
    <row r="1352" spans="2:9" x14ac:dyDescent="0.4">
      <c r="B1352" s="17"/>
      <c r="C1352" s="15"/>
      <c r="D1352" s="15"/>
      <c r="E1352" s="18"/>
      <c r="G1352" s="24"/>
      <c r="H1352" s="24"/>
      <c r="I1352" s="24"/>
    </row>
    <row r="1353" spans="2:9" x14ac:dyDescent="0.4">
      <c r="B1353" s="17"/>
      <c r="C1353" s="15"/>
      <c r="D1353" s="15"/>
      <c r="E1353" s="18"/>
      <c r="G1353" s="24"/>
      <c r="H1353" s="24"/>
      <c r="I1353" s="24"/>
    </row>
    <row r="1354" spans="2:9" x14ac:dyDescent="0.4">
      <c r="B1354" s="17"/>
      <c r="C1354" s="15"/>
      <c r="D1354" s="15"/>
      <c r="E1354" s="18"/>
      <c r="G1354" s="24"/>
      <c r="H1354" s="24"/>
      <c r="I1354" s="24"/>
    </row>
    <row r="1355" spans="2:9" x14ac:dyDescent="0.4">
      <c r="B1355" s="17"/>
      <c r="C1355" s="15"/>
      <c r="D1355" s="15"/>
      <c r="E1355" s="18"/>
      <c r="G1355" s="24"/>
      <c r="H1355" s="24"/>
      <c r="I1355" s="24"/>
    </row>
    <row r="1356" spans="2:9" x14ac:dyDescent="0.4">
      <c r="B1356" s="17"/>
      <c r="C1356" s="15"/>
      <c r="D1356" s="15"/>
      <c r="E1356" s="18"/>
      <c r="G1356" s="24"/>
      <c r="H1356" s="24"/>
      <c r="I1356" s="24"/>
    </row>
    <row r="1357" spans="2:9" x14ac:dyDescent="0.4">
      <c r="B1357" s="17"/>
      <c r="C1357" s="15"/>
      <c r="D1357" s="15"/>
      <c r="E1357" s="18"/>
      <c r="G1357" s="24"/>
      <c r="H1357" s="24"/>
      <c r="I1357" s="24"/>
    </row>
    <row r="1358" spans="2:9" x14ac:dyDescent="0.4">
      <c r="B1358" s="17"/>
      <c r="C1358" s="15"/>
      <c r="D1358" s="15"/>
      <c r="E1358" s="18"/>
      <c r="G1358" s="24"/>
      <c r="H1358" s="24"/>
      <c r="I1358" s="24"/>
    </row>
    <row r="1359" spans="2:9" x14ac:dyDescent="0.4">
      <c r="B1359" s="17"/>
      <c r="C1359" s="15"/>
      <c r="D1359" s="15"/>
      <c r="E1359" s="18"/>
      <c r="G1359" s="24"/>
      <c r="H1359" s="24"/>
      <c r="I1359" s="24"/>
    </row>
    <row r="1360" spans="2:9" x14ac:dyDescent="0.4">
      <c r="B1360" s="17"/>
      <c r="C1360" s="15"/>
      <c r="D1360" s="15"/>
      <c r="E1360" s="18"/>
      <c r="G1360" s="24"/>
      <c r="H1360" s="24"/>
      <c r="I1360" s="24"/>
    </row>
    <row r="1361" spans="2:9" x14ac:dyDescent="0.4">
      <c r="B1361" s="17"/>
      <c r="C1361" s="15"/>
      <c r="D1361" s="15"/>
      <c r="E1361" s="18"/>
      <c r="G1361" s="24"/>
      <c r="H1361" s="24"/>
      <c r="I1361" s="24"/>
    </row>
    <row r="1362" spans="2:9" x14ac:dyDescent="0.4">
      <c r="B1362" s="17"/>
      <c r="C1362" s="15"/>
      <c r="D1362" s="15"/>
      <c r="E1362" s="18"/>
      <c r="G1362" s="24"/>
      <c r="H1362" s="24"/>
      <c r="I1362" s="24"/>
    </row>
    <row r="1363" spans="2:9" x14ac:dyDescent="0.4">
      <c r="B1363" s="17"/>
      <c r="C1363" s="15"/>
      <c r="D1363" s="15"/>
      <c r="E1363" s="18"/>
      <c r="G1363" s="24"/>
      <c r="H1363" s="24"/>
      <c r="I1363" s="24"/>
    </row>
    <row r="1364" spans="2:9" x14ac:dyDescent="0.4">
      <c r="B1364" s="17"/>
      <c r="C1364" s="15"/>
      <c r="D1364" s="15"/>
      <c r="E1364" s="18"/>
      <c r="G1364" s="24"/>
      <c r="H1364" s="24"/>
      <c r="I1364" s="24"/>
    </row>
    <row r="1365" spans="2:9" x14ac:dyDescent="0.4">
      <c r="B1365" s="17"/>
      <c r="C1365" s="15"/>
      <c r="D1365" s="15"/>
      <c r="E1365" s="18"/>
      <c r="G1365" s="24"/>
      <c r="H1365" s="24"/>
      <c r="I1365" s="24"/>
    </row>
    <row r="1366" spans="2:9" x14ac:dyDescent="0.4">
      <c r="B1366" s="17"/>
      <c r="C1366" s="15"/>
      <c r="D1366" s="15"/>
      <c r="E1366" s="18"/>
      <c r="G1366" s="24"/>
      <c r="H1366" s="24"/>
      <c r="I1366" s="24"/>
    </row>
    <row r="1367" spans="2:9" x14ac:dyDescent="0.4">
      <c r="B1367" s="17"/>
      <c r="C1367" s="15"/>
      <c r="D1367" s="15"/>
      <c r="E1367" s="18"/>
      <c r="G1367" s="24"/>
      <c r="H1367" s="24"/>
      <c r="I1367" s="24"/>
    </row>
    <row r="1368" spans="2:9" x14ac:dyDescent="0.4">
      <c r="B1368" s="17"/>
      <c r="C1368" s="15"/>
      <c r="D1368" s="15"/>
      <c r="E1368" s="18"/>
      <c r="G1368" s="24"/>
      <c r="H1368" s="24"/>
      <c r="I1368" s="24"/>
    </row>
    <row r="1369" spans="2:9" x14ac:dyDescent="0.4">
      <c r="B1369" s="17"/>
      <c r="C1369" s="15"/>
      <c r="D1369" s="15"/>
      <c r="E1369" s="18"/>
      <c r="G1369" s="24"/>
      <c r="H1369" s="24"/>
      <c r="I1369" s="24"/>
    </row>
    <row r="1370" spans="2:9" x14ac:dyDescent="0.4">
      <c r="B1370" s="17"/>
      <c r="C1370" s="15"/>
      <c r="D1370" s="15"/>
      <c r="E1370" s="18"/>
      <c r="G1370" s="24"/>
      <c r="H1370" s="24"/>
      <c r="I1370" s="24"/>
    </row>
    <row r="1371" spans="2:9" x14ac:dyDescent="0.4">
      <c r="B1371" s="17"/>
      <c r="C1371" s="15"/>
      <c r="D1371" s="15"/>
      <c r="E1371" s="18"/>
      <c r="G1371" s="24"/>
      <c r="H1371" s="24"/>
      <c r="I1371" s="24"/>
    </row>
    <row r="1372" spans="2:9" x14ac:dyDescent="0.4">
      <c r="B1372" s="17"/>
      <c r="C1372" s="15"/>
      <c r="D1372" s="15"/>
      <c r="E1372" s="18"/>
      <c r="G1372" s="24"/>
      <c r="H1372" s="24"/>
      <c r="I1372" s="24"/>
    </row>
    <row r="1373" spans="2:9" x14ac:dyDescent="0.4">
      <c r="B1373" s="17"/>
      <c r="C1373" s="15"/>
      <c r="D1373" s="15"/>
      <c r="E1373" s="18"/>
      <c r="G1373" s="24"/>
      <c r="H1373" s="24"/>
      <c r="I1373" s="24"/>
    </row>
    <row r="1374" spans="2:9" x14ac:dyDescent="0.4">
      <c r="B1374" s="17"/>
      <c r="C1374" s="15"/>
      <c r="D1374" s="15"/>
      <c r="E1374" s="18"/>
      <c r="G1374" s="24"/>
      <c r="H1374" s="24"/>
      <c r="I1374" s="24"/>
    </row>
    <row r="1375" spans="2:9" x14ac:dyDescent="0.4">
      <c r="B1375" s="17"/>
      <c r="C1375" s="15"/>
      <c r="D1375" s="15"/>
      <c r="E1375" s="18"/>
      <c r="G1375" s="24"/>
      <c r="H1375" s="24"/>
      <c r="I1375" s="24"/>
    </row>
    <row r="1376" spans="2:9" x14ac:dyDescent="0.4">
      <c r="B1376" s="17"/>
      <c r="C1376" s="15"/>
      <c r="D1376" s="15"/>
      <c r="E1376" s="18"/>
      <c r="G1376" s="24"/>
      <c r="H1376" s="24"/>
      <c r="I1376" s="24"/>
    </row>
    <row r="1377" spans="2:9" x14ac:dyDescent="0.4">
      <c r="B1377" s="17"/>
      <c r="C1377" s="15"/>
      <c r="D1377" s="15"/>
      <c r="E1377" s="18"/>
      <c r="G1377" s="24"/>
      <c r="H1377" s="24"/>
      <c r="I1377" s="24"/>
    </row>
    <row r="1378" spans="2:9" x14ac:dyDescent="0.4">
      <c r="B1378" s="17"/>
      <c r="C1378" s="15"/>
      <c r="D1378" s="15"/>
      <c r="E1378" s="18"/>
      <c r="G1378" s="24"/>
      <c r="H1378" s="24"/>
      <c r="I1378" s="24"/>
    </row>
    <row r="1379" spans="2:9" x14ac:dyDescent="0.4">
      <c r="B1379" s="17"/>
      <c r="C1379" s="15"/>
      <c r="D1379" s="15"/>
      <c r="E1379" s="18"/>
      <c r="G1379" s="24"/>
      <c r="H1379" s="24"/>
      <c r="I1379" s="24"/>
    </row>
    <row r="1380" spans="2:9" x14ac:dyDescent="0.4">
      <c r="B1380" s="17"/>
      <c r="C1380" s="15"/>
      <c r="D1380" s="15"/>
      <c r="E1380" s="18"/>
      <c r="G1380" s="24"/>
      <c r="H1380" s="24"/>
      <c r="I1380" s="24"/>
    </row>
    <row r="1381" spans="2:9" x14ac:dyDescent="0.4">
      <c r="B1381" s="17"/>
      <c r="C1381" s="15"/>
      <c r="D1381" s="15"/>
      <c r="E1381" s="18"/>
      <c r="G1381" s="24"/>
      <c r="H1381" s="24"/>
      <c r="I1381" s="24"/>
    </row>
    <row r="1382" spans="2:9" x14ac:dyDescent="0.4">
      <c r="B1382" s="17"/>
      <c r="C1382" s="15"/>
      <c r="D1382" s="15"/>
      <c r="E1382" s="18"/>
      <c r="G1382" s="24"/>
      <c r="H1382" s="24"/>
      <c r="I1382" s="24"/>
    </row>
    <row r="1383" spans="2:9" x14ac:dyDescent="0.4">
      <c r="B1383" s="17"/>
      <c r="C1383" s="15"/>
      <c r="D1383" s="15"/>
      <c r="E1383" s="18"/>
      <c r="G1383" s="24"/>
      <c r="H1383" s="24"/>
      <c r="I1383" s="24"/>
    </row>
    <row r="1384" spans="2:9" x14ac:dyDescent="0.4">
      <c r="B1384" s="17"/>
      <c r="C1384" s="15"/>
      <c r="D1384" s="15"/>
      <c r="E1384" s="18"/>
      <c r="G1384" s="24"/>
      <c r="H1384" s="24"/>
      <c r="I1384" s="24"/>
    </row>
    <row r="1385" spans="2:9" x14ac:dyDescent="0.4">
      <c r="B1385" s="17"/>
      <c r="C1385" s="15"/>
      <c r="D1385" s="15"/>
      <c r="E1385" s="18"/>
      <c r="G1385" s="24"/>
      <c r="H1385" s="24"/>
      <c r="I1385" s="24"/>
    </row>
    <row r="1386" spans="2:9" x14ac:dyDescent="0.4">
      <c r="B1386" s="17"/>
      <c r="C1386" s="15"/>
      <c r="D1386" s="15"/>
      <c r="E1386" s="18"/>
      <c r="G1386" s="24"/>
      <c r="H1386" s="24"/>
      <c r="I1386" s="24"/>
    </row>
    <row r="1387" spans="2:9" x14ac:dyDescent="0.4">
      <c r="B1387" s="17"/>
      <c r="C1387" s="15"/>
      <c r="D1387" s="15"/>
      <c r="E1387" s="18"/>
      <c r="G1387" s="24"/>
      <c r="H1387" s="24"/>
      <c r="I1387" s="24"/>
    </row>
    <row r="1388" spans="2:9" x14ac:dyDescent="0.4">
      <c r="B1388" s="17"/>
      <c r="C1388" s="15"/>
      <c r="D1388" s="15"/>
      <c r="E1388" s="18"/>
      <c r="G1388" s="24"/>
      <c r="H1388" s="24"/>
      <c r="I1388" s="24"/>
    </row>
    <row r="1389" spans="2:9" x14ac:dyDescent="0.4">
      <c r="B1389" s="17"/>
      <c r="C1389" s="15"/>
      <c r="D1389" s="15"/>
      <c r="E1389" s="18"/>
      <c r="G1389" s="24"/>
      <c r="H1389" s="24"/>
      <c r="I1389" s="24"/>
    </row>
    <row r="1390" spans="2:9" x14ac:dyDescent="0.4">
      <c r="B1390" s="17"/>
      <c r="C1390" s="15"/>
      <c r="D1390" s="15"/>
      <c r="E1390" s="18"/>
      <c r="G1390" s="24"/>
      <c r="H1390" s="24"/>
      <c r="I1390" s="24"/>
    </row>
    <row r="1391" spans="2:9" x14ac:dyDescent="0.4">
      <c r="B1391" s="17"/>
      <c r="C1391" s="15"/>
      <c r="D1391" s="15"/>
      <c r="E1391" s="18"/>
      <c r="G1391" s="24"/>
      <c r="H1391" s="24"/>
      <c r="I1391" s="24"/>
    </row>
    <row r="1392" spans="2:9" x14ac:dyDescent="0.4">
      <c r="B1392" s="17"/>
      <c r="C1392" s="15"/>
      <c r="D1392" s="15"/>
      <c r="E1392" s="18"/>
      <c r="G1392" s="24"/>
      <c r="H1392" s="24"/>
      <c r="I1392" s="24"/>
    </row>
    <row r="1393" spans="2:9" x14ac:dyDescent="0.4">
      <c r="B1393" s="17"/>
      <c r="C1393" s="15"/>
      <c r="D1393" s="15"/>
      <c r="E1393" s="18"/>
      <c r="G1393" s="24"/>
      <c r="H1393" s="24"/>
      <c r="I1393" s="24"/>
    </row>
    <row r="1394" spans="2:9" x14ac:dyDescent="0.4">
      <c r="B1394" s="17"/>
      <c r="C1394" s="15"/>
      <c r="D1394" s="15"/>
      <c r="E1394" s="18"/>
      <c r="G1394" s="24"/>
      <c r="H1394" s="24"/>
      <c r="I1394" s="24"/>
    </row>
    <row r="1395" spans="2:9" x14ac:dyDescent="0.4">
      <c r="B1395" s="17"/>
      <c r="C1395" s="15"/>
      <c r="D1395" s="15"/>
      <c r="E1395" s="18"/>
      <c r="G1395" s="24"/>
      <c r="H1395" s="24"/>
      <c r="I1395" s="24"/>
    </row>
    <row r="1396" spans="2:9" x14ac:dyDescent="0.4">
      <c r="B1396" s="17"/>
      <c r="C1396" s="15"/>
      <c r="D1396" s="15"/>
      <c r="E1396" s="18"/>
      <c r="G1396" s="24"/>
      <c r="H1396" s="24"/>
      <c r="I1396" s="24"/>
    </row>
    <row r="1397" spans="2:9" x14ac:dyDescent="0.4">
      <c r="B1397" s="17"/>
      <c r="C1397" s="15"/>
      <c r="D1397" s="15"/>
      <c r="E1397" s="18"/>
      <c r="G1397" s="24"/>
      <c r="H1397" s="24"/>
      <c r="I1397" s="24"/>
    </row>
    <row r="1398" spans="2:9" x14ac:dyDescent="0.4">
      <c r="B1398" s="17"/>
      <c r="C1398" s="15"/>
      <c r="D1398" s="15"/>
      <c r="E1398" s="18"/>
      <c r="G1398" s="24"/>
      <c r="H1398" s="24"/>
      <c r="I1398" s="24"/>
    </row>
    <row r="1399" spans="2:9" x14ac:dyDescent="0.4">
      <c r="B1399" s="17"/>
      <c r="C1399" s="15"/>
      <c r="D1399" s="15"/>
      <c r="E1399" s="18"/>
      <c r="G1399" s="24"/>
      <c r="H1399" s="24"/>
      <c r="I1399" s="24"/>
    </row>
    <row r="1400" spans="2:9" x14ac:dyDescent="0.4">
      <c r="B1400" s="17"/>
      <c r="C1400" s="15"/>
      <c r="D1400" s="15"/>
      <c r="E1400" s="18"/>
      <c r="G1400" s="24"/>
      <c r="H1400" s="24"/>
      <c r="I1400" s="24"/>
    </row>
    <row r="1401" spans="2:9" x14ac:dyDescent="0.4">
      <c r="B1401" s="17"/>
      <c r="C1401" s="15"/>
      <c r="D1401" s="15"/>
      <c r="E1401" s="18"/>
      <c r="G1401" s="24"/>
      <c r="H1401" s="24"/>
      <c r="I1401" s="24"/>
    </row>
    <row r="1402" spans="2:9" x14ac:dyDescent="0.4">
      <c r="B1402" s="17"/>
      <c r="C1402" s="15"/>
      <c r="D1402" s="15"/>
      <c r="E1402" s="18"/>
      <c r="G1402" s="24"/>
      <c r="H1402" s="24"/>
      <c r="I1402" s="24"/>
    </row>
    <row r="1403" spans="2:9" x14ac:dyDescent="0.4">
      <c r="B1403" s="17"/>
      <c r="C1403" s="15"/>
      <c r="D1403" s="15"/>
      <c r="E1403" s="18"/>
      <c r="G1403" s="24"/>
      <c r="H1403" s="24"/>
      <c r="I1403" s="24"/>
    </row>
    <row r="1404" spans="2:9" x14ac:dyDescent="0.4">
      <c r="B1404" s="17"/>
      <c r="C1404" s="15"/>
      <c r="D1404" s="15"/>
      <c r="E1404" s="18"/>
      <c r="G1404" s="24"/>
      <c r="H1404" s="24"/>
      <c r="I1404" s="24"/>
    </row>
    <row r="1405" spans="2:9" x14ac:dyDescent="0.4">
      <c r="B1405" s="17"/>
      <c r="C1405" s="15"/>
      <c r="D1405" s="15"/>
      <c r="E1405" s="18"/>
      <c r="G1405" s="24"/>
      <c r="H1405" s="24"/>
      <c r="I1405" s="24"/>
    </row>
    <row r="1406" spans="2:9" x14ac:dyDescent="0.4">
      <c r="B1406" s="17"/>
      <c r="C1406" s="15"/>
      <c r="D1406" s="15"/>
      <c r="E1406" s="18"/>
      <c r="G1406" s="24"/>
      <c r="H1406" s="24"/>
      <c r="I1406" s="24"/>
    </row>
    <row r="1407" spans="2:9" x14ac:dyDescent="0.4">
      <c r="B1407" s="17"/>
      <c r="C1407" s="15"/>
      <c r="D1407" s="15"/>
      <c r="E1407" s="18"/>
      <c r="G1407" s="24"/>
      <c r="H1407" s="24"/>
      <c r="I1407" s="24"/>
    </row>
    <row r="1408" spans="2:9" x14ac:dyDescent="0.4">
      <c r="B1408" s="17"/>
      <c r="C1408" s="15"/>
      <c r="D1408" s="15"/>
      <c r="E1408" s="18"/>
      <c r="G1408" s="24"/>
      <c r="H1408" s="24"/>
      <c r="I1408" s="24"/>
    </row>
    <row r="1409" spans="2:9" x14ac:dyDescent="0.4">
      <c r="B1409" s="17"/>
      <c r="C1409" s="15"/>
      <c r="D1409" s="15"/>
      <c r="E1409" s="18"/>
      <c r="G1409" s="24"/>
      <c r="H1409" s="24"/>
      <c r="I1409" s="24"/>
    </row>
    <row r="1410" spans="2:9" x14ac:dyDescent="0.4">
      <c r="B1410" s="17"/>
      <c r="C1410" s="15"/>
      <c r="D1410" s="15"/>
      <c r="E1410" s="18"/>
      <c r="G1410" s="24"/>
      <c r="H1410" s="24"/>
      <c r="I1410" s="24"/>
    </row>
    <row r="1411" spans="2:9" x14ac:dyDescent="0.4">
      <c r="B1411" s="17"/>
      <c r="C1411" s="15"/>
      <c r="D1411" s="15"/>
      <c r="E1411" s="18"/>
      <c r="G1411" s="24"/>
      <c r="H1411" s="24"/>
      <c r="I1411" s="24"/>
    </row>
    <row r="1412" spans="2:9" x14ac:dyDescent="0.4">
      <c r="B1412" s="17"/>
      <c r="C1412" s="15"/>
      <c r="D1412" s="15"/>
      <c r="E1412" s="18"/>
      <c r="G1412" s="24"/>
      <c r="H1412" s="24"/>
      <c r="I1412" s="24"/>
    </row>
    <row r="1413" spans="2:9" x14ac:dyDescent="0.4">
      <c r="B1413" s="17"/>
      <c r="C1413" s="15"/>
      <c r="D1413" s="15"/>
      <c r="E1413" s="18"/>
      <c r="G1413" s="24"/>
      <c r="H1413" s="24"/>
      <c r="I1413" s="24"/>
    </row>
    <row r="1414" spans="2:9" x14ac:dyDescent="0.4">
      <c r="B1414" s="17"/>
      <c r="C1414" s="15"/>
      <c r="D1414" s="15"/>
      <c r="E1414" s="18"/>
      <c r="G1414" s="24"/>
      <c r="H1414" s="24"/>
      <c r="I1414" s="24"/>
    </row>
    <row r="1415" spans="2:9" x14ac:dyDescent="0.4">
      <c r="B1415" s="17"/>
      <c r="C1415" s="15"/>
      <c r="D1415" s="15"/>
      <c r="E1415" s="18"/>
      <c r="G1415" s="24"/>
      <c r="H1415" s="24"/>
      <c r="I1415" s="24"/>
    </row>
    <row r="1416" spans="2:9" x14ac:dyDescent="0.4">
      <c r="B1416" s="17"/>
      <c r="C1416" s="15"/>
      <c r="D1416" s="15"/>
      <c r="E1416" s="18"/>
      <c r="G1416" s="24"/>
      <c r="H1416" s="24"/>
      <c r="I1416" s="24"/>
    </row>
    <row r="1417" spans="2:9" x14ac:dyDescent="0.4">
      <c r="B1417" s="17"/>
      <c r="C1417" s="15"/>
      <c r="D1417" s="15"/>
      <c r="E1417" s="18"/>
      <c r="G1417" s="24"/>
      <c r="H1417" s="24"/>
      <c r="I1417" s="24"/>
    </row>
    <row r="1418" spans="2:9" x14ac:dyDescent="0.4">
      <c r="B1418" s="17"/>
      <c r="C1418" s="15"/>
      <c r="D1418" s="15"/>
      <c r="E1418" s="18"/>
      <c r="G1418" s="24"/>
      <c r="H1418" s="24"/>
      <c r="I1418" s="24"/>
    </row>
    <row r="1419" spans="2:9" x14ac:dyDescent="0.4">
      <c r="B1419" s="17"/>
      <c r="C1419" s="15"/>
      <c r="D1419" s="15"/>
      <c r="E1419" s="18"/>
      <c r="G1419" s="24"/>
      <c r="H1419" s="24"/>
      <c r="I1419" s="24"/>
    </row>
    <row r="1420" spans="2:9" x14ac:dyDescent="0.4">
      <c r="B1420" s="17"/>
      <c r="C1420" s="15"/>
      <c r="D1420" s="15"/>
      <c r="E1420" s="18"/>
      <c r="G1420" s="24"/>
      <c r="H1420" s="24"/>
      <c r="I1420" s="24"/>
    </row>
    <row r="1421" spans="2:9" x14ac:dyDescent="0.4">
      <c r="B1421" s="17"/>
      <c r="C1421" s="15"/>
      <c r="D1421" s="15"/>
      <c r="E1421" s="18"/>
      <c r="G1421" s="24"/>
      <c r="H1421" s="24"/>
      <c r="I1421" s="24"/>
    </row>
    <row r="1422" spans="2:9" x14ac:dyDescent="0.4">
      <c r="B1422" s="17"/>
      <c r="C1422" s="15"/>
      <c r="D1422" s="15"/>
      <c r="E1422" s="18"/>
      <c r="G1422" s="24"/>
      <c r="H1422" s="24"/>
      <c r="I1422" s="24"/>
    </row>
    <row r="1423" spans="2:9" x14ac:dyDescent="0.4">
      <c r="B1423" s="17"/>
      <c r="C1423" s="15"/>
      <c r="D1423" s="15"/>
      <c r="E1423" s="18"/>
      <c r="G1423" s="24"/>
      <c r="H1423" s="24"/>
      <c r="I1423" s="24"/>
    </row>
    <row r="1424" spans="2:9" x14ac:dyDescent="0.4">
      <c r="B1424" s="17"/>
      <c r="C1424" s="15"/>
      <c r="D1424" s="15"/>
      <c r="E1424" s="18"/>
      <c r="G1424" s="24"/>
      <c r="H1424" s="24"/>
      <c r="I1424" s="24"/>
    </row>
    <row r="1425" spans="2:9" x14ac:dyDescent="0.4">
      <c r="B1425" s="17"/>
      <c r="C1425" s="15"/>
      <c r="D1425" s="15"/>
      <c r="E1425" s="18"/>
      <c r="G1425" s="24"/>
      <c r="H1425" s="24"/>
      <c r="I1425" s="24"/>
    </row>
    <row r="1426" spans="2:9" x14ac:dyDescent="0.4">
      <c r="B1426" s="17"/>
      <c r="C1426" s="15"/>
      <c r="D1426" s="15"/>
      <c r="E1426" s="18"/>
      <c r="G1426" s="24"/>
      <c r="H1426" s="24"/>
      <c r="I1426" s="24"/>
    </row>
    <row r="1427" spans="2:9" x14ac:dyDescent="0.4">
      <c r="B1427" s="17"/>
      <c r="C1427" s="15"/>
      <c r="D1427" s="15"/>
      <c r="E1427" s="18"/>
      <c r="G1427" s="24"/>
      <c r="H1427" s="24"/>
      <c r="I1427" s="24"/>
    </row>
    <row r="1428" spans="2:9" x14ac:dyDescent="0.4">
      <c r="B1428" s="17"/>
      <c r="C1428" s="15"/>
      <c r="D1428" s="15"/>
      <c r="E1428" s="18"/>
      <c r="G1428" s="24"/>
      <c r="H1428" s="24"/>
      <c r="I1428" s="24"/>
    </row>
    <row r="1429" spans="2:9" x14ac:dyDescent="0.4">
      <c r="B1429" s="17"/>
      <c r="C1429" s="15"/>
      <c r="D1429" s="15"/>
      <c r="E1429" s="18"/>
      <c r="G1429" s="24"/>
      <c r="H1429" s="24"/>
      <c r="I1429" s="24"/>
    </row>
    <row r="1430" spans="2:9" x14ac:dyDescent="0.4">
      <c r="B1430" s="17"/>
      <c r="C1430" s="15"/>
      <c r="D1430" s="15"/>
      <c r="E1430" s="18"/>
      <c r="G1430" s="24"/>
      <c r="H1430" s="24"/>
      <c r="I1430" s="24"/>
    </row>
    <row r="1431" spans="2:9" x14ac:dyDescent="0.4">
      <c r="B1431" s="17"/>
      <c r="C1431" s="15"/>
      <c r="D1431" s="15"/>
      <c r="E1431" s="18"/>
      <c r="G1431" s="24"/>
      <c r="H1431" s="24"/>
      <c r="I1431" s="24"/>
    </row>
    <row r="1432" spans="2:9" x14ac:dyDescent="0.4">
      <c r="B1432" s="17"/>
      <c r="C1432" s="15"/>
      <c r="D1432" s="15"/>
      <c r="E1432" s="18"/>
      <c r="G1432" s="24"/>
      <c r="H1432" s="24"/>
      <c r="I1432" s="24"/>
    </row>
    <row r="1433" spans="2:9" x14ac:dyDescent="0.4">
      <c r="B1433" s="17"/>
      <c r="C1433" s="15"/>
      <c r="D1433" s="15"/>
      <c r="E1433" s="18"/>
      <c r="G1433" s="24"/>
      <c r="H1433" s="24"/>
      <c r="I1433" s="24"/>
    </row>
    <row r="1434" spans="2:9" x14ac:dyDescent="0.4">
      <c r="B1434" s="17"/>
      <c r="C1434" s="15"/>
      <c r="D1434" s="15"/>
      <c r="E1434" s="18"/>
      <c r="G1434" s="24"/>
      <c r="H1434" s="24"/>
      <c r="I1434" s="24"/>
    </row>
    <row r="1435" spans="2:9" x14ac:dyDescent="0.4">
      <c r="B1435" s="17"/>
      <c r="C1435" s="15"/>
      <c r="D1435" s="15"/>
      <c r="E1435" s="18"/>
      <c r="G1435" s="24"/>
      <c r="H1435" s="24"/>
      <c r="I1435" s="24"/>
    </row>
    <row r="1436" spans="2:9" x14ac:dyDescent="0.4">
      <c r="B1436" s="17"/>
      <c r="C1436" s="15"/>
      <c r="D1436" s="15"/>
      <c r="E1436" s="18"/>
      <c r="G1436" s="24"/>
      <c r="H1436" s="24"/>
      <c r="I1436" s="24"/>
    </row>
    <row r="1437" spans="2:9" x14ac:dyDescent="0.4">
      <c r="B1437" s="17"/>
      <c r="C1437" s="15"/>
      <c r="D1437" s="15"/>
      <c r="E1437" s="18"/>
      <c r="G1437" s="24"/>
      <c r="H1437" s="24"/>
      <c r="I1437" s="24"/>
    </row>
    <row r="1438" spans="2:9" x14ac:dyDescent="0.4">
      <c r="B1438" s="17"/>
      <c r="C1438" s="15"/>
      <c r="D1438" s="15"/>
      <c r="E1438" s="18"/>
      <c r="G1438" s="24"/>
      <c r="H1438" s="24"/>
      <c r="I1438" s="24"/>
    </row>
    <row r="1439" spans="2:9" x14ac:dyDescent="0.4">
      <c r="B1439" s="17"/>
      <c r="C1439" s="15"/>
      <c r="D1439" s="15"/>
      <c r="E1439" s="18"/>
      <c r="G1439" s="24"/>
      <c r="H1439" s="24"/>
      <c r="I1439" s="24"/>
    </row>
    <row r="1440" spans="2:9" x14ac:dyDescent="0.4">
      <c r="B1440" s="17"/>
      <c r="C1440" s="15"/>
      <c r="D1440" s="15"/>
      <c r="E1440" s="18"/>
      <c r="G1440" s="24"/>
      <c r="H1440" s="24"/>
      <c r="I1440" s="24"/>
    </row>
    <row r="1441" spans="2:9" x14ac:dyDescent="0.4">
      <c r="B1441" s="17"/>
      <c r="C1441" s="15"/>
      <c r="D1441" s="15"/>
      <c r="E1441" s="18"/>
      <c r="G1441" s="24"/>
      <c r="H1441" s="24"/>
      <c r="I1441" s="24"/>
    </row>
    <row r="1442" spans="2:9" x14ac:dyDescent="0.4">
      <c r="B1442" s="17"/>
      <c r="C1442" s="15"/>
      <c r="D1442" s="15"/>
      <c r="E1442" s="18"/>
      <c r="G1442" s="24"/>
      <c r="H1442" s="24"/>
      <c r="I1442" s="24"/>
    </row>
    <row r="1443" spans="2:9" x14ac:dyDescent="0.4">
      <c r="B1443" s="17"/>
      <c r="C1443" s="15"/>
      <c r="D1443" s="15"/>
      <c r="E1443" s="18"/>
      <c r="G1443" s="24"/>
      <c r="H1443" s="24"/>
      <c r="I1443" s="24"/>
    </row>
    <row r="1444" spans="2:9" x14ac:dyDescent="0.4">
      <c r="B1444" s="17"/>
      <c r="C1444" s="15"/>
      <c r="D1444" s="15"/>
      <c r="E1444" s="18"/>
      <c r="G1444" s="24"/>
      <c r="H1444" s="24"/>
      <c r="I1444" s="24"/>
    </row>
    <row r="1445" spans="2:9" x14ac:dyDescent="0.4">
      <c r="B1445" s="17"/>
      <c r="C1445" s="15"/>
      <c r="D1445" s="15"/>
      <c r="E1445" s="18"/>
      <c r="G1445" s="24"/>
      <c r="H1445" s="24"/>
      <c r="I1445" s="24"/>
    </row>
    <row r="1446" spans="2:9" x14ac:dyDescent="0.4">
      <c r="B1446" s="17"/>
      <c r="C1446" s="15"/>
      <c r="D1446" s="15"/>
      <c r="E1446" s="18"/>
      <c r="G1446" s="24"/>
      <c r="H1446" s="24"/>
      <c r="I1446" s="24"/>
    </row>
    <row r="1447" spans="2:9" x14ac:dyDescent="0.4">
      <c r="B1447" s="17"/>
      <c r="C1447" s="15"/>
      <c r="D1447" s="15"/>
      <c r="E1447" s="18"/>
      <c r="G1447" s="24"/>
      <c r="H1447" s="24"/>
      <c r="I1447" s="24"/>
    </row>
    <row r="1448" spans="2:9" x14ac:dyDescent="0.4">
      <c r="B1448" s="17"/>
      <c r="C1448" s="15"/>
      <c r="D1448" s="15"/>
      <c r="E1448" s="18"/>
    </row>
    <row r="1449" spans="2:9" x14ac:dyDescent="0.4">
      <c r="B1449" s="17"/>
      <c r="C1449" s="15"/>
      <c r="D1449" s="15"/>
      <c r="E1449" s="18"/>
    </row>
    <row r="1450" spans="2:9" x14ac:dyDescent="0.4">
      <c r="B1450" s="17"/>
      <c r="C1450" s="15"/>
      <c r="D1450" s="15"/>
      <c r="E1450" s="18"/>
    </row>
    <row r="1451" spans="2:9" x14ac:dyDescent="0.4">
      <c r="B1451" s="17"/>
      <c r="C1451" s="15"/>
      <c r="D1451" s="15"/>
      <c r="E1451" s="18"/>
    </row>
    <row r="1452" spans="2:9" x14ac:dyDescent="0.4">
      <c r="B1452" s="17"/>
      <c r="C1452" s="15"/>
      <c r="D1452" s="15"/>
      <c r="E1452" s="18"/>
    </row>
    <row r="1453" spans="2:9" x14ac:dyDescent="0.4">
      <c r="B1453" s="17"/>
      <c r="C1453" s="15"/>
      <c r="D1453" s="15"/>
      <c r="E1453" s="18"/>
    </row>
    <row r="1454" spans="2:9" x14ac:dyDescent="0.4">
      <c r="B1454" s="17"/>
      <c r="C1454" s="15"/>
      <c r="D1454" s="15"/>
      <c r="E1454" s="18"/>
    </row>
    <row r="1455" spans="2:9" x14ac:dyDescent="0.4">
      <c r="B1455" s="17"/>
      <c r="C1455" s="15"/>
      <c r="D1455" s="15"/>
      <c r="E1455" s="18"/>
    </row>
    <row r="1456" spans="2:9" x14ac:dyDescent="0.4">
      <c r="B1456" s="17"/>
      <c r="C1456" s="15"/>
      <c r="D1456" s="15"/>
      <c r="E1456" s="18"/>
    </row>
    <row r="1457" spans="2:5" x14ac:dyDescent="0.4">
      <c r="B1457" s="17"/>
      <c r="C1457" s="15"/>
      <c r="D1457" s="15"/>
      <c r="E1457" s="18"/>
    </row>
    <row r="1458" spans="2:5" x14ac:dyDescent="0.4">
      <c r="B1458" s="17"/>
      <c r="C1458" s="15"/>
      <c r="D1458" s="15"/>
      <c r="E1458" s="18"/>
    </row>
    <row r="1459" spans="2:5" x14ac:dyDescent="0.4">
      <c r="B1459" s="17"/>
      <c r="C1459" s="15"/>
      <c r="D1459" s="15"/>
      <c r="E1459" s="18"/>
    </row>
    <row r="1460" spans="2:5" x14ac:dyDescent="0.4">
      <c r="B1460" s="17"/>
      <c r="C1460" s="15"/>
      <c r="D1460" s="15"/>
      <c r="E1460" s="18"/>
    </row>
    <row r="1461" spans="2:5" x14ac:dyDescent="0.4">
      <c r="B1461" s="17"/>
      <c r="C1461" s="15"/>
      <c r="D1461" s="15"/>
      <c r="E1461" s="18"/>
    </row>
    <row r="1462" spans="2:5" x14ac:dyDescent="0.4">
      <c r="B1462" s="17"/>
      <c r="C1462" s="15"/>
      <c r="D1462" s="15"/>
      <c r="E1462" s="18"/>
    </row>
    <row r="1463" spans="2:5" x14ac:dyDescent="0.4">
      <c r="B1463" s="17"/>
      <c r="C1463" s="15"/>
      <c r="D1463" s="15"/>
      <c r="E1463" s="18"/>
    </row>
    <row r="1464" spans="2:5" x14ac:dyDescent="0.4">
      <c r="B1464" s="17"/>
      <c r="C1464" s="15"/>
      <c r="D1464" s="15"/>
      <c r="E1464" s="18"/>
    </row>
    <row r="1465" spans="2:5" x14ac:dyDescent="0.4">
      <c r="B1465" s="17"/>
      <c r="C1465" s="15"/>
      <c r="D1465" s="15"/>
      <c r="E1465" s="18"/>
    </row>
    <row r="1466" spans="2:5" x14ac:dyDescent="0.4">
      <c r="B1466" s="17"/>
      <c r="C1466" s="15"/>
      <c r="D1466" s="15"/>
      <c r="E1466" s="18"/>
    </row>
    <row r="1467" spans="2:5" x14ac:dyDescent="0.4">
      <c r="B1467" s="17"/>
      <c r="C1467" s="15"/>
      <c r="D1467" s="15"/>
      <c r="E1467" s="18"/>
    </row>
    <row r="1468" spans="2:5" x14ac:dyDescent="0.4">
      <c r="B1468" s="17"/>
      <c r="C1468" s="15"/>
      <c r="D1468" s="15"/>
      <c r="E1468" s="18"/>
    </row>
    <row r="1469" spans="2:5" x14ac:dyDescent="0.4">
      <c r="B1469" s="17"/>
      <c r="C1469" s="15"/>
      <c r="D1469" s="15"/>
      <c r="E1469" s="18"/>
    </row>
    <row r="1470" spans="2:5" x14ac:dyDescent="0.4">
      <c r="B1470" s="17"/>
      <c r="C1470" s="15"/>
      <c r="D1470" s="15"/>
      <c r="E1470" s="18"/>
    </row>
    <row r="1471" spans="2:5" x14ac:dyDescent="0.4">
      <c r="B1471" s="17"/>
      <c r="C1471" s="15"/>
      <c r="D1471" s="15"/>
      <c r="E1471" s="18"/>
    </row>
    <row r="1472" spans="2:5" x14ac:dyDescent="0.4">
      <c r="B1472" s="17"/>
      <c r="C1472" s="15"/>
      <c r="D1472" s="15"/>
      <c r="E1472" s="18"/>
    </row>
    <row r="1473" spans="2:5" x14ac:dyDescent="0.4">
      <c r="B1473" s="17"/>
      <c r="C1473" s="15"/>
      <c r="D1473" s="15"/>
      <c r="E1473" s="18"/>
    </row>
    <row r="1474" spans="2:5" x14ac:dyDescent="0.4">
      <c r="B1474" s="17"/>
      <c r="C1474" s="15"/>
      <c r="D1474" s="15"/>
      <c r="E1474" s="18"/>
    </row>
    <row r="1475" spans="2:5" x14ac:dyDescent="0.4">
      <c r="B1475" s="17"/>
      <c r="C1475" s="15"/>
      <c r="D1475" s="15"/>
      <c r="E1475" s="18"/>
    </row>
    <row r="1476" spans="2:5" x14ac:dyDescent="0.4">
      <c r="B1476" s="17"/>
      <c r="C1476" s="15"/>
      <c r="D1476" s="15"/>
      <c r="E1476" s="18"/>
    </row>
    <row r="1477" spans="2:5" x14ac:dyDescent="0.4">
      <c r="B1477" s="17"/>
      <c r="C1477" s="15"/>
      <c r="D1477" s="15"/>
      <c r="E1477" s="18"/>
    </row>
    <row r="1478" spans="2:5" x14ac:dyDescent="0.4">
      <c r="B1478" s="17"/>
      <c r="C1478" s="15"/>
      <c r="D1478" s="15"/>
      <c r="E1478" s="18"/>
    </row>
    <row r="1479" spans="2:5" x14ac:dyDescent="0.4">
      <c r="B1479" s="17"/>
      <c r="C1479" s="15"/>
      <c r="D1479" s="15"/>
      <c r="E1479" s="18"/>
    </row>
    <row r="1480" spans="2:5" x14ac:dyDescent="0.4">
      <c r="B1480" s="17"/>
      <c r="C1480" s="15"/>
      <c r="D1480" s="15"/>
      <c r="E1480" s="18"/>
    </row>
    <row r="1481" spans="2:5" x14ac:dyDescent="0.4">
      <c r="B1481" s="17"/>
      <c r="C1481" s="15"/>
      <c r="D1481" s="15"/>
      <c r="E1481" s="18"/>
    </row>
    <row r="1482" spans="2:5" x14ac:dyDescent="0.4">
      <c r="B1482" s="17"/>
      <c r="C1482" s="15"/>
      <c r="D1482" s="15"/>
      <c r="E1482" s="18"/>
    </row>
    <row r="1483" spans="2:5" x14ac:dyDescent="0.4">
      <c r="B1483" s="17"/>
      <c r="C1483" s="15"/>
      <c r="D1483" s="15"/>
      <c r="E1483" s="18"/>
    </row>
    <row r="1484" spans="2:5" x14ac:dyDescent="0.4">
      <c r="B1484" s="17"/>
      <c r="C1484" s="15"/>
      <c r="D1484" s="15"/>
      <c r="E1484" s="18"/>
    </row>
    <row r="1485" spans="2:5" x14ac:dyDescent="0.4">
      <c r="B1485" s="17"/>
      <c r="C1485" s="15"/>
      <c r="D1485" s="15"/>
      <c r="E1485" s="18"/>
    </row>
    <row r="1486" spans="2:5" x14ac:dyDescent="0.4">
      <c r="B1486" s="17"/>
      <c r="C1486" s="15"/>
      <c r="D1486" s="15"/>
      <c r="E1486" s="18"/>
    </row>
    <row r="1487" spans="2:5" x14ac:dyDescent="0.4">
      <c r="B1487" s="17"/>
      <c r="C1487" s="15"/>
      <c r="D1487" s="15"/>
      <c r="E1487" s="18"/>
    </row>
    <row r="1488" spans="2:5" x14ac:dyDescent="0.4">
      <c r="B1488" s="17"/>
      <c r="C1488" s="15"/>
      <c r="D1488" s="15"/>
      <c r="E1488" s="18"/>
    </row>
    <row r="1489" spans="2:5" x14ac:dyDescent="0.4">
      <c r="B1489" s="17"/>
      <c r="C1489" s="15"/>
      <c r="D1489" s="15"/>
      <c r="E1489" s="18"/>
    </row>
    <row r="1490" spans="2:5" x14ac:dyDescent="0.4">
      <c r="B1490" s="17"/>
      <c r="C1490" s="15"/>
      <c r="D1490" s="15"/>
      <c r="E1490" s="18"/>
    </row>
    <row r="1491" spans="2:5" x14ac:dyDescent="0.4">
      <c r="B1491" s="17"/>
      <c r="C1491" s="15"/>
      <c r="D1491" s="15"/>
      <c r="E1491" s="18"/>
    </row>
    <row r="1492" spans="2:5" x14ac:dyDescent="0.4">
      <c r="B1492" s="17"/>
      <c r="C1492" s="15"/>
      <c r="D1492" s="15"/>
      <c r="E1492" s="18"/>
    </row>
    <row r="1493" spans="2:5" x14ac:dyDescent="0.4">
      <c r="B1493" s="17"/>
      <c r="C1493" s="15"/>
      <c r="D1493" s="15"/>
      <c r="E1493" s="18"/>
    </row>
    <row r="1494" spans="2:5" x14ac:dyDescent="0.4">
      <c r="B1494" s="17"/>
      <c r="C1494" s="15"/>
      <c r="D1494" s="15"/>
      <c r="E1494" s="18"/>
    </row>
    <row r="1495" spans="2:5" x14ac:dyDescent="0.4">
      <c r="B1495" s="17"/>
      <c r="C1495" s="15"/>
      <c r="D1495" s="15"/>
      <c r="E1495" s="18"/>
    </row>
    <row r="1496" spans="2:5" x14ac:dyDescent="0.4">
      <c r="B1496" s="17"/>
      <c r="C1496" s="15"/>
      <c r="D1496" s="15"/>
      <c r="E1496" s="18"/>
    </row>
    <row r="1497" spans="2:5" x14ac:dyDescent="0.4">
      <c r="B1497" s="17"/>
      <c r="C1497" s="15"/>
      <c r="D1497" s="15"/>
      <c r="E1497" s="18"/>
    </row>
    <row r="1498" spans="2:5" x14ac:dyDescent="0.4">
      <c r="B1498" s="17"/>
      <c r="C1498" s="15"/>
      <c r="D1498" s="15"/>
      <c r="E1498" s="18"/>
    </row>
    <row r="1499" spans="2:5" x14ac:dyDescent="0.4">
      <c r="B1499" s="17"/>
      <c r="C1499" s="15"/>
      <c r="D1499" s="15"/>
      <c r="E1499" s="18"/>
    </row>
    <row r="1500" spans="2:5" x14ac:dyDescent="0.4">
      <c r="B1500" s="17"/>
      <c r="C1500" s="15"/>
      <c r="D1500" s="15"/>
      <c r="E1500" s="18"/>
    </row>
    <row r="1501" spans="2:5" x14ac:dyDescent="0.4">
      <c r="B1501" s="17"/>
      <c r="C1501" s="15"/>
      <c r="D1501" s="15"/>
      <c r="E1501" s="18"/>
    </row>
    <row r="1502" spans="2:5" x14ac:dyDescent="0.4">
      <c r="B1502" s="17"/>
      <c r="C1502" s="15"/>
      <c r="D1502" s="15"/>
      <c r="E1502" s="18"/>
    </row>
    <row r="1503" spans="2:5" x14ac:dyDescent="0.4">
      <c r="B1503" s="17"/>
      <c r="C1503" s="15"/>
      <c r="D1503" s="15"/>
      <c r="E1503" s="18"/>
    </row>
    <row r="1504" spans="2:5" x14ac:dyDescent="0.4">
      <c r="B1504" s="17"/>
      <c r="C1504" s="15"/>
      <c r="D1504" s="15"/>
      <c r="E1504" s="18"/>
    </row>
    <row r="1505" spans="2:5" x14ac:dyDescent="0.4">
      <c r="B1505" s="17"/>
      <c r="C1505" s="15"/>
      <c r="D1505" s="15"/>
      <c r="E1505" s="18"/>
    </row>
    <row r="1506" spans="2:5" x14ac:dyDescent="0.4">
      <c r="B1506" s="17"/>
      <c r="C1506" s="15"/>
      <c r="D1506" s="15"/>
      <c r="E1506" s="18"/>
    </row>
    <row r="1507" spans="2:5" x14ac:dyDescent="0.4">
      <c r="B1507" s="17"/>
      <c r="C1507" s="15"/>
      <c r="D1507" s="15"/>
      <c r="E1507" s="18"/>
    </row>
    <row r="1508" spans="2:5" x14ac:dyDescent="0.4">
      <c r="B1508" s="17"/>
      <c r="C1508" s="15"/>
      <c r="D1508" s="15"/>
      <c r="E1508" s="18"/>
    </row>
    <row r="1509" spans="2:5" x14ac:dyDescent="0.4">
      <c r="B1509" s="17"/>
      <c r="C1509" s="15"/>
      <c r="D1509" s="15"/>
      <c r="E1509" s="18"/>
    </row>
    <row r="1510" spans="2:5" x14ac:dyDescent="0.4">
      <c r="B1510" s="17"/>
      <c r="C1510" s="15"/>
      <c r="D1510" s="15"/>
      <c r="E1510" s="18"/>
    </row>
    <row r="1511" spans="2:5" x14ac:dyDescent="0.4">
      <c r="B1511" s="17"/>
      <c r="C1511" s="15"/>
      <c r="D1511" s="15"/>
      <c r="E1511" s="18"/>
    </row>
    <row r="1512" spans="2:5" x14ac:dyDescent="0.4">
      <c r="B1512" s="17"/>
      <c r="C1512" s="15"/>
      <c r="D1512" s="15"/>
      <c r="E1512" s="18"/>
    </row>
    <row r="1513" spans="2:5" x14ac:dyDescent="0.4">
      <c r="B1513" s="17"/>
      <c r="C1513" s="15"/>
      <c r="D1513" s="15"/>
      <c r="E1513" s="18"/>
    </row>
    <row r="1514" spans="2:5" x14ac:dyDescent="0.4">
      <c r="B1514" s="17"/>
      <c r="C1514" s="15"/>
      <c r="D1514" s="15"/>
      <c r="E1514" s="18"/>
    </row>
    <row r="1515" spans="2:5" x14ac:dyDescent="0.4">
      <c r="B1515" s="17"/>
      <c r="C1515" s="15"/>
      <c r="D1515" s="15"/>
      <c r="E1515" s="18"/>
    </row>
    <row r="1516" spans="2:5" x14ac:dyDescent="0.4">
      <c r="B1516" s="17"/>
      <c r="C1516" s="15"/>
      <c r="D1516" s="15"/>
      <c r="E1516" s="18"/>
    </row>
    <row r="1517" spans="2:5" x14ac:dyDescent="0.4">
      <c r="B1517" s="17"/>
      <c r="C1517" s="15"/>
      <c r="D1517" s="15"/>
      <c r="E1517" s="18"/>
    </row>
    <row r="1518" spans="2:5" x14ac:dyDescent="0.4">
      <c r="B1518" s="17"/>
      <c r="C1518" s="15"/>
      <c r="D1518" s="15"/>
      <c r="E1518" s="18"/>
    </row>
    <row r="1519" spans="2:5" x14ac:dyDescent="0.4">
      <c r="B1519" s="17"/>
      <c r="C1519" s="15"/>
      <c r="D1519" s="15"/>
      <c r="E1519" s="18"/>
    </row>
    <row r="1520" spans="2:5" x14ac:dyDescent="0.4">
      <c r="B1520" s="17"/>
      <c r="C1520" s="15"/>
      <c r="D1520" s="15"/>
      <c r="E1520" s="18"/>
    </row>
    <row r="1521" spans="2:5" x14ac:dyDescent="0.4">
      <c r="B1521" s="17"/>
      <c r="C1521" s="15"/>
      <c r="D1521" s="15"/>
      <c r="E1521" s="18"/>
    </row>
    <row r="1522" spans="2:5" x14ac:dyDescent="0.4">
      <c r="B1522" s="17"/>
      <c r="C1522" s="15"/>
      <c r="D1522" s="15"/>
      <c r="E1522" s="18"/>
    </row>
    <row r="1523" spans="2:5" x14ac:dyDescent="0.4">
      <c r="B1523" s="17"/>
      <c r="C1523" s="15"/>
      <c r="D1523" s="15"/>
      <c r="E1523" s="18"/>
    </row>
    <row r="1524" spans="2:5" x14ac:dyDescent="0.4">
      <c r="B1524" s="17"/>
      <c r="C1524" s="15"/>
      <c r="D1524" s="15"/>
      <c r="E1524" s="18"/>
    </row>
    <row r="1525" spans="2:5" x14ac:dyDescent="0.4">
      <c r="B1525" s="17"/>
      <c r="C1525" s="15"/>
      <c r="D1525" s="15"/>
      <c r="E1525" s="18"/>
    </row>
    <row r="1526" spans="2:5" x14ac:dyDescent="0.4">
      <c r="B1526" s="17"/>
      <c r="C1526" s="15"/>
      <c r="D1526" s="15"/>
      <c r="E1526" s="18"/>
    </row>
    <row r="1527" spans="2:5" x14ac:dyDescent="0.4">
      <c r="B1527" s="17"/>
      <c r="C1527" s="15"/>
      <c r="D1527" s="15"/>
      <c r="E1527" s="18"/>
    </row>
    <row r="1528" spans="2:5" x14ac:dyDescent="0.4">
      <c r="B1528" s="17"/>
      <c r="C1528" s="15"/>
      <c r="D1528" s="15"/>
      <c r="E1528" s="18"/>
    </row>
    <row r="1529" spans="2:5" x14ac:dyDescent="0.4">
      <c r="B1529" s="17"/>
      <c r="C1529" s="15"/>
      <c r="D1529" s="15"/>
      <c r="E1529" s="18"/>
    </row>
    <row r="1530" spans="2:5" x14ac:dyDescent="0.4">
      <c r="B1530" s="17"/>
      <c r="C1530" s="15"/>
      <c r="D1530" s="15"/>
      <c r="E1530" s="18"/>
    </row>
    <row r="1531" spans="2:5" x14ac:dyDescent="0.4">
      <c r="B1531" s="17"/>
      <c r="C1531" s="15"/>
      <c r="D1531" s="15"/>
      <c r="E1531" s="18"/>
    </row>
    <row r="1532" spans="2:5" x14ac:dyDescent="0.4">
      <c r="B1532" s="17"/>
      <c r="C1532" s="15"/>
      <c r="D1532" s="15"/>
      <c r="E1532" s="18"/>
    </row>
    <row r="1533" spans="2:5" x14ac:dyDescent="0.4">
      <c r="B1533" s="17"/>
      <c r="C1533" s="15"/>
      <c r="D1533" s="15"/>
      <c r="E1533" s="18"/>
    </row>
    <row r="1534" spans="2:5" x14ac:dyDescent="0.4">
      <c r="B1534" s="17"/>
      <c r="C1534" s="15"/>
      <c r="D1534" s="15"/>
      <c r="E1534" s="18"/>
    </row>
    <row r="1535" spans="2:5" x14ac:dyDescent="0.4">
      <c r="B1535" s="17"/>
      <c r="C1535" s="15"/>
      <c r="D1535" s="15"/>
      <c r="E1535" s="18"/>
    </row>
    <row r="1536" spans="2:5" x14ac:dyDescent="0.4">
      <c r="B1536" s="17"/>
      <c r="C1536" s="15"/>
      <c r="D1536" s="15"/>
      <c r="E1536" s="18"/>
    </row>
    <row r="1537" spans="2:5" x14ac:dyDescent="0.4">
      <c r="B1537" s="17"/>
      <c r="C1537" s="15"/>
      <c r="D1537" s="15"/>
      <c r="E1537" s="18"/>
    </row>
    <row r="1538" spans="2:5" x14ac:dyDescent="0.4">
      <c r="B1538" s="17"/>
      <c r="C1538" s="15"/>
      <c r="D1538" s="15"/>
      <c r="E1538" s="18"/>
    </row>
    <row r="1539" spans="2:5" x14ac:dyDescent="0.4">
      <c r="B1539" s="17"/>
      <c r="C1539" s="15"/>
      <c r="D1539" s="15"/>
      <c r="E1539" s="18"/>
    </row>
    <row r="1540" spans="2:5" x14ac:dyDescent="0.4">
      <c r="B1540" s="17"/>
      <c r="C1540" s="15"/>
      <c r="D1540" s="15"/>
      <c r="E1540" s="18"/>
    </row>
    <row r="1541" spans="2:5" x14ac:dyDescent="0.4">
      <c r="B1541" s="17"/>
      <c r="C1541" s="15"/>
      <c r="D1541" s="15"/>
      <c r="E1541" s="18"/>
    </row>
    <row r="1542" spans="2:5" x14ac:dyDescent="0.4">
      <c r="B1542" s="17"/>
      <c r="C1542" s="15"/>
      <c r="D1542" s="15"/>
      <c r="E1542" s="18"/>
    </row>
    <row r="1543" spans="2:5" x14ac:dyDescent="0.4">
      <c r="B1543" s="17"/>
      <c r="C1543" s="15"/>
      <c r="D1543" s="15"/>
      <c r="E1543" s="18"/>
    </row>
    <row r="1544" spans="2:5" x14ac:dyDescent="0.4">
      <c r="B1544" s="17"/>
      <c r="C1544" s="15"/>
      <c r="D1544" s="15"/>
      <c r="E1544" s="18"/>
    </row>
    <row r="1545" spans="2:5" x14ac:dyDescent="0.4">
      <c r="B1545" s="17"/>
      <c r="C1545" s="15"/>
      <c r="D1545" s="15"/>
      <c r="E1545" s="18"/>
    </row>
    <row r="1546" spans="2:5" x14ac:dyDescent="0.4">
      <c r="B1546" s="17"/>
      <c r="C1546" s="15"/>
      <c r="D1546" s="15"/>
      <c r="E1546" s="18"/>
    </row>
    <row r="1547" spans="2:5" x14ac:dyDescent="0.4">
      <c r="B1547" s="17"/>
      <c r="C1547" s="15"/>
      <c r="D1547" s="15"/>
      <c r="E1547" s="18"/>
    </row>
    <row r="1548" spans="2:5" x14ac:dyDescent="0.4">
      <c r="B1548" s="17"/>
      <c r="C1548" s="15"/>
      <c r="D1548" s="15"/>
      <c r="E1548" s="18"/>
    </row>
    <row r="1549" spans="2:5" x14ac:dyDescent="0.4">
      <c r="B1549" s="17"/>
      <c r="C1549" s="15"/>
      <c r="D1549" s="15"/>
      <c r="E1549" s="18"/>
    </row>
    <row r="1550" spans="2:5" x14ac:dyDescent="0.4">
      <c r="B1550" s="17"/>
      <c r="C1550" s="15"/>
      <c r="D1550" s="15"/>
      <c r="E1550" s="18"/>
    </row>
    <row r="1551" spans="2:5" x14ac:dyDescent="0.4">
      <c r="B1551" s="17"/>
      <c r="C1551" s="15"/>
      <c r="D1551" s="15"/>
      <c r="E1551" s="18"/>
    </row>
    <row r="1552" spans="2:5" x14ac:dyDescent="0.4">
      <c r="B1552" s="17"/>
      <c r="C1552" s="15"/>
      <c r="D1552" s="15"/>
      <c r="E1552" s="18"/>
    </row>
    <row r="1553" spans="2:5" x14ac:dyDescent="0.4">
      <c r="B1553" s="17"/>
      <c r="C1553" s="15"/>
      <c r="D1553" s="15"/>
      <c r="E1553" s="18"/>
    </row>
    <row r="1554" spans="2:5" x14ac:dyDescent="0.4">
      <c r="B1554" s="17"/>
      <c r="C1554" s="15"/>
      <c r="D1554" s="15"/>
      <c r="E1554" s="18"/>
    </row>
    <row r="1555" spans="2:5" x14ac:dyDescent="0.4">
      <c r="B1555" s="17"/>
      <c r="C1555" s="15"/>
      <c r="D1555" s="15"/>
      <c r="E1555" s="18"/>
    </row>
    <row r="1556" spans="2:5" x14ac:dyDescent="0.4">
      <c r="B1556" s="17"/>
      <c r="C1556" s="15"/>
      <c r="D1556" s="15"/>
      <c r="E1556" s="18"/>
    </row>
    <row r="1557" spans="2:5" x14ac:dyDescent="0.4">
      <c r="B1557" s="17"/>
      <c r="C1557" s="15"/>
      <c r="D1557" s="15"/>
      <c r="E1557" s="18"/>
    </row>
    <row r="1558" spans="2:5" x14ac:dyDescent="0.4">
      <c r="B1558" s="17"/>
      <c r="C1558" s="15"/>
      <c r="D1558" s="15"/>
      <c r="E1558" s="18"/>
    </row>
    <row r="1559" spans="2:5" x14ac:dyDescent="0.4">
      <c r="B1559" s="17"/>
      <c r="C1559" s="15"/>
      <c r="D1559" s="15"/>
      <c r="E1559" s="18"/>
    </row>
    <row r="1560" spans="2:5" x14ac:dyDescent="0.4">
      <c r="B1560" s="17"/>
      <c r="C1560" s="15"/>
      <c r="D1560" s="15"/>
      <c r="E1560" s="18"/>
    </row>
    <row r="1561" spans="2:5" x14ac:dyDescent="0.4">
      <c r="B1561" s="17"/>
      <c r="C1561" s="15"/>
      <c r="D1561" s="15"/>
      <c r="E1561" s="18"/>
    </row>
    <row r="1562" spans="2:5" x14ac:dyDescent="0.4">
      <c r="B1562" s="17"/>
      <c r="C1562" s="15"/>
      <c r="D1562" s="15"/>
      <c r="E1562" s="18"/>
    </row>
    <row r="1563" spans="2:5" x14ac:dyDescent="0.4">
      <c r="B1563" s="17"/>
      <c r="C1563" s="15"/>
      <c r="D1563" s="15"/>
      <c r="E1563" s="18"/>
    </row>
    <row r="1564" spans="2:5" x14ac:dyDescent="0.4">
      <c r="B1564" s="17"/>
      <c r="C1564" s="15"/>
      <c r="D1564" s="15"/>
      <c r="E1564" s="18"/>
    </row>
    <row r="1565" spans="2:5" x14ac:dyDescent="0.4">
      <c r="B1565" s="17"/>
      <c r="C1565" s="15"/>
      <c r="D1565" s="15"/>
      <c r="E1565" s="18"/>
    </row>
    <row r="1566" spans="2:5" x14ac:dyDescent="0.4">
      <c r="B1566" s="17"/>
      <c r="C1566" s="15"/>
      <c r="D1566" s="15"/>
      <c r="E1566" s="18"/>
    </row>
    <row r="1567" spans="2:5" x14ac:dyDescent="0.4">
      <c r="B1567" s="17"/>
      <c r="C1567" s="15"/>
      <c r="D1567" s="15"/>
      <c r="E1567" s="18"/>
    </row>
    <row r="1568" spans="2:5" x14ac:dyDescent="0.4">
      <c r="B1568" s="17"/>
      <c r="C1568" s="15"/>
      <c r="D1568" s="15"/>
      <c r="E1568" s="18"/>
    </row>
    <row r="1569" spans="2:5" x14ac:dyDescent="0.4">
      <c r="B1569" s="17"/>
      <c r="C1569" s="15"/>
      <c r="D1569" s="15"/>
      <c r="E1569" s="18"/>
    </row>
    <row r="1570" spans="2:5" x14ac:dyDescent="0.4">
      <c r="B1570" s="17"/>
      <c r="C1570" s="15"/>
      <c r="D1570" s="15"/>
      <c r="E1570" s="18"/>
    </row>
    <row r="1571" spans="2:5" x14ac:dyDescent="0.4">
      <c r="B1571" s="17"/>
      <c r="C1571" s="15"/>
      <c r="D1571" s="15"/>
      <c r="E1571" s="18"/>
    </row>
    <row r="1572" spans="2:5" x14ac:dyDescent="0.4">
      <c r="B1572" s="17"/>
      <c r="C1572" s="15"/>
      <c r="D1572" s="15"/>
      <c r="E1572" s="18"/>
    </row>
    <row r="1573" spans="2:5" x14ac:dyDescent="0.4">
      <c r="B1573" s="17"/>
      <c r="C1573" s="15"/>
      <c r="D1573" s="15"/>
      <c r="E1573" s="18"/>
    </row>
    <row r="1574" spans="2:5" x14ac:dyDescent="0.4">
      <c r="B1574" s="17"/>
      <c r="C1574" s="15"/>
      <c r="D1574" s="15"/>
      <c r="E1574" s="18"/>
    </row>
    <row r="1575" spans="2:5" x14ac:dyDescent="0.4">
      <c r="B1575" s="17"/>
      <c r="C1575" s="15"/>
      <c r="D1575" s="15"/>
      <c r="E1575" s="18"/>
    </row>
    <row r="1576" spans="2:5" x14ac:dyDescent="0.4">
      <c r="B1576" s="17"/>
      <c r="C1576" s="15"/>
      <c r="D1576" s="15"/>
      <c r="E1576" s="18"/>
    </row>
    <row r="1577" spans="2:5" x14ac:dyDescent="0.4">
      <c r="B1577" s="17"/>
      <c r="C1577" s="15"/>
      <c r="D1577" s="15"/>
      <c r="E1577" s="18"/>
    </row>
    <row r="1578" spans="2:5" x14ac:dyDescent="0.4">
      <c r="B1578" s="17"/>
      <c r="C1578" s="15"/>
      <c r="D1578" s="15"/>
      <c r="E1578" s="18"/>
    </row>
    <row r="1579" spans="2:5" x14ac:dyDescent="0.4">
      <c r="B1579" s="17"/>
      <c r="C1579" s="15"/>
      <c r="D1579" s="15"/>
      <c r="E1579" s="18"/>
    </row>
    <row r="1580" spans="2:5" x14ac:dyDescent="0.4">
      <c r="B1580" s="17"/>
      <c r="C1580" s="15"/>
      <c r="D1580" s="15"/>
      <c r="E1580" s="18"/>
    </row>
    <row r="1581" spans="2:5" x14ac:dyDescent="0.4">
      <c r="B1581" s="17"/>
      <c r="C1581" s="15"/>
      <c r="D1581" s="15"/>
      <c r="E1581" s="18"/>
    </row>
    <row r="1582" spans="2:5" x14ac:dyDescent="0.4">
      <c r="B1582" s="17"/>
      <c r="C1582" s="15"/>
      <c r="D1582" s="15"/>
      <c r="E1582" s="18"/>
    </row>
    <row r="1583" spans="2:5" x14ac:dyDescent="0.4">
      <c r="B1583" s="17"/>
      <c r="C1583" s="15"/>
      <c r="D1583" s="15"/>
      <c r="E1583" s="18"/>
    </row>
    <row r="1584" spans="2:5" x14ac:dyDescent="0.4">
      <c r="B1584" s="17"/>
      <c r="C1584" s="15"/>
      <c r="D1584" s="15"/>
      <c r="E1584" s="18"/>
    </row>
    <row r="1585" spans="2:5" x14ac:dyDescent="0.4">
      <c r="B1585" s="17"/>
      <c r="C1585" s="15"/>
      <c r="D1585" s="15"/>
      <c r="E1585" s="18"/>
    </row>
    <row r="1586" spans="2:5" x14ac:dyDescent="0.4">
      <c r="B1586" s="17"/>
      <c r="C1586" s="15"/>
      <c r="D1586" s="15"/>
      <c r="E1586" s="18"/>
    </row>
    <row r="1587" spans="2:5" x14ac:dyDescent="0.4">
      <c r="B1587" s="17"/>
      <c r="C1587" s="15"/>
      <c r="D1587" s="15"/>
      <c r="E1587" s="18"/>
    </row>
    <row r="1588" spans="2:5" x14ac:dyDescent="0.4">
      <c r="B1588" s="17"/>
      <c r="C1588" s="15"/>
      <c r="D1588" s="15"/>
      <c r="E1588" s="18"/>
    </row>
    <row r="1589" spans="2:5" x14ac:dyDescent="0.4">
      <c r="B1589" s="17"/>
      <c r="C1589" s="15"/>
      <c r="D1589" s="15"/>
      <c r="E1589" s="18"/>
    </row>
    <row r="1590" spans="2:5" x14ac:dyDescent="0.4">
      <c r="B1590" s="17"/>
      <c r="C1590" s="15"/>
      <c r="D1590" s="15"/>
      <c r="E1590" s="18"/>
    </row>
    <row r="1591" spans="2:5" x14ac:dyDescent="0.4">
      <c r="B1591" s="17"/>
      <c r="C1591" s="15"/>
      <c r="D1591" s="15"/>
      <c r="E1591" s="18"/>
    </row>
    <row r="1592" spans="2:5" x14ac:dyDescent="0.4">
      <c r="B1592" s="17"/>
      <c r="C1592" s="15"/>
      <c r="D1592" s="15"/>
      <c r="E1592" s="18"/>
    </row>
    <row r="1593" spans="2:5" x14ac:dyDescent="0.4">
      <c r="B1593" s="17"/>
      <c r="C1593" s="15"/>
      <c r="D1593" s="15"/>
      <c r="E1593" s="18"/>
    </row>
    <row r="1594" spans="2:5" x14ac:dyDescent="0.4">
      <c r="B1594" s="17"/>
      <c r="C1594" s="15"/>
      <c r="D1594" s="15"/>
      <c r="E1594" s="18"/>
    </row>
    <row r="1595" spans="2:5" x14ac:dyDescent="0.4">
      <c r="B1595" s="17"/>
      <c r="C1595" s="15"/>
      <c r="D1595" s="15"/>
      <c r="E1595" s="18"/>
    </row>
    <row r="1596" spans="2:5" x14ac:dyDescent="0.4">
      <c r="B1596" s="17"/>
      <c r="C1596" s="15"/>
      <c r="D1596" s="15"/>
      <c r="E1596" s="18"/>
    </row>
    <row r="1597" spans="2:5" x14ac:dyDescent="0.4">
      <c r="B1597" s="17"/>
      <c r="C1597" s="15"/>
      <c r="D1597" s="15"/>
      <c r="E1597" s="18"/>
    </row>
    <row r="1598" spans="2:5" x14ac:dyDescent="0.4">
      <c r="B1598" s="17"/>
      <c r="C1598" s="15"/>
      <c r="D1598" s="15"/>
      <c r="E1598" s="18"/>
    </row>
    <row r="1599" spans="2:5" x14ac:dyDescent="0.4">
      <c r="B1599" s="17"/>
      <c r="C1599" s="15"/>
      <c r="D1599" s="15"/>
      <c r="E1599" s="18"/>
    </row>
    <row r="1600" spans="2:5" x14ac:dyDescent="0.4">
      <c r="B1600" s="17"/>
      <c r="C1600" s="15"/>
      <c r="D1600" s="15"/>
      <c r="E1600" s="18"/>
    </row>
    <row r="1601" spans="2:5" x14ac:dyDescent="0.4">
      <c r="B1601" s="17"/>
      <c r="C1601" s="15"/>
      <c r="D1601" s="15"/>
      <c r="E1601" s="18"/>
    </row>
    <row r="1602" spans="2:5" x14ac:dyDescent="0.4">
      <c r="B1602" s="17"/>
      <c r="C1602" s="15"/>
      <c r="D1602" s="15"/>
      <c r="E1602" s="18"/>
    </row>
    <row r="1603" spans="2:5" x14ac:dyDescent="0.4">
      <c r="B1603" s="17"/>
      <c r="C1603" s="15"/>
      <c r="D1603" s="15"/>
      <c r="E1603" s="18"/>
    </row>
    <row r="1604" spans="2:5" x14ac:dyDescent="0.4">
      <c r="B1604" s="17"/>
      <c r="C1604" s="15"/>
      <c r="D1604" s="15"/>
      <c r="E1604" s="18"/>
    </row>
    <row r="1605" spans="2:5" x14ac:dyDescent="0.4">
      <c r="B1605" s="17"/>
      <c r="C1605" s="15"/>
      <c r="D1605" s="15"/>
      <c r="E1605" s="18"/>
    </row>
    <row r="1606" spans="2:5" x14ac:dyDescent="0.4">
      <c r="B1606" s="17"/>
      <c r="C1606" s="15"/>
      <c r="D1606" s="15"/>
      <c r="E1606" s="18"/>
    </row>
    <row r="1607" spans="2:5" x14ac:dyDescent="0.4">
      <c r="B1607" s="17"/>
      <c r="C1607" s="15"/>
      <c r="D1607" s="15"/>
      <c r="E1607" s="18"/>
    </row>
    <row r="1608" spans="2:5" x14ac:dyDescent="0.4">
      <c r="B1608" s="17"/>
      <c r="C1608" s="15"/>
      <c r="D1608" s="15"/>
      <c r="E1608" s="18"/>
    </row>
    <row r="1609" spans="2:5" x14ac:dyDescent="0.4">
      <c r="B1609" s="17"/>
      <c r="C1609" s="15"/>
      <c r="D1609" s="15"/>
      <c r="E1609" s="18"/>
    </row>
    <row r="1610" spans="2:5" x14ac:dyDescent="0.4">
      <c r="B1610" s="17"/>
      <c r="C1610" s="15"/>
      <c r="D1610" s="15"/>
      <c r="E1610" s="18"/>
    </row>
    <row r="1611" spans="2:5" x14ac:dyDescent="0.4">
      <c r="B1611" s="17"/>
      <c r="C1611" s="15"/>
      <c r="D1611" s="15"/>
      <c r="E1611" s="18"/>
    </row>
    <row r="1612" spans="2:5" x14ac:dyDescent="0.4">
      <c r="B1612" s="17"/>
      <c r="C1612" s="15"/>
      <c r="D1612" s="15"/>
      <c r="E1612" s="18"/>
    </row>
    <row r="1613" spans="2:5" x14ac:dyDescent="0.4">
      <c r="B1613" s="17"/>
      <c r="C1613" s="15"/>
      <c r="D1613" s="15"/>
      <c r="E1613" s="18"/>
    </row>
    <row r="1614" spans="2:5" x14ac:dyDescent="0.4">
      <c r="B1614" s="17"/>
      <c r="C1614" s="15"/>
      <c r="D1614" s="15"/>
      <c r="E1614" s="18"/>
    </row>
    <row r="1615" spans="2:5" x14ac:dyDescent="0.4">
      <c r="B1615" s="17"/>
      <c r="C1615" s="15"/>
      <c r="D1615" s="15"/>
      <c r="E1615" s="18"/>
    </row>
    <row r="1616" spans="2:5" x14ac:dyDescent="0.4">
      <c r="B1616" s="17"/>
      <c r="C1616" s="15"/>
      <c r="D1616" s="15"/>
      <c r="E1616" s="18"/>
    </row>
    <row r="1617" spans="2:5" x14ac:dyDescent="0.4">
      <c r="B1617" s="17"/>
      <c r="C1617" s="15"/>
      <c r="D1617" s="15"/>
      <c r="E1617" s="18"/>
    </row>
    <row r="1618" spans="2:5" x14ac:dyDescent="0.4">
      <c r="B1618" s="17"/>
      <c r="C1618" s="15"/>
      <c r="D1618" s="15"/>
      <c r="E1618" s="18"/>
    </row>
    <row r="1619" spans="2:5" x14ac:dyDescent="0.4">
      <c r="B1619" s="17"/>
      <c r="C1619" s="15"/>
      <c r="D1619" s="15"/>
      <c r="E1619" s="18"/>
    </row>
    <row r="1620" spans="2:5" x14ac:dyDescent="0.4">
      <c r="B1620" s="17"/>
      <c r="C1620" s="15"/>
      <c r="D1620" s="15"/>
      <c r="E1620" s="18"/>
    </row>
    <row r="1621" spans="2:5" x14ac:dyDescent="0.4">
      <c r="B1621" s="17"/>
      <c r="C1621" s="15"/>
      <c r="D1621" s="15"/>
      <c r="E1621" s="18"/>
    </row>
    <row r="1622" spans="2:5" x14ac:dyDescent="0.4">
      <c r="B1622" s="17"/>
      <c r="C1622" s="15"/>
      <c r="D1622" s="15"/>
      <c r="E1622" s="18"/>
    </row>
    <row r="1623" spans="2:5" x14ac:dyDescent="0.4">
      <c r="B1623" s="17"/>
      <c r="C1623" s="15"/>
      <c r="D1623" s="15"/>
      <c r="E1623" s="18"/>
    </row>
    <row r="1624" spans="2:5" x14ac:dyDescent="0.4">
      <c r="B1624" s="17"/>
      <c r="C1624" s="15"/>
      <c r="D1624" s="15"/>
      <c r="E1624" s="18"/>
    </row>
    <row r="1625" spans="2:5" x14ac:dyDescent="0.4">
      <c r="B1625" s="17"/>
      <c r="C1625" s="15"/>
      <c r="D1625" s="15"/>
      <c r="E1625" s="18"/>
    </row>
    <row r="1626" spans="2:5" x14ac:dyDescent="0.4">
      <c r="B1626" s="17"/>
      <c r="C1626" s="15"/>
      <c r="D1626" s="15"/>
      <c r="E1626" s="18"/>
    </row>
    <row r="1627" spans="2:5" x14ac:dyDescent="0.4">
      <c r="B1627" s="17"/>
      <c r="C1627" s="15"/>
      <c r="D1627" s="15"/>
      <c r="E1627" s="18"/>
    </row>
    <row r="1628" spans="2:5" x14ac:dyDescent="0.4">
      <c r="B1628" s="17"/>
      <c r="C1628" s="15"/>
      <c r="D1628" s="15"/>
      <c r="E1628" s="18"/>
    </row>
    <row r="1629" spans="2:5" x14ac:dyDescent="0.4">
      <c r="B1629" s="17"/>
      <c r="C1629" s="15"/>
      <c r="D1629" s="15"/>
      <c r="E1629" s="18"/>
    </row>
    <row r="1630" spans="2:5" x14ac:dyDescent="0.4">
      <c r="B1630" s="17"/>
      <c r="C1630" s="15"/>
      <c r="D1630" s="15"/>
      <c r="E1630" s="18"/>
    </row>
    <row r="1631" spans="2:5" x14ac:dyDescent="0.4">
      <c r="B1631" s="17"/>
      <c r="C1631" s="15"/>
      <c r="D1631" s="15"/>
      <c r="E1631" s="18"/>
    </row>
    <row r="1632" spans="2:5" x14ac:dyDescent="0.4">
      <c r="B1632" s="17"/>
      <c r="C1632" s="15"/>
      <c r="D1632" s="15"/>
      <c r="E1632" s="18"/>
    </row>
    <row r="1633" spans="2:5" x14ac:dyDescent="0.4">
      <c r="B1633" s="17"/>
      <c r="C1633" s="15"/>
      <c r="D1633" s="15"/>
      <c r="E1633" s="18"/>
    </row>
    <row r="1634" spans="2:5" x14ac:dyDescent="0.4">
      <c r="B1634" s="17"/>
      <c r="C1634" s="15"/>
      <c r="D1634" s="15"/>
      <c r="E1634" s="18"/>
    </row>
    <row r="1635" spans="2:5" x14ac:dyDescent="0.4">
      <c r="B1635" s="17"/>
      <c r="C1635" s="15"/>
      <c r="D1635" s="15"/>
      <c r="E1635" s="18"/>
    </row>
    <row r="1636" spans="2:5" x14ac:dyDescent="0.4">
      <c r="B1636" s="17"/>
      <c r="C1636" s="15"/>
      <c r="D1636" s="15"/>
      <c r="E1636" s="18"/>
    </row>
    <row r="1637" spans="2:5" x14ac:dyDescent="0.4">
      <c r="B1637" s="17"/>
      <c r="C1637" s="15"/>
      <c r="D1637" s="15"/>
      <c r="E1637" s="18"/>
    </row>
    <row r="1638" spans="2:5" x14ac:dyDescent="0.4">
      <c r="B1638" s="17"/>
      <c r="C1638" s="15"/>
      <c r="D1638" s="15"/>
      <c r="E1638" s="18"/>
    </row>
    <row r="1639" spans="2:5" x14ac:dyDescent="0.4">
      <c r="B1639" s="17"/>
      <c r="C1639" s="15"/>
      <c r="D1639" s="15"/>
      <c r="E1639" s="18"/>
    </row>
    <row r="1640" spans="2:5" x14ac:dyDescent="0.4">
      <c r="B1640" s="17"/>
      <c r="C1640" s="15"/>
      <c r="D1640" s="15"/>
      <c r="E1640" s="18"/>
    </row>
    <row r="1641" spans="2:5" x14ac:dyDescent="0.4">
      <c r="B1641" s="17"/>
      <c r="C1641" s="15"/>
      <c r="D1641" s="15"/>
      <c r="E1641" s="18"/>
    </row>
    <row r="1642" spans="2:5" x14ac:dyDescent="0.4">
      <c r="B1642" s="17"/>
      <c r="C1642" s="15"/>
      <c r="D1642" s="15"/>
      <c r="E1642" s="18"/>
    </row>
    <row r="1643" spans="2:5" x14ac:dyDescent="0.4">
      <c r="B1643" s="17"/>
      <c r="C1643" s="15"/>
      <c r="D1643" s="15"/>
      <c r="E1643" s="18"/>
    </row>
    <row r="1644" spans="2:5" x14ac:dyDescent="0.4">
      <c r="B1644" s="17"/>
      <c r="C1644" s="15"/>
      <c r="D1644" s="15"/>
      <c r="E1644" s="18"/>
    </row>
    <row r="1645" spans="2:5" x14ac:dyDescent="0.4">
      <c r="B1645" s="17"/>
      <c r="C1645" s="15"/>
      <c r="D1645" s="15"/>
      <c r="E1645" s="18"/>
    </row>
    <row r="1646" spans="2:5" x14ac:dyDescent="0.4">
      <c r="B1646" s="17"/>
      <c r="C1646" s="15"/>
      <c r="D1646" s="15"/>
      <c r="E1646" s="18"/>
    </row>
    <row r="1647" spans="2:5" x14ac:dyDescent="0.4">
      <c r="B1647" s="17"/>
      <c r="C1647" s="15"/>
      <c r="D1647" s="15"/>
      <c r="E1647" s="18"/>
    </row>
    <row r="1648" spans="2:5" x14ac:dyDescent="0.4">
      <c r="B1648" s="17"/>
      <c r="C1648" s="15"/>
      <c r="D1648" s="15"/>
      <c r="E1648" s="18"/>
    </row>
    <row r="1649" spans="2:5" x14ac:dyDescent="0.4">
      <c r="B1649" s="17"/>
      <c r="C1649" s="15"/>
      <c r="D1649" s="15"/>
      <c r="E1649" s="18"/>
    </row>
    <row r="1650" spans="2:5" x14ac:dyDescent="0.4">
      <c r="B1650" s="17"/>
      <c r="C1650" s="15"/>
      <c r="D1650" s="15"/>
      <c r="E1650" s="18"/>
    </row>
    <row r="1651" spans="2:5" x14ac:dyDescent="0.4">
      <c r="B1651" s="17"/>
      <c r="C1651" s="15"/>
      <c r="D1651" s="15"/>
      <c r="E1651" s="18"/>
    </row>
    <row r="1652" spans="2:5" x14ac:dyDescent="0.4">
      <c r="B1652" s="17"/>
      <c r="C1652" s="15"/>
      <c r="D1652" s="15"/>
      <c r="E1652" s="18"/>
    </row>
    <row r="1653" spans="2:5" x14ac:dyDescent="0.4">
      <c r="B1653" s="17"/>
      <c r="C1653" s="15"/>
      <c r="D1653" s="15"/>
      <c r="E1653" s="18"/>
    </row>
    <row r="1654" spans="2:5" x14ac:dyDescent="0.4">
      <c r="B1654" s="17"/>
      <c r="C1654" s="15"/>
      <c r="D1654" s="15"/>
      <c r="E1654" s="18"/>
    </row>
    <row r="1655" spans="2:5" x14ac:dyDescent="0.4">
      <c r="B1655" s="17"/>
      <c r="C1655" s="15"/>
      <c r="D1655" s="15"/>
      <c r="E1655" s="18"/>
    </row>
    <row r="1656" spans="2:5" x14ac:dyDescent="0.4">
      <c r="B1656" s="17"/>
      <c r="C1656" s="15"/>
      <c r="D1656" s="15"/>
      <c r="E1656" s="18"/>
    </row>
    <row r="1657" spans="2:5" x14ac:dyDescent="0.4">
      <c r="B1657" s="17"/>
      <c r="C1657" s="15"/>
      <c r="D1657" s="15"/>
      <c r="E1657" s="18"/>
    </row>
    <row r="1658" spans="2:5" x14ac:dyDescent="0.4">
      <c r="B1658" s="17"/>
      <c r="C1658" s="15"/>
      <c r="D1658" s="15"/>
      <c r="E1658" s="18"/>
    </row>
    <row r="1659" spans="2:5" x14ac:dyDescent="0.4">
      <c r="B1659" s="17"/>
      <c r="C1659" s="15"/>
      <c r="D1659" s="15"/>
      <c r="E1659" s="18"/>
    </row>
    <row r="1660" spans="2:5" x14ac:dyDescent="0.4">
      <c r="B1660" s="17"/>
      <c r="C1660" s="15"/>
      <c r="D1660" s="15"/>
      <c r="E1660" s="18"/>
    </row>
    <row r="1661" spans="2:5" x14ac:dyDescent="0.4">
      <c r="B1661" s="17"/>
      <c r="C1661" s="15"/>
      <c r="D1661" s="15"/>
      <c r="E1661" s="18"/>
    </row>
    <row r="1662" spans="2:5" x14ac:dyDescent="0.4">
      <c r="B1662" s="17"/>
      <c r="C1662" s="15"/>
      <c r="D1662" s="15"/>
      <c r="E1662" s="18"/>
    </row>
    <row r="1663" spans="2:5" x14ac:dyDescent="0.4">
      <c r="B1663" s="17"/>
      <c r="C1663" s="15"/>
      <c r="D1663" s="15"/>
      <c r="E1663" s="18"/>
    </row>
    <row r="1664" spans="2:5" x14ac:dyDescent="0.4">
      <c r="B1664" s="17"/>
      <c r="C1664" s="15"/>
      <c r="D1664" s="15"/>
      <c r="E1664" s="18"/>
    </row>
    <row r="1665" spans="2:5" x14ac:dyDescent="0.4">
      <c r="B1665" s="17"/>
      <c r="C1665" s="15"/>
      <c r="D1665" s="15"/>
      <c r="E1665" s="18"/>
    </row>
    <row r="1666" spans="2:5" x14ac:dyDescent="0.4">
      <c r="B1666" s="17"/>
      <c r="C1666" s="15"/>
      <c r="D1666" s="15"/>
      <c r="E1666" s="18"/>
    </row>
    <row r="1667" spans="2:5" x14ac:dyDescent="0.4">
      <c r="B1667" s="17"/>
      <c r="C1667" s="15"/>
      <c r="D1667" s="15"/>
      <c r="E1667" s="18"/>
    </row>
    <row r="1668" spans="2:5" x14ac:dyDescent="0.4">
      <c r="B1668" s="17"/>
      <c r="C1668" s="15"/>
      <c r="D1668" s="15"/>
      <c r="E1668" s="18"/>
    </row>
    <row r="1669" spans="2:5" x14ac:dyDescent="0.4">
      <c r="B1669" s="17"/>
      <c r="C1669" s="15"/>
      <c r="D1669" s="15"/>
      <c r="E1669" s="18"/>
    </row>
    <row r="1670" spans="2:5" x14ac:dyDescent="0.4">
      <c r="B1670" s="17"/>
      <c r="C1670" s="15"/>
      <c r="D1670" s="15"/>
      <c r="E1670" s="18"/>
    </row>
    <row r="1671" spans="2:5" x14ac:dyDescent="0.4">
      <c r="B1671" s="17"/>
      <c r="C1671" s="15"/>
      <c r="D1671" s="15"/>
      <c r="E1671" s="18"/>
    </row>
    <row r="1672" spans="2:5" x14ac:dyDescent="0.4">
      <c r="B1672" s="17"/>
      <c r="C1672" s="15"/>
      <c r="D1672" s="15"/>
      <c r="E1672" s="18"/>
    </row>
    <row r="1673" spans="2:5" x14ac:dyDescent="0.4">
      <c r="B1673" s="17"/>
      <c r="C1673" s="15"/>
      <c r="D1673" s="15"/>
      <c r="E1673" s="18"/>
    </row>
    <row r="1674" spans="2:5" x14ac:dyDescent="0.4">
      <c r="B1674" s="17"/>
      <c r="C1674" s="15"/>
      <c r="D1674" s="15"/>
      <c r="E1674" s="18"/>
    </row>
    <row r="1675" spans="2:5" x14ac:dyDescent="0.4">
      <c r="B1675" s="17"/>
      <c r="C1675" s="15"/>
      <c r="D1675" s="15"/>
      <c r="E1675" s="18"/>
    </row>
    <row r="1676" spans="2:5" x14ac:dyDescent="0.4">
      <c r="B1676" s="17"/>
      <c r="C1676" s="15"/>
      <c r="D1676" s="15"/>
      <c r="E1676" s="18"/>
    </row>
    <row r="1677" spans="2:5" x14ac:dyDescent="0.4">
      <c r="B1677" s="17"/>
      <c r="C1677" s="15"/>
      <c r="D1677" s="15"/>
      <c r="E1677" s="18"/>
    </row>
    <row r="1678" spans="2:5" x14ac:dyDescent="0.4">
      <c r="B1678" s="17"/>
      <c r="C1678" s="15"/>
      <c r="D1678" s="15"/>
      <c r="E1678" s="18"/>
    </row>
    <row r="1679" spans="2:5" x14ac:dyDescent="0.4">
      <c r="B1679" s="17"/>
      <c r="C1679" s="15"/>
      <c r="D1679" s="15"/>
      <c r="E1679" s="18"/>
    </row>
    <row r="1680" spans="2:5" x14ac:dyDescent="0.4">
      <c r="B1680" s="17"/>
      <c r="C1680" s="15"/>
      <c r="D1680" s="15"/>
      <c r="E1680" s="18"/>
    </row>
    <row r="1681" spans="2:5" x14ac:dyDescent="0.4">
      <c r="B1681" s="17"/>
      <c r="C1681" s="15"/>
      <c r="D1681" s="15"/>
      <c r="E1681" s="18"/>
    </row>
    <row r="1682" spans="2:5" x14ac:dyDescent="0.4">
      <c r="B1682" s="17"/>
      <c r="C1682" s="15"/>
      <c r="D1682" s="15"/>
      <c r="E1682" s="18"/>
    </row>
    <row r="1683" spans="2:5" x14ac:dyDescent="0.4">
      <c r="B1683" s="17"/>
      <c r="C1683" s="15"/>
      <c r="D1683" s="15"/>
      <c r="E1683" s="18"/>
    </row>
    <row r="1684" spans="2:5" x14ac:dyDescent="0.4">
      <c r="B1684" s="17"/>
      <c r="C1684" s="15"/>
      <c r="D1684" s="15"/>
      <c r="E1684" s="18"/>
    </row>
    <row r="1685" spans="2:5" x14ac:dyDescent="0.4">
      <c r="B1685" s="17"/>
      <c r="C1685" s="15"/>
      <c r="D1685" s="15"/>
      <c r="E1685" s="18"/>
    </row>
    <row r="1686" spans="2:5" x14ac:dyDescent="0.4">
      <c r="B1686" s="17"/>
      <c r="C1686" s="15"/>
      <c r="D1686" s="15"/>
      <c r="E1686" s="18"/>
    </row>
    <row r="1687" spans="2:5" x14ac:dyDescent="0.4">
      <c r="B1687" s="17"/>
      <c r="C1687" s="15"/>
      <c r="D1687" s="15"/>
      <c r="E1687" s="18"/>
    </row>
    <row r="1688" spans="2:5" x14ac:dyDescent="0.4">
      <c r="B1688" s="17"/>
      <c r="C1688" s="15"/>
      <c r="D1688" s="15"/>
      <c r="E1688" s="18"/>
    </row>
    <row r="1689" spans="2:5" x14ac:dyDescent="0.4">
      <c r="B1689" s="17"/>
      <c r="C1689" s="15"/>
      <c r="D1689" s="15"/>
      <c r="E1689" s="18"/>
    </row>
    <row r="1690" spans="2:5" x14ac:dyDescent="0.4">
      <c r="B1690" s="17"/>
      <c r="C1690" s="15"/>
      <c r="D1690" s="15"/>
      <c r="E1690" s="18"/>
    </row>
    <row r="1691" spans="2:5" x14ac:dyDescent="0.4">
      <c r="B1691" s="17"/>
      <c r="C1691" s="15"/>
      <c r="D1691" s="15"/>
      <c r="E1691" s="18"/>
    </row>
    <row r="1692" spans="2:5" x14ac:dyDescent="0.4">
      <c r="B1692" s="17"/>
      <c r="C1692" s="15"/>
      <c r="D1692" s="15"/>
      <c r="E1692" s="18"/>
    </row>
    <row r="1693" spans="2:5" x14ac:dyDescent="0.4">
      <c r="B1693" s="17"/>
      <c r="C1693" s="15"/>
      <c r="D1693" s="15"/>
      <c r="E1693" s="18"/>
    </row>
    <row r="1694" spans="2:5" x14ac:dyDescent="0.4">
      <c r="B1694" s="17"/>
      <c r="C1694" s="15"/>
      <c r="D1694" s="15"/>
      <c r="E1694" s="18"/>
    </row>
    <row r="1695" spans="2:5" x14ac:dyDescent="0.4">
      <c r="B1695" s="17"/>
      <c r="C1695" s="15"/>
      <c r="D1695" s="15"/>
      <c r="E1695" s="18"/>
    </row>
    <row r="1696" spans="2:5" x14ac:dyDescent="0.4">
      <c r="B1696" s="17"/>
      <c r="C1696" s="15"/>
      <c r="D1696" s="15"/>
      <c r="E1696" s="18"/>
    </row>
    <row r="1697" spans="2:5" x14ac:dyDescent="0.4">
      <c r="B1697" s="17"/>
      <c r="C1697" s="15"/>
      <c r="D1697" s="15"/>
      <c r="E1697" s="18"/>
    </row>
    <row r="1698" spans="2:5" x14ac:dyDescent="0.4">
      <c r="B1698" s="17"/>
      <c r="C1698" s="15"/>
      <c r="D1698" s="15"/>
      <c r="E1698" s="18"/>
    </row>
    <row r="1699" spans="2:5" x14ac:dyDescent="0.4">
      <c r="B1699" s="17"/>
      <c r="C1699" s="15"/>
      <c r="D1699" s="15"/>
      <c r="E1699" s="18"/>
    </row>
    <row r="1700" spans="2:5" x14ac:dyDescent="0.4">
      <c r="B1700" s="17"/>
      <c r="C1700" s="15"/>
      <c r="D1700" s="15"/>
      <c r="E1700" s="18"/>
    </row>
    <row r="1701" spans="2:5" x14ac:dyDescent="0.4">
      <c r="B1701" s="17"/>
      <c r="C1701" s="15"/>
      <c r="D1701" s="15"/>
      <c r="E1701" s="18"/>
    </row>
    <row r="1702" spans="2:5" x14ac:dyDescent="0.4">
      <c r="B1702" s="17"/>
      <c r="C1702" s="15"/>
      <c r="D1702" s="15"/>
      <c r="E1702" s="18"/>
    </row>
    <row r="1703" spans="2:5" x14ac:dyDescent="0.4">
      <c r="B1703" s="17"/>
      <c r="C1703" s="15"/>
      <c r="D1703" s="15"/>
      <c r="E1703" s="18"/>
    </row>
    <row r="1704" spans="2:5" x14ac:dyDescent="0.4">
      <c r="B1704" s="17"/>
      <c r="C1704" s="15"/>
      <c r="D1704" s="15"/>
      <c r="E1704" s="18"/>
    </row>
    <row r="1705" spans="2:5" x14ac:dyDescent="0.4">
      <c r="B1705" s="17"/>
      <c r="C1705" s="15"/>
      <c r="D1705" s="15"/>
      <c r="E1705" s="18"/>
    </row>
    <row r="1706" spans="2:5" x14ac:dyDescent="0.4">
      <c r="B1706" s="17"/>
      <c r="C1706" s="15"/>
      <c r="D1706" s="15"/>
      <c r="E1706" s="18"/>
    </row>
    <row r="1707" spans="2:5" x14ac:dyDescent="0.4">
      <c r="B1707" s="17"/>
      <c r="C1707" s="15"/>
      <c r="D1707" s="15"/>
      <c r="E1707" s="18"/>
    </row>
    <row r="1708" spans="2:5" x14ac:dyDescent="0.4">
      <c r="B1708" s="17"/>
      <c r="C1708" s="15"/>
      <c r="D1708" s="15"/>
      <c r="E1708" s="18"/>
    </row>
    <row r="1709" spans="2:5" x14ac:dyDescent="0.4">
      <c r="B1709" s="17"/>
      <c r="C1709" s="15"/>
      <c r="D1709" s="15"/>
      <c r="E1709" s="18"/>
    </row>
    <row r="1710" spans="2:5" x14ac:dyDescent="0.4">
      <c r="B1710" s="17"/>
      <c r="C1710" s="15"/>
      <c r="D1710" s="15"/>
      <c r="E1710" s="18"/>
    </row>
    <row r="1711" spans="2:5" x14ac:dyDescent="0.4">
      <c r="B1711" s="17"/>
      <c r="C1711" s="15"/>
      <c r="D1711" s="15"/>
      <c r="E1711" s="18"/>
    </row>
    <row r="1712" spans="2:5" x14ac:dyDescent="0.4">
      <c r="B1712" s="17"/>
      <c r="C1712" s="15"/>
      <c r="D1712" s="15"/>
      <c r="E1712" s="18"/>
    </row>
    <row r="1713" spans="2:5" x14ac:dyDescent="0.4">
      <c r="B1713" s="17"/>
      <c r="C1713" s="15"/>
      <c r="D1713" s="15"/>
      <c r="E1713" s="18"/>
    </row>
    <row r="1714" spans="2:5" x14ac:dyDescent="0.4">
      <c r="B1714" s="17"/>
      <c r="C1714" s="15"/>
      <c r="D1714" s="15"/>
      <c r="E1714" s="18"/>
    </row>
    <row r="1715" spans="2:5" x14ac:dyDescent="0.4">
      <c r="B1715" s="17"/>
      <c r="C1715" s="15"/>
      <c r="D1715" s="15"/>
      <c r="E1715" s="18"/>
    </row>
    <row r="1716" spans="2:5" x14ac:dyDescent="0.4">
      <c r="B1716" s="17"/>
      <c r="C1716" s="15"/>
      <c r="D1716" s="15"/>
      <c r="E1716" s="18"/>
    </row>
    <row r="1717" spans="2:5" x14ac:dyDescent="0.4">
      <c r="B1717" s="17"/>
      <c r="C1717" s="15"/>
      <c r="D1717" s="15"/>
      <c r="E1717" s="18"/>
    </row>
    <row r="1718" spans="2:5" x14ac:dyDescent="0.4">
      <c r="B1718" s="17"/>
      <c r="C1718" s="15"/>
      <c r="D1718" s="15"/>
      <c r="E1718" s="18"/>
    </row>
    <row r="1719" spans="2:5" x14ac:dyDescent="0.4">
      <c r="B1719" s="17"/>
      <c r="C1719" s="15"/>
      <c r="D1719" s="15"/>
      <c r="E1719" s="18"/>
    </row>
    <row r="1720" spans="2:5" x14ac:dyDescent="0.4">
      <c r="B1720" s="17"/>
      <c r="C1720" s="15"/>
      <c r="D1720" s="15"/>
      <c r="E1720" s="18"/>
    </row>
    <row r="1721" spans="2:5" x14ac:dyDescent="0.4">
      <c r="B1721" s="17"/>
      <c r="C1721" s="15"/>
      <c r="D1721" s="15"/>
      <c r="E1721" s="18"/>
    </row>
    <row r="1722" spans="2:5" x14ac:dyDescent="0.4">
      <c r="B1722" s="17"/>
      <c r="C1722" s="15"/>
      <c r="D1722" s="15"/>
      <c r="E1722" s="18"/>
    </row>
    <row r="1723" spans="2:5" x14ac:dyDescent="0.4">
      <c r="B1723" s="17"/>
      <c r="C1723" s="15"/>
      <c r="D1723" s="15"/>
      <c r="E1723" s="18"/>
    </row>
    <row r="1724" spans="2:5" x14ac:dyDescent="0.4">
      <c r="B1724" s="17"/>
      <c r="C1724" s="15"/>
      <c r="D1724" s="15"/>
      <c r="E1724" s="18"/>
    </row>
    <row r="1725" spans="2:5" x14ac:dyDescent="0.4">
      <c r="B1725" s="17"/>
      <c r="C1725" s="15"/>
      <c r="D1725" s="15"/>
      <c r="E1725" s="18"/>
    </row>
    <row r="1726" spans="2:5" x14ac:dyDescent="0.4">
      <c r="B1726" s="17"/>
      <c r="C1726" s="15"/>
      <c r="D1726" s="15"/>
      <c r="E1726" s="18"/>
    </row>
    <row r="1727" spans="2:5" x14ac:dyDescent="0.4">
      <c r="B1727" s="17"/>
      <c r="C1727" s="15"/>
      <c r="D1727" s="15"/>
      <c r="E1727" s="18"/>
    </row>
    <row r="1728" spans="2:5" x14ac:dyDescent="0.4">
      <c r="B1728" s="17"/>
      <c r="C1728" s="15"/>
      <c r="D1728" s="15"/>
      <c r="E1728" s="18"/>
    </row>
    <row r="1729" spans="2:5" x14ac:dyDescent="0.4">
      <c r="B1729" s="17"/>
      <c r="C1729" s="15"/>
      <c r="D1729" s="15"/>
      <c r="E1729" s="18"/>
    </row>
    <row r="1730" spans="2:5" x14ac:dyDescent="0.4">
      <c r="B1730" s="17"/>
      <c r="C1730" s="15"/>
      <c r="D1730" s="15"/>
      <c r="E1730" s="18"/>
    </row>
    <row r="1731" spans="2:5" x14ac:dyDescent="0.4">
      <c r="B1731" s="17"/>
      <c r="C1731" s="15"/>
      <c r="D1731" s="15"/>
      <c r="E1731" s="18"/>
    </row>
    <row r="1732" spans="2:5" x14ac:dyDescent="0.4">
      <c r="B1732" s="17"/>
      <c r="C1732" s="15"/>
      <c r="D1732" s="15"/>
      <c r="E1732" s="18"/>
    </row>
    <row r="1733" spans="2:5" x14ac:dyDescent="0.4">
      <c r="B1733" s="17"/>
      <c r="C1733" s="15"/>
      <c r="D1733" s="15"/>
      <c r="E1733" s="18"/>
    </row>
    <row r="1734" spans="2:5" x14ac:dyDescent="0.4">
      <c r="B1734" s="17"/>
      <c r="C1734" s="15"/>
      <c r="D1734" s="15"/>
      <c r="E1734" s="18"/>
    </row>
    <row r="1735" spans="2:5" x14ac:dyDescent="0.4">
      <c r="B1735" s="17"/>
      <c r="C1735" s="15"/>
      <c r="D1735" s="15"/>
      <c r="E1735" s="18"/>
    </row>
    <row r="1736" spans="2:5" x14ac:dyDescent="0.4">
      <c r="B1736" s="17"/>
      <c r="C1736" s="15"/>
      <c r="D1736" s="15"/>
      <c r="E1736" s="18"/>
    </row>
    <row r="1737" spans="2:5" x14ac:dyDescent="0.4">
      <c r="B1737" s="17"/>
      <c r="C1737" s="15"/>
      <c r="D1737" s="15"/>
      <c r="E1737" s="18"/>
    </row>
    <row r="1738" spans="2:5" x14ac:dyDescent="0.4">
      <c r="B1738" s="17"/>
      <c r="C1738" s="15"/>
      <c r="D1738" s="15"/>
      <c r="E1738" s="18"/>
    </row>
    <row r="1739" spans="2:5" x14ac:dyDescent="0.4">
      <c r="B1739" s="17"/>
      <c r="C1739" s="15"/>
      <c r="D1739" s="15"/>
      <c r="E1739" s="18"/>
    </row>
    <row r="1740" spans="2:5" x14ac:dyDescent="0.4">
      <c r="B1740" s="17"/>
      <c r="C1740" s="15"/>
      <c r="D1740" s="15"/>
      <c r="E1740" s="18"/>
    </row>
    <row r="1741" spans="2:5" x14ac:dyDescent="0.4">
      <c r="B1741" s="17"/>
      <c r="C1741" s="15"/>
      <c r="D1741" s="15"/>
      <c r="E1741" s="18"/>
    </row>
    <row r="1742" spans="2:5" x14ac:dyDescent="0.4">
      <c r="B1742" s="17"/>
      <c r="C1742" s="15"/>
      <c r="D1742" s="15"/>
      <c r="E1742" s="18"/>
    </row>
    <row r="1743" spans="2:5" x14ac:dyDescent="0.4">
      <c r="B1743" s="17"/>
      <c r="C1743" s="15"/>
      <c r="D1743" s="15"/>
      <c r="E1743" s="18"/>
    </row>
    <row r="1744" spans="2:5" x14ac:dyDescent="0.4">
      <c r="B1744" s="17"/>
      <c r="C1744" s="15"/>
      <c r="D1744" s="15"/>
      <c r="E1744" s="18"/>
    </row>
    <row r="1745" spans="2:5" x14ac:dyDescent="0.4">
      <c r="B1745" s="17"/>
      <c r="C1745" s="15"/>
      <c r="D1745" s="15"/>
      <c r="E1745" s="18"/>
    </row>
    <row r="1746" spans="2:5" x14ac:dyDescent="0.4">
      <c r="B1746" s="17"/>
      <c r="C1746" s="15"/>
      <c r="D1746" s="15"/>
      <c r="E1746" s="18"/>
    </row>
    <row r="1747" spans="2:5" x14ac:dyDescent="0.4">
      <c r="B1747" s="17"/>
      <c r="C1747" s="15"/>
      <c r="D1747" s="15"/>
      <c r="E1747" s="18"/>
    </row>
    <row r="1748" spans="2:5" x14ac:dyDescent="0.4">
      <c r="B1748" s="17"/>
      <c r="C1748" s="15"/>
      <c r="D1748" s="15"/>
      <c r="E1748" s="18"/>
    </row>
    <row r="1749" spans="2:5" x14ac:dyDescent="0.4">
      <c r="B1749" s="17"/>
      <c r="C1749" s="15"/>
      <c r="D1749" s="15"/>
      <c r="E1749" s="18"/>
    </row>
    <row r="1750" spans="2:5" x14ac:dyDescent="0.4">
      <c r="B1750" s="17"/>
      <c r="C1750" s="15"/>
      <c r="D1750" s="15"/>
      <c r="E1750" s="18"/>
    </row>
    <row r="1751" spans="2:5" x14ac:dyDescent="0.4">
      <c r="B1751" s="17"/>
      <c r="C1751" s="15"/>
      <c r="D1751" s="15"/>
      <c r="E1751" s="18"/>
    </row>
    <row r="1752" spans="2:5" x14ac:dyDescent="0.4">
      <c r="B1752" s="17"/>
      <c r="C1752" s="15"/>
      <c r="D1752" s="15"/>
      <c r="E1752" s="18"/>
    </row>
    <row r="1753" spans="2:5" x14ac:dyDescent="0.4">
      <c r="B1753" s="17"/>
      <c r="C1753" s="15"/>
      <c r="D1753" s="15"/>
      <c r="E1753" s="18"/>
    </row>
    <row r="1754" spans="2:5" x14ac:dyDescent="0.4">
      <c r="B1754" s="17"/>
      <c r="C1754" s="15"/>
      <c r="D1754" s="15"/>
      <c r="E1754" s="18"/>
    </row>
    <row r="1755" spans="2:5" x14ac:dyDescent="0.4">
      <c r="B1755" s="17"/>
      <c r="C1755" s="15"/>
      <c r="D1755" s="15"/>
      <c r="E1755" s="18"/>
    </row>
    <row r="1756" spans="2:5" x14ac:dyDescent="0.4">
      <c r="B1756" s="17"/>
      <c r="C1756" s="15"/>
      <c r="D1756" s="15"/>
      <c r="E1756" s="18"/>
    </row>
    <row r="1757" spans="2:5" x14ac:dyDescent="0.4">
      <c r="B1757" s="17"/>
      <c r="C1757" s="15"/>
      <c r="D1757" s="15"/>
      <c r="E1757" s="18"/>
    </row>
    <row r="1758" spans="2:5" x14ac:dyDescent="0.4">
      <c r="B1758" s="17"/>
      <c r="C1758" s="15"/>
      <c r="D1758" s="15"/>
      <c r="E1758" s="18"/>
    </row>
    <row r="1759" spans="2:5" x14ac:dyDescent="0.4">
      <c r="B1759" s="17"/>
      <c r="C1759" s="15"/>
      <c r="D1759" s="15"/>
      <c r="E1759" s="18"/>
    </row>
    <row r="1760" spans="2:5" x14ac:dyDescent="0.4">
      <c r="B1760" s="17"/>
      <c r="C1760" s="15"/>
      <c r="D1760" s="15"/>
      <c r="E1760" s="18"/>
    </row>
    <row r="1761" spans="2:5" x14ac:dyDescent="0.4">
      <c r="B1761" s="17"/>
      <c r="C1761" s="15"/>
      <c r="D1761" s="15"/>
      <c r="E1761" s="18"/>
    </row>
    <row r="1762" spans="2:5" x14ac:dyDescent="0.4">
      <c r="B1762" s="17"/>
      <c r="C1762" s="15"/>
      <c r="D1762" s="15"/>
      <c r="E1762" s="18"/>
    </row>
    <row r="1763" spans="2:5" x14ac:dyDescent="0.4">
      <c r="B1763" s="17"/>
      <c r="C1763" s="15"/>
      <c r="D1763" s="15"/>
      <c r="E1763" s="18"/>
    </row>
    <row r="1764" spans="2:5" x14ac:dyDescent="0.4">
      <c r="B1764" s="17"/>
      <c r="C1764" s="15"/>
      <c r="D1764" s="15"/>
      <c r="E1764" s="18"/>
    </row>
    <row r="1765" spans="2:5" x14ac:dyDescent="0.4">
      <c r="B1765" s="17"/>
      <c r="C1765" s="15"/>
      <c r="D1765" s="15"/>
      <c r="E1765" s="18"/>
    </row>
    <row r="1766" spans="2:5" x14ac:dyDescent="0.4">
      <c r="B1766" s="17"/>
      <c r="C1766" s="15"/>
      <c r="D1766" s="15"/>
      <c r="E1766" s="18"/>
    </row>
    <row r="1767" spans="2:5" x14ac:dyDescent="0.4">
      <c r="B1767" s="17"/>
      <c r="C1767" s="15"/>
      <c r="D1767" s="15"/>
      <c r="E1767" s="18"/>
    </row>
    <row r="1768" spans="2:5" x14ac:dyDescent="0.4">
      <c r="B1768" s="17"/>
      <c r="C1768" s="15"/>
      <c r="D1768" s="15"/>
      <c r="E1768" s="18"/>
    </row>
    <row r="1769" spans="2:5" x14ac:dyDescent="0.4">
      <c r="B1769" s="17"/>
      <c r="C1769" s="15"/>
      <c r="D1769" s="15"/>
      <c r="E1769" s="18"/>
    </row>
    <row r="1770" spans="2:5" x14ac:dyDescent="0.4">
      <c r="B1770" s="17"/>
      <c r="C1770" s="15"/>
      <c r="D1770" s="15"/>
      <c r="E1770" s="18"/>
    </row>
    <row r="1771" spans="2:5" x14ac:dyDescent="0.4">
      <c r="B1771" s="17"/>
      <c r="C1771" s="15"/>
      <c r="D1771" s="15"/>
      <c r="E1771" s="18"/>
    </row>
    <row r="1772" spans="2:5" x14ac:dyDescent="0.4">
      <c r="B1772" s="17"/>
      <c r="C1772" s="15"/>
      <c r="D1772" s="15"/>
      <c r="E1772" s="18"/>
    </row>
    <row r="1773" spans="2:5" x14ac:dyDescent="0.4">
      <c r="B1773" s="17"/>
      <c r="C1773" s="15"/>
      <c r="D1773" s="15"/>
      <c r="E1773" s="18"/>
    </row>
    <row r="1774" spans="2:5" x14ac:dyDescent="0.4">
      <c r="B1774" s="17"/>
      <c r="C1774" s="15"/>
      <c r="D1774" s="15"/>
      <c r="E1774" s="18"/>
    </row>
    <row r="1775" spans="2:5" x14ac:dyDescent="0.4">
      <c r="B1775" s="17"/>
      <c r="C1775" s="15"/>
      <c r="D1775" s="15"/>
      <c r="E1775" s="18"/>
    </row>
    <row r="1776" spans="2:5" x14ac:dyDescent="0.4">
      <c r="B1776" s="17"/>
      <c r="C1776" s="15"/>
      <c r="D1776" s="15"/>
      <c r="E1776" s="18"/>
    </row>
    <row r="1777" spans="2:5" x14ac:dyDescent="0.4">
      <c r="B1777" s="17"/>
      <c r="C1777" s="15"/>
      <c r="D1777" s="15"/>
      <c r="E1777" s="18"/>
    </row>
    <row r="1778" spans="2:5" x14ac:dyDescent="0.4">
      <c r="B1778" s="17"/>
      <c r="C1778" s="15"/>
      <c r="D1778" s="15"/>
      <c r="E1778" s="18"/>
    </row>
    <row r="1779" spans="2:5" x14ac:dyDescent="0.4">
      <c r="B1779" s="17"/>
      <c r="C1779" s="15"/>
      <c r="D1779" s="15"/>
      <c r="E1779" s="18"/>
    </row>
    <row r="1780" spans="2:5" x14ac:dyDescent="0.4">
      <c r="B1780" s="17"/>
      <c r="C1780" s="15"/>
      <c r="D1780" s="15"/>
      <c r="E1780" s="18"/>
    </row>
    <row r="1781" spans="2:5" x14ac:dyDescent="0.4">
      <c r="B1781" s="17"/>
      <c r="C1781" s="15"/>
      <c r="D1781" s="15"/>
      <c r="E1781" s="18"/>
    </row>
    <row r="1782" spans="2:5" x14ac:dyDescent="0.4">
      <c r="B1782" s="17"/>
      <c r="C1782" s="15"/>
      <c r="D1782" s="15"/>
      <c r="E1782" s="18"/>
    </row>
    <row r="1783" spans="2:5" x14ac:dyDescent="0.4">
      <c r="B1783" s="17"/>
      <c r="C1783" s="15"/>
      <c r="D1783" s="15"/>
      <c r="E1783" s="18"/>
    </row>
    <row r="1784" spans="2:5" x14ac:dyDescent="0.4">
      <c r="B1784" s="17"/>
      <c r="C1784" s="15"/>
      <c r="D1784" s="15"/>
      <c r="E1784" s="18"/>
    </row>
    <row r="1785" spans="2:5" x14ac:dyDescent="0.4">
      <c r="B1785" s="17"/>
      <c r="C1785" s="15"/>
      <c r="D1785" s="15"/>
      <c r="E1785" s="18"/>
    </row>
    <row r="1786" spans="2:5" x14ac:dyDescent="0.4">
      <c r="B1786" s="17"/>
      <c r="C1786" s="15"/>
      <c r="D1786" s="15"/>
      <c r="E1786" s="18"/>
    </row>
    <row r="1787" spans="2:5" x14ac:dyDescent="0.4">
      <c r="B1787" s="17"/>
      <c r="C1787" s="15"/>
      <c r="D1787" s="15"/>
      <c r="E1787" s="18"/>
    </row>
    <row r="1788" spans="2:5" x14ac:dyDescent="0.4">
      <c r="B1788" s="17"/>
      <c r="C1788" s="15"/>
      <c r="D1788" s="15"/>
      <c r="E1788" s="18"/>
    </row>
    <row r="1789" spans="2:5" x14ac:dyDescent="0.4">
      <c r="B1789" s="17"/>
      <c r="C1789" s="15"/>
      <c r="D1789" s="15"/>
      <c r="E1789" s="18"/>
    </row>
    <row r="1790" spans="2:5" x14ac:dyDescent="0.4">
      <c r="B1790" s="17"/>
      <c r="C1790" s="15"/>
      <c r="D1790" s="15"/>
      <c r="E1790" s="18"/>
    </row>
    <row r="1791" spans="2:5" x14ac:dyDescent="0.4">
      <c r="B1791" s="17"/>
      <c r="C1791" s="15"/>
      <c r="D1791" s="15"/>
      <c r="E1791" s="18"/>
    </row>
    <row r="1792" spans="2:5" x14ac:dyDescent="0.4">
      <c r="B1792" s="17"/>
      <c r="C1792" s="15"/>
      <c r="D1792" s="15"/>
      <c r="E1792" s="18"/>
    </row>
    <row r="1793" spans="2:5" x14ac:dyDescent="0.4">
      <c r="B1793" s="17"/>
      <c r="C1793" s="15"/>
      <c r="D1793" s="15"/>
      <c r="E1793" s="18"/>
    </row>
    <row r="1794" spans="2:5" x14ac:dyDescent="0.4">
      <c r="B1794" s="17"/>
      <c r="C1794" s="15"/>
      <c r="D1794" s="15"/>
      <c r="E1794" s="18"/>
    </row>
    <row r="1795" spans="2:5" x14ac:dyDescent="0.4">
      <c r="B1795" s="17"/>
      <c r="C1795" s="15"/>
      <c r="D1795" s="15"/>
      <c r="E1795" s="18"/>
    </row>
    <row r="1796" spans="2:5" x14ac:dyDescent="0.4">
      <c r="B1796" s="17"/>
      <c r="C1796" s="15"/>
      <c r="D1796" s="15"/>
      <c r="E1796" s="18"/>
    </row>
    <row r="1797" spans="2:5" x14ac:dyDescent="0.4">
      <c r="B1797" s="17"/>
      <c r="C1797" s="15"/>
      <c r="D1797" s="15"/>
      <c r="E1797" s="18"/>
    </row>
    <row r="1798" spans="2:5" x14ac:dyDescent="0.4">
      <c r="B1798" s="17"/>
      <c r="C1798" s="15"/>
      <c r="D1798" s="15"/>
      <c r="E1798" s="18"/>
    </row>
    <row r="1799" spans="2:5" x14ac:dyDescent="0.4">
      <c r="B1799" s="17"/>
      <c r="C1799" s="15"/>
      <c r="D1799" s="15"/>
      <c r="E1799" s="18"/>
    </row>
    <row r="1800" spans="2:5" x14ac:dyDescent="0.4">
      <c r="B1800" s="17"/>
      <c r="C1800" s="15"/>
      <c r="D1800" s="15"/>
      <c r="E1800" s="18"/>
    </row>
    <row r="1801" spans="2:5" x14ac:dyDescent="0.4">
      <c r="B1801" s="17"/>
      <c r="C1801" s="15"/>
      <c r="D1801" s="15"/>
      <c r="E1801" s="18"/>
    </row>
    <row r="1802" spans="2:5" x14ac:dyDescent="0.4">
      <c r="B1802" s="17"/>
      <c r="C1802" s="15"/>
      <c r="D1802" s="15"/>
      <c r="E1802" s="18"/>
    </row>
    <row r="1803" spans="2:5" x14ac:dyDescent="0.4">
      <c r="B1803" s="17"/>
      <c r="C1803" s="15"/>
      <c r="D1803" s="15"/>
      <c r="E1803" s="18"/>
    </row>
    <row r="1804" spans="2:5" x14ac:dyDescent="0.4">
      <c r="B1804" s="17"/>
      <c r="C1804" s="15"/>
      <c r="D1804" s="15"/>
      <c r="E1804" s="18"/>
    </row>
    <row r="1805" spans="2:5" x14ac:dyDescent="0.4">
      <c r="B1805" s="17"/>
      <c r="C1805" s="15"/>
      <c r="D1805" s="15"/>
      <c r="E1805" s="18"/>
    </row>
    <row r="1806" spans="2:5" x14ac:dyDescent="0.4">
      <c r="B1806" s="17"/>
      <c r="C1806" s="15"/>
      <c r="D1806" s="15"/>
      <c r="E1806" s="18"/>
    </row>
    <row r="1807" spans="2:5" x14ac:dyDescent="0.4">
      <c r="B1807" s="17"/>
      <c r="C1807" s="15"/>
      <c r="D1807" s="15"/>
      <c r="E1807" s="18"/>
    </row>
    <row r="1808" spans="2:5" x14ac:dyDescent="0.4">
      <c r="B1808" s="17"/>
      <c r="C1808" s="15"/>
      <c r="D1808" s="15"/>
      <c r="E1808" s="18"/>
    </row>
    <row r="1809" spans="2:5" x14ac:dyDescent="0.4">
      <c r="B1809" s="17"/>
      <c r="C1809" s="15"/>
      <c r="D1809" s="15"/>
      <c r="E1809" s="18"/>
    </row>
    <row r="1810" spans="2:5" x14ac:dyDescent="0.4">
      <c r="B1810" s="17"/>
      <c r="C1810" s="15"/>
      <c r="D1810" s="15"/>
      <c r="E1810" s="18"/>
    </row>
    <row r="1811" spans="2:5" x14ac:dyDescent="0.4">
      <c r="B1811" s="17"/>
      <c r="C1811" s="15"/>
      <c r="D1811" s="15"/>
      <c r="E1811" s="18"/>
    </row>
    <row r="1812" spans="2:5" x14ac:dyDescent="0.4">
      <c r="B1812" s="17"/>
      <c r="C1812" s="15"/>
      <c r="D1812" s="15"/>
      <c r="E1812" s="18"/>
    </row>
    <row r="1813" spans="2:5" x14ac:dyDescent="0.4">
      <c r="B1813" s="17"/>
      <c r="C1813" s="15"/>
      <c r="D1813" s="15"/>
      <c r="E1813" s="18"/>
    </row>
    <row r="1814" spans="2:5" x14ac:dyDescent="0.4">
      <c r="B1814" s="17"/>
      <c r="C1814" s="15"/>
      <c r="D1814" s="15"/>
      <c r="E1814" s="18"/>
    </row>
    <row r="1815" spans="2:5" x14ac:dyDescent="0.4">
      <c r="B1815" s="17"/>
      <c r="C1815" s="15"/>
      <c r="D1815" s="15"/>
      <c r="E1815" s="18"/>
    </row>
    <row r="1816" spans="2:5" x14ac:dyDescent="0.4">
      <c r="B1816" s="17"/>
      <c r="C1816" s="15"/>
      <c r="D1816" s="15"/>
      <c r="E1816" s="18"/>
    </row>
    <row r="1817" spans="2:5" x14ac:dyDescent="0.4">
      <c r="B1817" s="17"/>
      <c r="C1817" s="15"/>
      <c r="D1817" s="15"/>
      <c r="E1817" s="18"/>
    </row>
    <row r="1818" spans="2:5" x14ac:dyDescent="0.4">
      <c r="B1818" s="17"/>
      <c r="C1818" s="15"/>
      <c r="D1818" s="15"/>
      <c r="E1818" s="18"/>
    </row>
    <row r="1819" spans="2:5" x14ac:dyDescent="0.4">
      <c r="B1819" s="17"/>
      <c r="C1819" s="15"/>
      <c r="D1819" s="15"/>
      <c r="E1819" s="18"/>
    </row>
    <row r="1820" spans="2:5" x14ac:dyDescent="0.4">
      <c r="B1820" s="17"/>
      <c r="C1820" s="15"/>
      <c r="D1820" s="15"/>
      <c r="E1820" s="18"/>
    </row>
    <row r="1821" spans="2:5" x14ac:dyDescent="0.4">
      <c r="B1821" s="17"/>
      <c r="C1821" s="15"/>
      <c r="D1821" s="15"/>
      <c r="E1821" s="18"/>
    </row>
    <row r="1822" spans="2:5" x14ac:dyDescent="0.4">
      <c r="B1822" s="17"/>
      <c r="C1822" s="15"/>
      <c r="D1822" s="15"/>
      <c r="E1822" s="18"/>
    </row>
    <row r="1823" spans="2:5" x14ac:dyDescent="0.4">
      <c r="B1823" s="17"/>
      <c r="C1823" s="15"/>
      <c r="D1823" s="15"/>
      <c r="E1823" s="18"/>
    </row>
    <row r="1824" spans="2:5" x14ac:dyDescent="0.4">
      <c r="B1824" s="17"/>
      <c r="C1824" s="15"/>
      <c r="D1824" s="15"/>
      <c r="E1824" s="18"/>
    </row>
    <row r="1825" spans="2:5" x14ac:dyDescent="0.4">
      <c r="B1825" s="17"/>
      <c r="C1825" s="15"/>
      <c r="D1825" s="15"/>
      <c r="E1825" s="18"/>
    </row>
    <row r="1826" spans="2:5" x14ac:dyDescent="0.4">
      <c r="B1826" s="17"/>
      <c r="C1826" s="15"/>
      <c r="D1826" s="15"/>
      <c r="E1826" s="18"/>
    </row>
    <row r="1827" spans="2:5" x14ac:dyDescent="0.4">
      <c r="B1827" s="17"/>
      <c r="C1827" s="15"/>
      <c r="D1827" s="15"/>
      <c r="E1827" s="18"/>
    </row>
    <row r="1828" spans="2:5" x14ac:dyDescent="0.4">
      <c r="B1828" s="17"/>
      <c r="C1828" s="15"/>
      <c r="D1828" s="15"/>
      <c r="E1828" s="18"/>
    </row>
    <row r="1829" spans="2:5" x14ac:dyDescent="0.4">
      <c r="B1829" s="17"/>
      <c r="C1829" s="15"/>
      <c r="D1829" s="15"/>
      <c r="E1829" s="18"/>
    </row>
    <row r="1830" spans="2:5" x14ac:dyDescent="0.4">
      <c r="B1830" s="17"/>
      <c r="C1830" s="15"/>
      <c r="D1830" s="15"/>
      <c r="E1830" s="18"/>
    </row>
    <row r="1831" spans="2:5" x14ac:dyDescent="0.4">
      <c r="B1831" s="17"/>
      <c r="C1831" s="15"/>
      <c r="D1831" s="15"/>
      <c r="E1831" s="18"/>
    </row>
    <row r="1832" spans="2:5" x14ac:dyDescent="0.4">
      <c r="B1832" s="17"/>
      <c r="C1832" s="15"/>
      <c r="D1832" s="15"/>
      <c r="E1832" s="18"/>
    </row>
    <row r="1833" spans="2:5" x14ac:dyDescent="0.4">
      <c r="B1833" s="17"/>
      <c r="C1833" s="15"/>
      <c r="D1833" s="15"/>
      <c r="E1833" s="18"/>
    </row>
    <row r="1834" spans="2:5" x14ac:dyDescent="0.4">
      <c r="B1834" s="17"/>
      <c r="C1834" s="15"/>
      <c r="D1834" s="15"/>
      <c r="E1834" s="18"/>
    </row>
    <row r="1835" spans="2:5" x14ac:dyDescent="0.4">
      <c r="B1835" s="17"/>
      <c r="C1835" s="15"/>
      <c r="D1835" s="15"/>
      <c r="E1835" s="18"/>
    </row>
    <row r="1836" spans="2:5" x14ac:dyDescent="0.4">
      <c r="B1836" s="17"/>
      <c r="C1836" s="15"/>
      <c r="D1836" s="15"/>
      <c r="E1836" s="18"/>
    </row>
    <row r="1837" spans="2:5" x14ac:dyDescent="0.4">
      <c r="B1837" s="17"/>
      <c r="C1837" s="15"/>
      <c r="D1837" s="15"/>
      <c r="E1837" s="18"/>
    </row>
    <row r="1838" spans="2:5" x14ac:dyDescent="0.4">
      <c r="B1838" s="17"/>
      <c r="C1838" s="15"/>
      <c r="D1838" s="15"/>
      <c r="E1838" s="18"/>
    </row>
    <row r="1839" spans="2:5" x14ac:dyDescent="0.4">
      <c r="B1839" s="17"/>
      <c r="C1839" s="15"/>
      <c r="D1839" s="15"/>
      <c r="E1839" s="18"/>
    </row>
    <row r="1840" spans="2:5" x14ac:dyDescent="0.4">
      <c r="B1840" s="17"/>
      <c r="C1840" s="15"/>
      <c r="D1840" s="15"/>
      <c r="E1840" s="18"/>
    </row>
    <row r="1841" spans="2:5" x14ac:dyDescent="0.4">
      <c r="B1841" s="17"/>
      <c r="C1841" s="15"/>
      <c r="D1841" s="15"/>
      <c r="E1841" s="18"/>
    </row>
    <row r="1842" spans="2:5" x14ac:dyDescent="0.4">
      <c r="B1842" s="17"/>
      <c r="C1842" s="15"/>
      <c r="D1842" s="15"/>
      <c r="E1842" s="18"/>
    </row>
    <row r="1843" spans="2:5" x14ac:dyDescent="0.4">
      <c r="B1843" s="17"/>
      <c r="C1843" s="15"/>
      <c r="D1843" s="15"/>
      <c r="E1843" s="18"/>
    </row>
    <row r="1844" spans="2:5" x14ac:dyDescent="0.4">
      <c r="B1844" s="17"/>
      <c r="C1844" s="15"/>
      <c r="D1844" s="15"/>
      <c r="E1844" s="18"/>
    </row>
    <row r="1845" spans="2:5" x14ac:dyDescent="0.4">
      <c r="B1845" s="17"/>
      <c r="C1845" s="15"/>
      <c r="D1845" s="15"/>
      <c r="E1845" s="18"/>
    </row>
    <row r="1846" spans="2:5" x14ac:dyDescent="0.4">
      <c r="B1846" s="17"/>
      <c r="C1846" s="15"/>
      <c r="D1846" s="15"/>
      <c r="E1846" s="18"/>
    </row>
    <row r="1847" spans="2:5" x14ac:dyDescent="0.4">
      <c r="B1847" s="17"/>
      <c r="C1847" s="15"/>
      <c r="D1847" s="15"/>
      <c r="E1847" s="18"/>
    </row>
    <row r="1848" spans="2:5" x14ac:dyDescent="0.4">
      <c r="B1848" s="17"/>
      <c r="C1848" s="15"/>
      <c r="D1848" s="15"/>
      <c r="E1848" s="18"/>
    </row>
    <row r="1849" spans="2:5" x14ac:dyDescent="0.4">
      <c r="B1849" s="17"/>
      <c r="C1849" s="15"/>
      <c r="D1849" s="15"/>
      <c r="E1849" s="18"/>
    </row>
    <row r="1850" spans="2:5" x14ac:dyDescent="0.4">
      <c r="B1850" s="17"/>
      <c r="C1850" s="15"/>
      <c r="D1850" s="15"/>
      <c r="E1850" s="18"/>
    </row>
    <row r="1851" spans="2:5" x14ac:dyDescent="0.4">
      <c r="B1851" s="17"/>
      <c r="C1851" s="15"/>
      <c r="D1851" s="15"/>
      <c r="E1851" s="18"/>
    </row>
    <row r="1852" spans="2:5" x14ac:dyDescent="0.4">
      <c r="B1852" s="17"/>
      <c r="C1852" s="15"/>
      <c r="D1852" s="15"/>
      <c r="E1852" s="18"/>
    </row>
    <row r="1853" spans="2:5" x14ac:dyDescent="0.4">
      <c r="B1853" s="17"/>
      <c r="C1853" s="15"/>
      <c r="D1853" s="15"/>
      <c r="E1853" s="18"/>
    </row>
    <row r="1854" spans="2:5" x14ac:dyDescent="0.4">
      <c r="B1854" s="17"/>
      <c r="C1854" s="15"/>
      <c r="D1854" s="15"/>
      <c r="E1854" s="18"/>
    </row>
    <row r="1855" spans="2:5" x14ac:dyDescent="0.4">
      <c r="B1855" s="17"/>
      <c r="C1855" s="15"/>
      <c r="D1855" s="15"/>
      <c r="E1855" s="18"/>
    </row>
    <row r="1856" spans="2:5" x14ac:dyDescent="0.4">
      <c r="B1856" s="17"/>
      <c r="C1856" s="15"/>
      <c r="D1856" s="15"/>
      <c r="E1856" s="18"/>
    </row>
    <row r="1857" spans="2:5" x14ac:dyDescent="0.4">
      <c r="B1857" s="17"/>
      <c r="C1857" s="15"/>
      <c r="D1857" s="15"/>
      <c r="E1857" s="18"/>
    </row>
    <row r="1858" spans="2:5" x14ac:dyDescent="0.4">
      <c r="B1858" s="17"/>
      <c r="C1858" s="15"/>
      <c r="D1858" s="15"/>
      <c r="E1858" s="18"/>
    </row>
    <row r="1859" spans="2:5" x14ac:dyDescent="0.4">
      <c r="B1859" s="17"/>
      <c r="C1859" s="15"/>
      <c r="D1859" s="15"/>
      <c r="E1859" s="18"/>
    </row>
    <row r="1860" spans="2:5" x14ac:dyDescent="0.4">
      <c r="B1860" s="17"/>
      <c r="C1860" s="15"/>
      <c r="D1860" s="15"/>
      <c r="E1860" s="18"/>
    </row>
    <row r="1861" spans="2:5" x14ac:dyDescent="0.4">
      <c r="B1861" s="17"/>
      <c r="C1861" s="15"/>
      <c r="D1861" s="15"/>
      <c r="E1861" s="18"/>
    </row>
    <row r="1862" spans="2:5" x14ac:dyDescent="0.4">
      <c r="B1862" s="17"/>
      <c r="C1862" s="15"/>
      <c r="D1862" s="15"/>
      <c r="E1862" s="18"/>
    </row>
    <row r="1863" spans="2:5" x14ac:dyDescent="0.4">
      <c r="B1863" s="17"/>
      <c r="C1863" s="15"/>
      <c r="D1863" s="15"/>
      <c r="E1863" s="18"/>
    </row>
    <row r="1864" spans="2:5" x14ac:dyDescent="0.4">
      <c r="B1864" s="17"/>
      <c r="C1864" s="15"/>
      <c r="D1864" s="15"/>
      <c r="E1864" s="18"/>
    </row>
    <row r="1865" spans="2:5" x14ac:dyDescent="0.4">
      <c r="B1865" s="17"/>
      <c r="C1865" s="15"/>
      <c r="D1865" s="15"/>
      <c r="E1865" s="18"/>
    </row>
    <row r="1866" spans="2:5" x14ac:dyDescent="0.4">
      <c r="B1866" s="17"/>
      <c r="C1866" s="15"/>
      <c r="D1866" s="15"/>
      <c r="E1866" s="18"/>
    </row>
    <row r="1867" spans="2:5" x14ac:dyDescent="0.4">
      <c r="B1867" s="17"/>
      <c r="C1867" s="15"/>
      <c r="D1867" s="15"/>
      <c r="E1867" s="18"/>
    </row>
    <row r="1868" spans="2:5" x14ac:dyDescent="0.4">
      <c r="B1868" s="17"/>
      <c r="C1868" s="15"/>
      <c r="D1868" s="15"/>
      <c r="E1868" s="18"/>
    </row>
    <row r="1869" spans="2:5" x14ac:dyDescent="0.4">
      <c r="B1869" s="17"/>
      <c r="C1869" s="15"/>
      <c r="D1869" s="15"/>
      <c r="E1869" s="18"/>
    </row>
    <row r="1870" spans="2:5" x14ac:dyDescent="0.4">
      <c r="B1870" s="17"/>
      <c r="C1870" s="15"/>
      <c r="D1870" s="15"/>
      <c r="E1870" s="18"/>
    </row>
    <row r="1871" spans="2:5" x14ac:dyDescent="0.4">
      <c r="B1871" s="17"/>
      <c r="C1871" s="15"/>
      <c r="D1871" s="15"/>
      <c r="E1871" s="18"/>
    </row>
    <row r="1872" spans="2:5" x14ac:dyDescent="0.4">
      <c r="B1872" s="17"/>
      <c r="C1872" s="15"/>
      <c r="D1872" s="15"/>
      <c r="E1872" s="18"/>
    </row>
    <row r="1873" spans="2:5" x14ac:dyDescent="0.4">
      <c r="B1873" s="17"/>
      <c r="C1873" s="15"/>
      <c r="D1873" s="15"/>
      <c r="E1873" s="18"/>
    </row>
    <row r="1874" spans="2:5" x14ac:dyDescent="0.4">
      <c r="B1874" s="17"/>
      <c r="C1874" s="15"/>
      <c r="D1874" s="15"/>
      <c r="E1874" s="18"/>
    </row>
    <row r="1875" spans="2:5" x14ac:dyDescent="0.4">
      <c r="B1875" s="17"/>
      <c r="C1875" s="15"/>
      <c r="D1875" s="15"/>
      <c r="E1875" s="18"/>
    </row>
    <row r="1876" spans="2:5" x14ac:dyDescent="0.4">
      <c r="B1876" s="17"/>
      <c r="C1876" s="15"/>
      <c r="D1876" s="15"/>
      <c r="E1876" s="18"/>
    </row>
    <row r="1877" spans="2:5" x14ac:dyDescent="0.4">
      <c r="B1877" s="17"/>
      <c r="C1877" s="15"/>
      <c r="D1877" s="15"/>
      <c r="E1877" s="18"/>
    </row>
    <row r="1878" spans="2:5" x14ac:dyDescent="0.4">
      <c r="B1878" s="17"/>
      <c r="C1878" s="15"/>
      <c r="D1878" s="15"/>
      <c r="E1878" s="18"/>
    </row>
    <row r="1879" spans="2:5" x14ac:dyDescent="0.4">
      <c r="B1879" s="17"/>
      <c r="C1879" s="15"/>
      <c r="D1879" s="15"/>
      <c r="E1879" s="18"/>
    </row>
    <row r="1880" spans="2:5" x14ac:dyDescent="0.4">
      <c r="B1880" s="17"/>
      <c r="C1880" s="15"/>
      <c r="D1880" s="15"/>
      <c r="E1880" s="18"/>
    </row>
    <row r="1881" spans="2:5" x14ac:dyDescent="0.4">
      <c r="B1881" s="17"/>
      <c r="C1881" s="15"/>
      <c r="D1881" s="15"/>
      <c r="E1881" s="18"/>
    </row>
    <row r="1882" spans="2:5" x14ac:dyDescent="0.4">
      <c r="B1882" s="17"/>
      <c r="C1882" s="15"/>
      <c r="D1882" s="15"/>
      <c r="E1882" s="18"/>
    </row>
    <row r="1883" spans="2:5" x14ac:dyDescent="0.4">
      <c r="B1883" s="17"/>
      <c r="C1883" s="15"/>
      <c r="D1883" s="15"/>
      <c r="E1883" s="18"/>
    </row>
    <row r="1884" spans="2:5" x14ac:dyDescent="0.4">
      <c r="B1884" s="17"/>
      <c r="C1884" s="15"/>
      <c r="D1884" s="15"/>
      <c r="E1884" s="18"/>
    </row>
    <row r="1885" spans="2:5" x14ac:dyDescent="0.4">
      <c r="B1885" s="17"/>
      <c r="C1885" s="15"/>
      <c r="D1885" s="15"/>
      <c r="E1885" s="18"/>
    </row>
    <row r="1886" spans="2:5" x14ac:dyDescent="0.4">
      <c r="B1886" s="17"/>
      <c r="C1886" s="15"/>
      <c r="D1886" s="15"/>
      <c r="E1886" s="18"/>
    </row>
    <row r="1887" spans="2:5" x14ac:dyDescent="0.4">
      <c r="B1887" s="17"/>
      <c r="C1887" s="15"/>
      <c r="D1887" s="15"/>
      <c r="E1887" s="18"/>
    </row>
    <row r="1888" spans="2:5" x14ac:dyDescent="0.4">
      <c r="B1888" s="17"/>
      <c r="C1888" s="15"/>
      <c r="D1888" s="15"/>
      <c r="E1888" s="18"/>
    </row>
    <row r="1889" spans="2:5" x14ac:dyDescent="0.4">
      <c r="B1889" s="17"/>
      <c r="C1889" s="15"/>
      <c r="D1889" s="15"/>
      <c r="E1889" s="18"/>
    </row>
    <row r="1890" spans="2:5" x14ac:dyDescent="0.4">
      <c r="B1890" s="17"/>
      <c r="C1890" s="15"/>
      <c r="D1890" s="15"/>
      <c r="E1890" s="18"/>
    </row>
    <row r="1891" spans="2:5" x14ac:dyDescent="0.4">
      <c r="B1891" s="17"/>
      <c r="C1891" s="15"/>
      <c r="D1891" s="15"/>
      <c r="E1891" s="18"/>
    </row>
    <row r="1892" spans="2:5" x14ac:dyDescent="0.4">
      <c r="B1892" s="17"/>
      <c r="C1892" s="15"/>
      <c r="D1892" s="15"/>
      <c r="E1892" s="18"/>
    </row>
    <row r="1893" spans="2:5" x14ac:dyDescent="0.4">
      <c r="B1893" s="17"/>
      <c r="C1893" s="15"/>
      <c r="D1893" s="15"/>
      <c r="E1893" s="18"/>
    </row>
    <row r="1894" spans="2:5" x14ac:dyDescent="0.4">
      <c r="B1894" s="17"/>
      <c r="C1894" s="15"/>
      <c r="D1894" s="15"/>
      <c r="E1894" s="18"/>
    </row>
    <row r="1895" spans="2:5" x14ac:dyDescent="0.4">
      <c r="B1895" s="17"/>
      <c r="C1895" s="15"/>
      <c r="D1895" s="15"/>
      <c r="E1895" s="18"/>
    </row>
    <row r="1896" spans="2:5" x14ac:dyDescent="0.4">
      <c r="B1896" s="17"/>
      <c r="C1896" s="15"/>
      <c r="D1896" s="15"/>
      <c r="E1896" s="18"/>
    </row>
    <row r="1897" spans="2:5" x14ac:dyDescent="0.4">
      <c r="B1897" s="17"/>
      <c r="C1897" s="15"/>
      <c r="D1897" s="15"/>
      <c r="E1897" s="18"/>
    </row>
    <row r="1898" spans="2:5" x14ac:dyDescent="0.4">
      <c r="B1898" s="17"/>
      <c r="C1898" s="15"/>
      <c r="D1898" s="15"/>
      <c r="E1898" s="18"/>
    </row>
    <row r="1899" spans="2:5" x14ac:dyDescent="0.4">
      <c r="B1899" s="17"/>
      <c r="C1899" s="15"/>
      <c r="D1899" s="15"/>
      <c r="E1899" s="18"/>
    </row>
    <row r="1900" spans="2:5" x14ac:dyDescent="0.4">
      <c r="B1900" s="17"/>
      <c r="C1900" s="15"/>
      <c r="D1900" s="15"/>
      <c r="E1900" s="18"/>
    </row>
    <row r="1901" spans="2:5" x14ac:dyDescent="0.4">
      <c r="B1901" s="17"/>
      <c r="C1901" s="15"/>
      <c r="D1901" s="15"/>
      <c r="E1901" s="18"/>
    </row>
    <row r="1902" spans="2:5" x14ac:dyDescent="0.4">
      <c r="B1902" s="17"/>
      <c r="C1902" s="15"/>
      <c r="D1902" s="15"/>
      <c r="E1902" s="18"/>
    </row>
    <row r="1903" spans="2:5" x14ac:dyDescent="0.4">
      <c r="B1903" s="17"/>
      <c r="C1903" s="15"/>
      <c r="D1903" s="15"/>
      <c r="E1903" s="18"/>
    </row>
    <row r="1904" spans="2:5" x14ac:dyDescent="0.4">
      <c r="B1904" s="17"/>
      <c r="C1904" s="15"/>
      <c r="D1904" s="15"/>
      <c r="E1904" s="18"/>
    </row>
    <row r="1905" spans="2:5" x14ac:dyDescent="0.4">
      <c r="B1905" s="17"/>
      <c r="C1905" s="15"/>
      <c r="D1905" s="15"/>
      <c r="E1905" s="18"/>
    </row>
    <row r="1906" spans="2:5" x14ac:dyDescent="0.4">
      <c r="B1906" s="17"/>
      <c r="C1906" s="15"/>
      <c r="D1906" s="15"/>
      <c r="E1906" s="18"/>
    </row>
    <row r="1907" spans="2:5" x14ac:dyDescent="0.4">
      <c r="B1907" s="17"/>
      <c r="C1907" s="15"/>
      <c r="D1907" s="15"/>
      <c r="E1907" s="18"/>
    </row>
    <row r="1908" spans="2:5" x14ac:dyDescent="0.4">
      <c r="B1908" s="17"/>
      <c r="C1908" s="15"/>
      <c r="D1908" s="15"/>
      <c r="E1908" s="18"/>
    </row>
    <row r="1909" spans="2:5" x14ac:dyDescent="0.4">
      <c r="B1909" s="17"/>
      <c r="C1909" s="15"/>
      <c r="D1909" s="15"/>
      <c r="E1909" s="18"/>
    </row>
    <row r="1910" spans="2:5" x14ac:dyDescent="0.4">
      <c r="B1910" s="17"/>
      <c r="C1910" s="15"/>
      <c r="D1910" s="15"/>
      <c r="E1910" s="18"/>
    </row>
    <row r="1911" spans="2:5" x14ac:dyDescent="0.4">
      <c r="B1911" s="17"/>
      <c r="C1911" s="15"/>
      <c r="D1911" s="15"/>
      <c r="E1911" s="18"/>
    </row>
    <row r="1912" spans="2:5" x14ac:dyDescent="0.4">
      <c r="B1912" s="17"/>
      <c r="C1912" s="15"/>
      <c r="D1912" s="15"/>
      <c r="E1912" s="18"/>
    </row>
    <row r="1913" spans="2:5" x14ac:dyDescent="0.4">
      <c r="B1913" s="17"/>
      <c r="C1913" s="15"/>
      <c r="D1913" s="15"/>
      <c r="E1913" s="18"/>
    </row>
    <row r="1914" spans="2:5" x14ac:dyDescent="0.4">
      <c r="B1914" s="17"/>
      <c r="C1914" s="15"/>
      <c r="D1914" s="15"/>
      <c r="E1914" s="18"/>
    </row>
    <row r="1915" spans="2:5" x14ac:dyDescent="0.4">
      <c r="B1915" s="17"/>
      <c r="C1915" s="15"/>
      <c r="D1915" s="15"/>
      <c r="E1915" s="18"/>
    </row>
    <row r="1916" spans="2:5" x14ac:dyDescent="0.4">
      <c r="B1916" s="17"/>
      <c r="C1916" s="15"/>
      <c r="D1916" s="15"/>
      <c r="E1916" s="18"/>
    </row>
    <row r="1917" spans="2:5" x14ac:dyDescent="0.4">
      <c r="B1917" s="17"/>
      <c r="C1917" s="15"/>
      <c r="D1917" s="15"/>
      <c r="E1917" s="18"/>
    </row>
    <row r="1918" spans="2:5" x14ac:dyDescent="0.4">
      <c r="B1918" s="17"/>
      <c r="C1918" s="15"/>
      <c r="D1918" s="15"/>
      <c r="E1918" s="18"/>
    </row>
    <row r="1919" spans="2:5" x14ac:dyDescent="0.4">
      <c r="B1919" s="17"/>
      <c r="C1919" s="15"/>
      <c r="D1919" s="15"/>
      <c r="E1919" s="18"/>
    </row>
    <row r="1920" spans="2:5" x14ac:dyDescent="0.4">
      <c r="B1920" s="17"/>
      <c r="C1920" s="15"/>
      <c r="D1920" s="15"/>
      <c r="E1920" s="18"/>
    </row>
    <row r="1921" spans="2:5" x14ac:dyDescent="0.4">
      <c r="B1921" s="17"/>
      <c r="C1921" s="15"/>
      <c r="D1921" s="15"/>
      <c r="E1921" s="18"/>
    </row>
    <row r="1922" spans="2:5" x14ac:dyDescent="0.4">
      <c r="B1922" s="17"/>
      <c r="C1922" s="15"/>
      <c r="D1922" s="15"/>
      <c r="E1922" s="18"/>
    </row>
    <row r="1923" spans="2:5" x14ac:dyDescent="0.4">
      <c r="B1923" s="17"/>
      <c r="C1923" s="15"/>
      <c r="D1923" s="15"/>
      <c r="E1923" s="18"/>
    </row>
    <row r="1924" spans="2:5" x14ac:dyDescent="0.4">
      <c r="B1924" s="17"/>
      <c r="C1924" s="15"/>
      <c r="D1924" s="15"/>
      <c r="E1924" s="18"/>
    </row>
    <row r="1925" spans="2:5" x14ac:dyDescent="0.4">
      <c r="B1925" s="17"/>
      <c r="C1925" s="15"/>
      <c r="D1925" s="15"/>
      <c r="E1925" s="18"/>
    </row>
    <row r="1926" spans="2:5" x14ac:dyDescent="0.4">
      <c r="B1926" s="17"/>
      <c r="C1926" s="15"/>
      <c r="D1926" s="15"/>
      <c r="E1926" s="18"/>
    </row>
    <row r="1927" spans="2:5" x14ac:dyDescent="0.4">
      <c r="B1927" s="17"/>
      <c r="C1927" s="15"/>
      <c r="D1927" s="15"/>
      <c r="E1927" s="18"/>
    </row>
    <row r="1928" spans="2:5" x14ac:dyDescent="0.4">
      <c r="B1928" s="17"/>
      <c r="C1928" s="15"/>
      <c r="D1928" s="15"/>
      <c r="E1928" s="18"/>
    </row>
    <row r="1929" spans="2:5" x14ac:dyDescent="0.4">
      <c r="B1929" s="17"/>
      <c r="C1929" s="15"/>
      <c r="D1929" s="15"/>
      <c r="E1929" s="18"/>
    </row>
    <row r="1930" spans="2:5" x14ac:dyDescent="0.4">
      <c r="B1930" s="17"/>
      <c r="C1930" s="15"/>
      <c r="D1930" s="15"/>
      <c r="E1930" s="18"/>
    </row>
    <row r="1931" spans="2:5" x14ac:dyDescent="0.4">
      <c r="B1931" s="17"/>
      <c r="C1931" s="15"/>
      <c r="D1931" s="15"/>
      <c r="E1931" s="18"/>
    </row>
    <row r="1932" spans="2:5" x14ac:dyDescent="0.4">
      <c r="B1932" s="17"/>
      <c r="C1932" s="15"/>
      <c r="D1932" s="15"/>
      <c r="E1932" s="18"/>
    </row>
    <row r="1933" spans="2:5" x14ac:dyDescent="0.4">
      <c r="B1933" s="17"/>
      <c r="C1933" s="15"/>
      <c r="D1933" s="15"/>
      <c r="E1933" s="18"/>
    </row>
    <row r="1934" spans="2:5" x14ac:dyDescent="0.4">
      <c r="B1934" s="17"/>
      <c r="C1934" s="15"/>
      <c r="D1934" s="15"/>
      <c r="E1934" s="18"/>
    </row>
    <row r="1935" spans="2:5" x14ac:dyDescent="0.4">
      <c r="B1935" s="17"/>
      <c r="C1935" s="15"/>
      <c r="D1935" s="15"/>
      <c r="E1935" s="18"/>
    </row>
    <row r="1936" spans="2:5" x14ac:dyDescent="0.4">
      <c r="B1936" s="17"/>
      <c r="C1936" s="15"/>
      <c r="D1936" s="15"/>
      <c r="E1936" s="18"/>
    </row>
    <row r="1937" spans="2:5" x14ac:dyDescent="0.4">
      <c r="B1937" s="17"/>
      <c r="C1937" s="15"/>
      <c r="D1937" s="15"/>
      <c r="E1937" s="18"/>
    </row>
    <row r="1938" spans="2:5" x14ac:dyDescent="0.4">
      <c r="B1938" s="17"/>
      <c r="C1938" s="15"/>
      <c r="D1938" s="15"/>
      <c r="E1938" s="18"/>
    </row>
    <row r="1939" spans="2:5" x14ac:dyDescent="0.4">
      <c r="B1939" s="17"/>
      <c r="C1939" s="15"/>
      <c r="D1939" s="15"/>
      <c r="E1939" s="18"/>
    </row>
    <row r="1940" spans="2:5" x14ac:dyDescent="0.4">
      <c r="B1940" s="17"/>
      <c r="C1940" s="15"/>
      <c r="D1940" s="15"/>
      <c r="E1940" s="18"/>
    </row>
    <row r="1941" spans="2:5" x14ac:dyDescent="0.4">
      <c r="B1941" s="17"/>
      <c r="C1941" s="15"/>
      <c r="D1941" s="15"/>
      <c r="E1941" s="18"/>
    </row>
    <row r="1942" spans="2:5" x14ac:dyDescent="0.4">
      <c r="B1942" s="17"/>
      <c r="C1942" s="15"/>
      <c r="D1942" s="15"/>
      <c r="E1942" s="18"/>
    </row>
    <row r="1943" spans="2:5" x14ac:dyDescent="0.4">
      <c r="B1943" s="17"/>
      <c r="C1943" s="15"/>
      <c r="D1943" s="15"/>
      <c r="E1943" s="18"/>
    </row>
    <row r="1944" spans="2:5" x14ac:dyDescent="0.4">
      <c r="B1944" s="17"/>
      <c r="C1944" s="15"/>
      <c r="D1944" s="15"/>
      <c r="E1944" s="18"/>
    </row>
    <row r="1945" spans="2:5" x14ac:dyDescent="0.4">
      <c r="B1945" s="17"/>
      <c r="C1945" s="15"/>
      <c r="D1945" s="15"/>
      <c r="E1945" s="18"/>
    </row>
    <row r="1946" spans="2:5" x14ac:dyDescent="0.4">
      <c r="B1946" s="17"/>
      <c r="C1946" s="15"/>
      <c r="D1946" s="15"/>
      <c r="E1946" s="18"/>
    </row>
    <row r="1947" spans="2:5" x14ac:dyDescent="0.4">
      <c r="B1947" s="17"/>
      <c r="C1947" s="15"/>
      <c r="D1947" s="15"/>
      <c r="E1947" s="18"/>
    </row>
    <row r="1948" spans="2:5" x14ac:dyDescent="0.4">
      <c r="B1948" s="17"/>
      <c r="C1948" s="15"/>
      <c r="D1948" s="15"/>
      <c r="E1948" s="18"/>
    </row>
    <row r="1949" spans="2:5" x14ac:dyDescent="0.4">
      <c r="B1949" s="17"/>
      <c r="C1949" s="15"/>
      <c r="D1949" s="15"/>
      <c r="E1949" s="18"/>
    </row>
    <row r="1950" spans="2:5" x14ac:dyDescent="0.4">
      <c r="B1950" s="17"/>
      <c r="C1950" s="15"/>
      <c r="D1950" s="15"/>
      <c r="E1950" s="18"/>
    </row>
    <row r="1951" spans="2:5" x14ac:dyDescent="0.4">
      <c r="B1951" s="17"/>
      <c r="C1951" s="15"/>
      <c r="D1951" s="15"/>
      <c r="E1951" s="18"/>
    </row>
    <row r="1952" spans="2:5" x14ac:dyDescent="0.4">
      <c r="B1952" s="17"/>
      <c r="C1952" s="15"/>
      <c r="D1952" s="15"/>
      <c r="E1952" s="18"/>
    </row>
    <row r="1953" spans="2:5" x14ac:dyDescent="0.4">
      <c r="B1953" s="17"/>
      <c r="C1953" s="15"/>
      <c r="D1953" s="15"/>
      <c r="E1953" s="18"/>
    </row>
    <row r="1954" spans="2:5" x14ac:dyDescent="0.4">
      <c r="B1954" s="17"/>
      <c r="C1954" s="15"/>
      <c r="D1954" s="15"/>
      <c r="E1954" s="18"/>
    </row>
    <row r="1955" spans="2:5" x14ac:dyDescent="0.4">
      <c r="B1955" s="17"/>
      <c r="C1955" s="15"/>
      <c r="D1955" s="15"/>
      <c r="E1955" s="18"/>
    </row>
    <row r="1956" spans="2:5" x14ac:dyDescent="0.4">
      <c r="B1956" s="17"/>
      <c r="C1956" s="15"/>
      <c r="D1956" s="15"/>
      <c r="E1956" s="18"/>
    </row>
    <row r="1957" spans="2:5" x14ac:dyDescent="0.4">
      <c r="B1957" s="17"/>
      <c r="C1957" s="15"/>
      <c r="D1957" s="15"/>
      <c r="E1957" s="18"/>
    </row>
    <row r="1958" spans="2:5" x14ac:dyDescent="0.4">
      <c r="B1958" s="17"/>
      <c r="C1958" s="15"/>
      <c r="D1958" s="15"/>
      <c r="E1958" s="18"/>
    </row>
    <row r="1959" spans="2:5" x14ac:dyDescent="0.4">
      <c r="B1959" s="17"/>
      <c r="C1959" s="15"/>
      <c r="D1959" s="15"/>
      <c r="E1959" s="18"/>
    </row>
    <row r="1960" spans="2:5" x14ac:dyDescent="0.4">
      <c r="B1960" s="17"/>
      <c r="C1960" s="15"/>
      <c r="D1960" s="15"/>
      <c r="E1960" s="18"/>
    </row>
    <row r="1961" spans="2:5" x14ac:dyDescent="0.4">
      <c r="B1961" s="17"/>
      <c r="C1961" s="15"/>
      <c r="D1961" s="15"/>
      <c r="E1961" s="18"/>
    </row>
    <row r="1962" spans="2:5" x14ac:dyDescent="0.4">
      <c r="B1962" s="17"/>
      <c r="C1962" s="15"/>
      <c r="D1962" s="15"/>
      <c r="E1962" s="18"/>
    </row>
    <row r="1963" spans="2:5" x14ac:dyDescent="0.4">
      <c r="B1963" s="17"/>
      <c r="C1963" s="15"/>
      <c r="D1963" s="15"/>
      <c r="E1963" s="18"/>
    </row>
    <row r="1964" spans="2:5" x14ac:dyDescent="0.4">
      <c r="B1964" s="17"/>
      <c r="C1964" s="15"/>
      <c r="D1964" s="15"/>
      <c r="E1964" s="18"/>
    </row>
    <row r="1965" spans="2:5" x14ac:dyDescent="0.4">
      <c r="B1965" s="17"/>
      <c r="C1965" s="15"/>
      <c r="D1965" s="15"/>
      <c r="E1965" s="18"/>
    </row>
    <row r="1966" spans="2:5" x14ac:dyDescent="0.4">
      <c r="B1966" s="17"/>
      <c r="C1966" s="15"/>
      <c r="D1966" s="15"/>
      <c r="E1966" s="18"/>
    </row>
    <row r="1967" spans="2:5" x14ac:dyDescent="0.4">
      <c r="B1967" s="17"/>
      <c r="C1967" s="15"/>
      <c r="D1967" s="15"/>
      <c r="E1967" s="18"/>
    </row>
    <row r="1968" spans="2:5" x14ac:dyDescent="0.4">
      <c r="B1968" s="17"/>
      <c r="C1968" s="15"/>
      <c r="D1968" s="15"/>
      <c r="E1968" s="18"/>
    </row>
    <row r="1969" spans="2:5" x14ac:dyDescent="0.4">
      <c r="B1969" s="17"/>
      <c r="C1969" s="15"/>
      <c r="D1969" s="15"/>
      <c r="E1969" s="18"/>
    </row>
    <row r="1970" spans="2:5" x14ac:dyDescent="0.4">
      <c r="B1970" s="17"/>
      <c r="C1970" s="15"/>
      <c r="D1970" s="15"/>
      <c r="E1970" s="18"/>
    </row>
    <row r="1971" spans="2:5" x14ac:dyDescent="0.4">
      <c r="B1971" s="17"/>
      <c r="C1971" s="15"/>
      <c r="D1971" s="15"/>
      <c r="E1971" s="18"/>
    </row>
    <row r="1972" spans="2:5" x14ac:dyDescent="0.4">
      <c r="B1972" s="17"/>
      <c r="C1972" s="15"/>
      <c r="D1972" s="15"/>
      <c r="E1972" s="18"/>
    </row>
    <row r="1973" spans="2:5" x14ac:dyDescent="0.4">
      <c r="B1973" s="17"/>
      <c r="C1973" s="15"/>
      <c r="D1973" s="15"/>
      <c r="E1973" s="18"/>
    </row>
    <row r="1974" spans="2:5" x14ac:dyDescent="0.4">
      <c r="B1974" s="17"/>
      <c r="C1974" s="15"/>
      <c r="D1974" s="15"/>
      <c r="E1974" s="18"/>
    </row>
    <row r="1975" spans="2:5" x14ac:dyDescent="0.4">
      <c r="B1975" s="17"/>
      <c r="C1975" s="15"/>
      <c r="D1975" s="15"/>
      <c r="E1975" s="18"/>
    </row>
    <row r="1976" spans="2:5" x14ac:dyDescent="0.4">
      <c r="B1976" s="17"/>
      <c r="C1976" s="15"/>
      <c r="D1976" s="15"/>
      <c r="E1976" s="18"/>
    </row>
    <row r="1977" spans="2:5" x14ac:dyDescent="0.4">
      <c r="B1977" s="17"/>
      <c r="C1977" s="15"/>
      <c r="D1977" s="15"/>
      <c r="E1977" s="18"/>
    </row>
    <row r="1978" spans="2:5" x14ac:dyDescent="0.4">
      <c r="B1978" s="17"/>
      <c r="C1978" s="15"/>
      <c r="D1978" s="15"/>
      <c r="E1978" s="18"/>
    </row>
    <row r="1979" spans="2:5" x14ac:dyDescent="0.4">
      <c r="B1979" s="17"/>
      <c r="C1979" s="15"/>
      <c r="D1979" s="15"/>
      <c r="E1979" s="18"/>
    </row>
    <row r="1980" spans="2:5" x14ac:dyDescent="0.4">
      <c r="B1980" s="17"/>
      <c r="C1980" s="15"/>
      <c r="D1980" s="15"/>
      <c r="E1980" s="18"/>
    </row>
    <row r="1981" spans="2:5" x14ac:dyDescent="0.4">
      <c r="B1981" s="17"/>
      <c r="C1981" s="15"/>
      <c r="D1981" s="15"/>
      <c r="E1981" s="18"/>
    </row>
    <row r="1982" spans="2:5" x14ac:dyDescent="0.4">
      <c r="B1982" s="17"/>
      <c r="C1982" s="15"/>
      <c r="D1982" s="15"/>
      <c r="E1982" s="18"/>
    </row>
    <row r="1983" spans="2:5" x14ac:dyDescent="0.4">
      <c r="B1983" s="17"/>
      <c r="C1983" s="15"/>
      <c r="D1983" s="15"/>
      <c r="E1983" s="18"/>
    </row>
    <row r="1984" spans="2:5" x14ac:dyDescent="0.4">
      <c r="B1984" s="17"/>
      <c r="C1984" s="15"/>
      <c r="D1984" s="15"/>
      <c r="E1984" s="18"/>
    </row>
    <row r="1985" spans="2:5" x14ac:dyDescent="0.4">
      <c r="B1985" s="17"/>
      <c r="C1985" s="15"/>
      <c r="D1985" s="15"/>
      <c r="E1985" s="18"/>
    </row>
    <row r="1986" spans="2:5" x14ac:dyDescent="0.4">
      <c r="B1986" s="17"/>
      <c r="C1986" s="15"/>
      <c r="D1986" s="15"/>
      <c r="E1986" s="18"/>
    </row>
    <row r="1987" spans="2:5" x14ac:dyDescent="0.4">
      <c r="B1987" s="17"/>
      <c r="C1987" s="15"/>
      <c r="D1987" s="15"/>
      <c r="E1987" s="18"/>
    </row>
    <row r="1988" spans="2:5" x14ac:dyDescent="0.4">
      <c r="B1988" s="17"/>
      <c r="C1988" s="15"/>
      <c r="D1988" s="15"/>
      <c r="E1988" s="18"/>
    </row>
    <row r="1989" spans="2:5" x14ac:dyDescent="0.4">
      <c r="B1989" s="17"/>
      <c r="C1989" s="15"/>
      <c r="D1989" s="15"/>
      <c r="E1989" s="18"/>
    </row>
    <row r="1990" spans="2:5" x14ac:dyDescent="0.4">
      <c r="B1990" s="17"/>
      <c r="C1990" s="15"/>
      <c r="D1990" s="15"/>
      <c r="E1990" s="18"/>
    </row>
    <row r="1991" spans="2:5" x14ac:dyDescent="0.4">
      <c r="B1991" s="17"/>
      <c r="C1991" s="15"/>
      <c r="D1991" s="15"/>
      <c r="E1991" s="18"/>
    </row>
    <row r="1992" spans="2:5" x14ac:dyDescent="0.4">
      <c r="B1992" s="17"/>
      <c r="C1992" s="15"/>
      <c r="D1992" s="15"/>
      <c r="E1992" s="18"/>
    </row>
    <row r="1993" spans="2:5" x14ac:dyDescent="0.4">
      <c r="B1993" s="17"/>
      <c r="C1993" s="15"/>
      <c r="D1993" s="15"/>
      <c r="E1993" s="18"/>
    </row>
    <row r="1994" spans="2:5" x14ac:dyDescent="0.4">
      <c r="B1994" s="17"/>
      <c r="C1994" s="15"/>
      <c r="D1994" s="15"/>
      <c r="E1994" s="18"/>
    </row>
    <row r="1995" spans="2:5" x14ac:dyDescent="0.4">
      <c r="B1995" s="17"/>
      <c r="C1995" s="15"/>
      <c r="D1995" s="15"/>
      <c r="E1995" s="18"/>
    </row>
    <row r="1996" spans="2:5" x14ac:dyDescent="0.4">
      <c r="B1996" s="17"/>
      <c r="C1996" s="15"/>
      <c r="D1996" s="15"/>
      <c r="E1996" s="18"/>
    </row>
    <row r="1997" spans="2:5" x14ac:dyDescent="0.4">
      <c r="B1997" s="17"/>
      <c r="C1997" s="15"/>
      <c r="D1997" s="15"/>
      <c r="E1997" s="18"/>
    </row>
    <row r="1998" spans="2:5" x14ac:dyDescent="0.4">
      <c r="B1998" s="17"/>
      <c r="C1998" s="15"/>
      <c r="D1998" s="15"/>
      <c r="E1998" s="18"/>
    </row>
    <row r="1999" spans="2:5" x14ac:dyDescent="0.4">
      <c r="B1999" s="17"/>
      <c r="C1999" s="15"/>
      <c r="D1999" s="15"/>
      <c r="E1999" s="18"/>
    </row>
    <row r="2000" spans="2:5" x14ac:dyDescent="0.4">
      <c r="B2000" s="17"/>
      <c r="C2000" s="15"/>
      <c r="D2000" s="15"/>
      <c r="E2000" s="18"/>
    </row>
    <row r="2001" spans="2:5" x14ac:dyDescent="0.4">
      <c r="B2001" s="17"/>
      <c r="C2001" s="15"/>
      <c r="D2001" s="15"/>
      <c r="E2001" s="18"/>
    </row>
    <row r="2002" spans="2:5" x14ac:dyDescent="0.4">
      <c r="B2002" s="17"/>
      <c r="C2002" s="15"/>
      <c r="D2002" s="15"/>
      <c r="E2002" s="18"/>
    </row>
    <row r="2003" spans="2:5" x14ac:dyDescent="0.4">
      <c r="B2003" s="17"/>
      <c r="C2003" s="15"/>
      <c r="D2003" s="15"/>
      <c r="E2003" s="18"/>
    </row>
    <row r="2004" spans="2:5" x14ac:dyDescent="0.4">
      <c r="B2004" s="17"/>
      <c r="C2004" s="15"/>
      <c r="D2004" s="15"/>
      <c r="E2004" s="18"/>
    </row>
    <row r="2005" spans="2:5" x14ac:dyDescent="0.4">
      <c r="B2005" s="17"/>
      <c r="C2005" s="15"/>
      <c r="D2005" s="15"/>
      <c r="E2005" s="18"/>
    </row>
    <row r="2006" spans="2:5" x14ac:dyDescent="0.4">
      <c r="B2006" s="17"/>
      <c r="C2006" s="15"/>
      <c r="D2006" s="15"/>
      <c r="E2006" s="18"/>
    </row>
    <row r="2007" spans="2:5" x14ac:dyDescent="0.4">
      <c r="B2007" s="17"/>
      <c r="C2007" s="15"/>
      <c r="D2007" s="15"/>
      <c r="E2007" s="18"/>
    </row>
    <row r="2008" spans="2:5" x14ac:dyDescent="0.4">
      <c r="B2008" s="17"/>
      <c r="C2008" s="15"/>
      <c r="D2008" s="15"/>
      <c r="E2008" s="18"/>
    </row>
    <row r="2009" spans="2:5" x14ac:dyDescent="0.4">
      <c r="B2009" s="17"/>
      <c r="C2009" s="15"/>
      <c r="D2009" s="15"/>
      <c r="E2009" s="18"/>
    </row>
    <row r="2010" spans="2:5" x14ac:dyDescent="0.4">
      <c r="B2010" s="17"/>
      <c r="C2010" s="15"/>
      <c r="D2010" s="15"/>
      <c r="E2010" s="18"/>
    </row>
    <row r="2011" spans="2:5" x14ac:dyDescent="0.4">
      <c r="B2011" s="17"/>
      <c r="C2011" s="15"/>
      <c r="D2011" s="15"/>
      <c r="E2011" s="18"/>
    </row>
    <row r="2012" spans="2:5" x14ac:dyDescent="0.4">
      <c r="B2012" s="17"/>
      <c r="C2012" s="15"/>
      <c r="D2012" s="15"/>
      <c r="E2012" s="18"/>
    </row>
    <row r="2013" spans="2:5" x14ac:dyDescent="0.4">
      <c r="B2013" s="17"/>
      <c r="C2013" s="15"/>
      <c r="D2013" s="15"/>
      <c r="E2013" s="18"/>
    </row>
    <row r="2014" spans="2:5" x14ac:dyDescent="0.4">
      <c r="B2014" s="17"/>
      <c r="C2014" s="15"/>
      <c r="D2014" s="15"/>
      <c r="E2014" s="18"/>
    </row>
    <row r="2015" spans="2:5" x14ac:dyDescent="0.4">
      <c r="B2015" s="17"/>
      <c r="C2015" s="15"/>
      <c r="D2015" s="15"/>
      <c r="E2015" s="18"/>
    </row>
    <row r="2016" spans="2:5" x14ac:dyDescent="0.4">
      <c r="B2016" s="17"/>
      <c r="C2016" s="15"/>
      <c r="D2016" s="15"/>
      <c r="E2016" s="18"/>
    </row>
    <row r="2017" spans="2:5" x14ac:dyDescent="0.4">
      <c r="B2017" s="17"/>
      <c r="C2017" s="15"/>
      <c r="D2017" s="15"/>
      <c r="E2017" s="18"/>
    </row>
    <row r="2018" spans="2:5" x14ac:dyDescent="0.4">
      <c r="B2018" s="17"/>
      <c r="C2018" s="15"/>
      <c r="D2018" s="15"/>
      <c r="E2018" s="18"/>
    </row>
    <row r="2019" spans="2:5" x14ac:dyDescent="0.4">
      <c r="B2019" s="17"/>
      <c r="C2019" s="15"/>
      <c r="D2019" s="15"/>
      <c r="E2019" s="18"/>
    </row>
    <row r="2020" spans="2:5" x14ac:dyDescent="0.4">
      <c r="B2020" s="17"/>
      <c r="C2020" s="15"/>
      <c r="D2020" s="15"/>
      <c r="E2020" s="18"/>
    </row>
    <row r="2021" spans="2:5" x14ac:dyDescent="0.4">
      <c r="B2021" s="17"/>
      <c r="C2021" s="15"/>
      <c r="D2021" s="15"/>
      <c r="E2021" s="18"/>
    </row>
    <row r="2022" spans="2:5" x14ac:dyDescent="0.4">
      <c r="B2022" s="17"/>
      <c r="C2022" s="15"/>
      <c r="D2022" s="15"/>
      <c r="E2022" s="18"/>
    </row>
    <row r="2023" spans="2:5" x14ac:dyDescent="0.4">
      <c r="B2023" s="17"/>
      <c r="C2023" s="15"/>
      <c r="D2023" s="15"/>
      <c r="E2023" s="18"/>
    </row>
    <row r="2024" spans="2:5" x14ac:dyDescent="0.4">
      <c r="B2024" s="17"/>
      <c r="C2024" s="15"/>
      <c r="D2024" s="15"/>
      <c r="E2024" s="18"/>
    </row>
    <row r="2025" spans="2:5" x14ac:dyDescent="0.4">
      <c r="B2025" s="17"/>
      <c r="C2025" s="15"/>
      <c r="D2025" s="15"/>
      <c r="E2025" s="18"/>
    </row>
    <row r="2026" spans="2:5" x14ac:dyDescent="0.4">
      <c r="B2026" s="17"/>
      <c r="C2026" s="15"/>
      <c r="D2026" s="15"/>
      <c r="E2026" s="18"/>
    </row>
    <row r="2027" spans="2:5" x14ac:dyDescent="0.4">
      <c r="B2027" s="17"/>
      <c r="C2027" s="15"/>
      <c r="D2027" s="15"/>
      <c r="E2027" s="18"/>
    </row>
    <row r="2028" spans="2:5" x14ac:dyDescent="0.4">
      <c r="B2028" s="17"/>
      <c r="C2028" s="15"/>
      <c r="D2028" s="15"/>
      <c r="E2028" s="18"/>
    </row>
    <row r="2029" spans="2:5" x14ac:dyDescent="0.4">
      <c r="B2029" s="17"/>
      <c r="C2029" s="15"/>
      <c r="D2029" s="15"/>
      <c r="E2029" s="18"/>
    </row>
    <row r="2030" spans="2:5" x14ac:dyDescent="0.4">
      <c r="B2030" s="17"/>
      <c r="C2030" s="15"/>
      <c r="D2030" s="15"/>
      <c r="E2030" s="18"/>
    </row>
    <row r="2031" spans="2:5" x14ac:dyDescent="0.4">
      <c r="B2031" s="17"/>
      <c r="C2031" s="15"/>
      <c r="D2031" s="15"/>
      <c r="E2031" s="18"/>
    </row>
    <row r="2032" spans="2:5" x14ac:dyDescent="0.4">
      <c r="B2032" s="17"/>
      <c r="C2032" s="15"/>
      <c r="D2032" s="15"/>
      <c r="E2032" s="18"/>
    </row>
    <row r="2033" spans="2:5" x14ac:dyDescent="0.4">
      <c r="B2033" s="17"/>
      <c r="C2033" s="15"/>
      <c r="D2033" s="15"/>
      <c r="E2033" s="18"/>
    </row>
    <row r="2034" spans="2:5" x14ac:dyDescent="0.4">
      <c r="B2034" s="17"/>
      <c r="C2034" s="15"/>
      <c r="D2034" s="15"/>
      <c r="E2034" s="18"/>
    </row>
    <row r="2035" spans="2:5" x14ac:dyDescent="0.4">
      <c r="B2035" s="17"/>
      <c r="C2035" s="15"/>
      <c r="D2035" s="15"/>
      <c r="E2035" s="18"/>
    </row>
    <row r="2036" spans="2:5" x14ac:dyDescent="0.4">
      <c r="B2036" s="17"/>
      <c r="C2036" s="15"/>
      <c r="D2036" s="15"/>
      <c r="E2036" s="18"/>
    </row>
    <row r="2037" spans="2:5" x14ac:dyDescent="0.4">
      <c r="B2037" s="17"/>
      <c r="C2037" s="15"/>
      <c r="D2037" s="15"/>
      <c r="E2037" s="18"/>
    </row>
    <row r="2038" spans="2:5" x14ac:dyDescent="0.4">
      <c r="B2038" s="17"/>
      <c r="C2038" s="15"/>
      <c r="D2038" s="15"/>
      <c r="E2038" s="18"/>
    </row>
    <row r="2039" spans="2:5" x14ac:dyDescent="0.4">
      <c r="B2039" s="17"/>
      <c r="C2039" s="15"/>
      <c r="D2039" s="15"/>
      <c r="E2039" s="18"/>
    </row>
    <row r="2040" spans="2:5" x14ac:dyDescent="0.4">
      <c r="B2040" s="17"/>
      <c r="C2040" s="15"/>
      <c r="D2040" s="15"/>
      <c r="E2040" s="18"/>
    </row>
    <row r="2041" spans="2:5" x14ac:dyDescent="0.4">
      <c r="B2041" s="17"/>
      <c r="C2041" s="15"/>
      <c r="D2041" s="15"/>
      <c r="E2041" s="18"/>
    </row>
    <row r="2042" spans="2:5" x14ac:dyDescent="0.4">
      <c r="B2042" s="17"/>
      <c r="C2042" s="15"/>
      <c r="D2042" s="15"/>
      <c r="E2042" s="18"/>
    </row>
    <row r="2043" spans="2:5" x14ac:dyDescent="0.4">
      <c r="B2043" s="17"/>
      <c r="C2043" s="15"/>
      <c r="D2043" s="15"/>
      <c r="E2043" s="18"/>
    </row>
    <row r="2044" spans="2:5" x14ac:dyDescent="0.4">
      <c r="B2044" s="17"/>
      <c r="C2044" s="15"/>
      <c r="D2044" s="15"/>
      <c r="E2044" s="18"/>
    </row>
    <row r="2045" spans="2:5" x14ac:dyDescent="0.4">
      <c r="B2045" s="17"/>
      <c r="C2045" s="15"/>
      <c r="D2045" s="15"/>
      <c r="E2045" s="18"/>
    </row>
    <row r="2046" spans="2:5" x14ac:dyDescent="0.4">
      <c r="B2046" s="17"/>
      <c r="C2046" s="15"/>
      <c r="D2046" s="15"/>
      <c r="E2046" s="18"/>
    </row>
    <row r="2047" spans="2:5" x14ac:dyDescent="0.4">
      <c r="B2047" s="17"/>
      <c r="C2047" s="15"/>
      <c r="D2047" s="15"/>
      <c r="E2047" s="18"/>
    </row>
    <row r="2048" spans="2:5" x14ac:dyDescent="0.4">
      <c r="B2048" s="17"/>
      <c r="C2048" s="15"/>
      <c r="D2048" s="15"/>
      <c r="E2048" s="18"/>
    </row>
    <row r="2049" spans="2:5" x14ac:dyDescent="0.4">
      <c r="B2049" s="17"/>
      <c r="C2049" s="15"/>
      <c r="D2049" s="15"/>
      <c r="E2049" s="18"/>
    </row>
    <row r="2050" spans="2:5" x14ac:dyDescent="0.4">
      <c r="B2050" s="17"/>
      <c r="C2050" s="15"/>
      <c r="D2050" s="15"/>
      <c r="E2050" s="18"/>
    </row>
    <row r="2051" spans="2:5" x14ac:dyDescent="0.4">
      <c r="B2051" s="17"/>
      <c r="C2051" s="15"/>
      <c r="D2051" s="15"/>
      <c r="E2051" s="18"/>
    </row>
    <row r="2052" spans="2:5" x14ac:dyDescent="0.4">
      <c r="B2052" s="17"/>
      <c r="C2052" s="15"/>
      <c r="D2052" s="15"/>
      <c r="E2052" s="18"/>
    </row>
    <row r="2053" spans="2:5" x14ac:dyDescent="0.4">
      <c r="B2053" s="17"/>
      <c r="C2053" s="15"/>
      <c r="D2053" s="15"/>
      <c r="E2053" s="18"/>
    </row>
    <row r="2054" spans="2:5" x14ac:dyDescent="0.4">
      <c r="B2054" s="17"/>
      <c r="C2054" s="15"/>
      <c r="D2054" s="15"/>
      <c r="E2054" s="18"/>
    </row>
    <row r="2055" spans="2:5" x14ac:dyDescent="0.4">
      <c r="B2055" s="17"/>
      <c r="C2055" s="15"/>
      <c r="D2055" s="15"/>
      <c r="E2055" s="18"/>
    </row>
    <row r="2056" spans="2:5" x14ac:dyDescent="0.4">
      <c r="B2056" s="17"/>
      <c r="C2056" s="15"/>
      <c r="D2056" s="15"/>
      <c r="E2056" s="18"/>
    </row>
    <row r="2057" spans="2:5" x14ac:dyDescent="0.4">
      <c r="B2057" s="17"/>
      <c r="C2057" s="15"/>
      <c r="D2057" s="15"/>
      <c r="E2057" s="18"/>
    </row>
    <row r="2058" spans="2:5" x14ac:dyDescent="0.4">
      <c r="B2058" s="17"/>
      <c r="C2058" s="15"/>
      <c r="D2058" s="15"/>
      <c r="E2058" s="18"/>
    </row>
    <row r="2059" spans="2:5" x14ac:dyDescent="0.4">
      <c r="B2059" s="17"/>
      <c r="C2059" s="15"/>
      <c r="D2059" s="15"/>
      <c r="E2059" s="18"/>
    </row>
    <row r="2060" spans="2:5" x14ac:dyDescent="0.4">
      <c r="B2060" s="17"/>
      <c r="C2060" s="15"/>
      <c r="D2060" s="15"/>
      <c r="E2060" s="18"/>
    </row>
    <row r="2061" spans="2:5" x14ac:dyDescent="0.4">
      <c r="B2061" s="17"/>
      <c r="C2061" s="15"/>
      <c r="D2061" s="15"/>
      <c r="E2061" s="18"/>
    </row>
    <row r="2062" spans="2:5" x14ac:dyDescent="0.4">
      <c r="B2062" s="17"/>
      <c r="C2062" s="15"/>
      <c r="D2062" s="15"/>
      <c r="E2062" s="18"/>
    </row>
    <row r="2063" spans="2:5" x14ac:dyDescent="0.4">
      <c r="B2063" s="17"/>
      <c r="C2063" s="15"/>
      <c r="D2063" s="15"/>
      <c r="E2063" s="18"/>
    </row>
    <row r="2064" spans="2:5" x14ac:dyDescent="0.4">
      <c r="B2064" s="17"/>
      <c r="C2064" s="15"/>
      <c r="D2064" s="15"/>
      <c r="E2064" s="18"/>
    </row>
    <row r="2065" spans="2:5" x14ac:dyDescent="0.4">
      <c r="B2065" s="17"/>
      <c r="C2065" s="15"/>
      <c r="D2065" s="15"/>
      <c r="E2065" s="18"/>
    </row>
    <row r="2066" spans="2:5" x14ac:dyDescent="0.4">
      <c r="B2066" s="17"/>
      <c r="C2066" s="15"/>
      <c r="D2066" s="15"/>
      <c r="E2066" s="18"/>
    </row>
    <row r="2067" spans="2:5" x14ac:dyDescent="0.4">
      <c r="B2067" s="17"/>
      <c r="C2067" s="15"/>
      <c r="D2067" s="15"/>
      <c r="E2067" s="18"/>
    </row>
    <row r="2068" spans="2:5" x14ac:dyDescent="0.4">
      <c r="B2068" s="17"/>
      <c r="C2068" s="15"/>
      <c r="D2068" s="15"/>
      <c r="E2068" s="18"/>
    </row>
    <row r="2069" spans="2:5" x14ac:dyDescent="0.4">
      <c r="B2069" s="17"/>
      <c r="C2069" s="15"/>
      <c r="D2069" s="15"/>
      <c r="E2069" s="18"/>
    </row>
    <row r="2070" spans="2:5" x14ac:dyDescent="0.4">
      <c r="B2070" s="17"/>
      <c r="C2070" s="15"/>
      <c r="D2070" s="15"/>
      <c r="E2070" s="18"/>
    </row>
    <row r="2071" spans="2:5" x14ac:dyDescent="0.4">
      <c r="B2071" s="17"/>
      <c r="C2071" s="15"/>
      <c r="D2071" s="15"/>
      <c r="E2071" s="18"/>
    </row>
    <row r="2072" spans="2:5" x14ac:dyDescent="0.4">
      <c r="B2072" s="17"/>
      <c r="C2072" s="15"/>
      <c r="D2072" s="15"/>
      <c r="E2072" s="18"/>
    </row>
    <row r="2073" spans="2:5" x14ac:dyDescent="0.4">
      <c r="B2073" s="17"/>
      <c r="C2073" s="15"/>
      <c r="D2073" s="15"/>
      <c r="E2073" s="18"/>
    </row>
    <row r="2074" spans="2:5" x14ac:dyDescent="0.4">
      <c r="B2074" s="17"/>
      <c r="C2074" s="15"/>
      <c r="D2074" s="15"/>
      <c r="E2074" s="18"/>
    </row>
    <row r="2075" spans="2:5" x14ac:dyDescent="0.4">
      <c r="B2075" s="17"/>
      <c r="C2075" s="15"/>
      <c r="D2075" s="15"/>
      <c r="E2075" s="18"/>
    </row>
    <row r="2076" spans="2:5" x14ac:dyDescent="0.4">
      <c r="B2076" s="17"/>
      <c r="C2076" s="15"/>
      <c r="D2076" s="15"/>
      <c r="E2076" s="18"/>
    </row>
    <row r="2077" spans="2:5" x14ac:dyDescent="0.4">
      <c r="B2077" s="17"/>
      <c r="C2077" s="15"/>
      <c r="D2077" s="15"/>
      <c r="E2077" s="18"/>
    </row>
    <row r="2078" spans="2:5" x14ac:dyDescent="0.4">
      <c r="B2078" s="17"/>
      <c r="C2078" s="15"/>
      <c r="D2078" s="15"/>
      <c r="E2078" s="18"/>
    </row>
    <row r="2079" spans="2:5" x14ac:dyDescent="0.4">
      <c r="B2079" s="17"/>
      <c r="C2079" s="15"/>
      <c r="D2079" s="15"/>
      <c r="E2079" s="18"/>
    </row>
    <row r="2080" spans="2:5" x14ac:dyDescent="0.4">
      <c r="B2080" s="17"/>
      <c r="C2080" s="15"/>
      <c r="D2080" s="15"/>
      <c r="E2080" s="18"/>
    </row>
    <row r="2081" spans="2:5" x14ac:dyDescent="0.4">
      <c r="B2081" s="17"/>
      <c r="C2081" s="15"/>
      <c r="D2081" s="15"/>
      <c r="E2081" s="18"/>
    </row>
    <row r="2082" spans="2:5" x14ac:dyDescent="0.4">
      <c r="B2082" s="17"/>
      <c r="C2082" s="15"/>
      <c r="D2082" s="15"/>
      <c r="E2082" s="18"/>
    </row>
    <row r="2083" spans="2:5" x14ac:dyDescent="0.4">
      <c r="B2083" s="17"/>
      <c r="C2083" s="15"/>
      <c r="D2083" s="15"/>
      <c r="E2083" s="18"/>
    </row>
    <row r="2084" spans="2:5" x14ac:dyDescent="0.4">
      <c r="B2084" s="17"/>
      <c r="C2084" s="15"/>
      <c r="D2084" s="15"/>
      <c r="E2084" s="18"/>
    </row>
    <row r="2085" spans="2:5" x14ac:dyDescent="0.4">
      <c r="B2085" s="17"/>
      <c r="C2085" s="15"/>
      <c r="D2085" s="15"/>
      <c r="E2085" s="18"/>
    </row>
    <row r="2086" spans="2:5" x14ac:dyDescent="0.4">
      <c r="B2086" s="17"/>
      <c r="C2086" s="15"/>
      <c r="D2086" s="15"/>
      <c r="E2086" s="18"/>
    </row>
    <row r="2087" spans="2:5" x14ac:dyDescent="0.4">
      <c r="B2087" s="17"/>
      <c r="C2087" s="15"/>
      <c r="D2087" s="15"/>
      <c r="E2087" s="18"/>
    </row>
    <row r="2088" spans="2:5" x14ac:dyDescent="0.4">
      <c r="B2088" s="17"/>
      <c r="C2088" s="15"/>
      <c r="D2088" s="15"/>
      <c r="E2088" s="18"/>
    </row>
    <row r="2089" spans="2:5" x14ac:dyDescent="0.4">
      <c r="B2089" s="17"/>
      <c r="C2089" s="15"/>
      <c r="D2089" s="15"/>
      <c r="E2089" s="18"/>
    </row>
    <row r="2090" spans="2:5" x14ac:dyDescent="0.4">
      <c r="B2090" s="17"/>
      <c r="C2090" s="15"/>
      <c r="D2090" s="15"/>
      <c r="E2090" s="18"/>
    </row>
    <row r="2091" spans="2:5" x14ac:dyDescent="0.4">
      <c r="B2091" s="17"/>
      <c r="C2091" s="15"/>
      <c r="D2091" s="15"/>
      <c r="E2091" s="18"/>
    </row>
    <row r="2092" spans="2:5" x14ac:dyDescent="0.4">
      <c r="B2092" s="17"/>
      <c r="C2092" s="15"/>
      <c r="D2092" s="15"/>
      <c r="E2092" s="18"/>
    </row>
    <row r="2093" spans="2:5" x14ac:dyDescent="0.4">
      <c r="B2093" s="17"/>
      <c r="C2093" s="15"/>
      <c r="D2093" s="15"/>
      <c r="E2093" s="18"/>
    </row>
    <row r="2094" spans="2:5" x14ac:dyDescent="0.4">
      <c r="B2094" s="17"/>
      <c r="C2094" s="15"/>
      <c r="D2094" s="15"/>
      <c r="E2094" s="18"/>
    </row>
    <row r="2095" spans="2:5" x14ac:dyDescent="0.4">
      <c r="B2095" s="17"/>
      <c r="C2095" s="15"/>
      <c r="D2095" s="15"/>
      <c r="E2095" s="18"/>
    </row>
    <row r="2096" spans="2:5" x14ac:dyDescent="0.4">
      <c r="B2096" s="17"/>
      <c r="C2096" s="15"/>
      <c r="D2096" s="15"/>
      <c r="E2096" s="18"/>
    </row>
    <row r="2097" spans="2:5" x14ac:dyDescent="0.4">
      <c r="B2097" s="17"/>
      <c r="C2097" s="15"/>
      <c r="D2097" s="15"/>
      <c r="E2097" s="18"/>
    </row>
    <row r="2098" spans="2:5" x14ac:dyDescent="0.4">
      <c r="B2098" s="17"/>
      <c r="C2098" s="15"/>
      <c r="D2098" s="15"/>
      <c r="E2098" s="18"/>
    </row>
    <row r="2099" spans="2:5" x14ac:dyDescent="0.4">
      <c r="B2099" s="17"/>
      <c r="C2099" s="15"/>
      <c r="D2099" s="15"/>
      <c r="E2099" s="18"/>
    </row>
    <row r="2100" spans="2:5" x14ac:dyDescent="0.4">
      <c r="B2100" s="17"/>
      <c r="C2100" s="15"/>
      <c r="D2100" s="15"/>
      <c r="E2100" s="18"/>
    </row>
    <row r="2101" spans="2:5" x14ac:dyDescent="0.4">
      <c r="B2101" s="17"/>
      <c r="C2101" s="15"/>
      <c r="D2101" s="15"/>
      <c r="E2101" s="18"/>
    </row>
    <row r="2102" spans="2:5" x14ac:dyDescent="0.4">
      <c r="B2102" s="17"/>
      <c r="C2102" s="15"/>
      <c r="D2102" s="15"/>
      <c r="E2102" s="18"/>
    </row>
    <row r="2103" spans="2:5" x14ac:dyDescent="0.4">
      <c r="B2103" s="17"/>
      <c r="C2103" s="15"/>
      <c r="D2103" s="15"/>
      <c r="E2103" s="18"/>
    </row>
    <row r="2104" spans="2:5" x14ac:dyDescent="0.4">
      <c r="B2104" s="17"/>
      <c r="C2104" s="15"/>
      <c r="D2104" s="15"/>
      <c r="E2104" s="18"/>
    </row>
    <row r="2105" spans="2:5" x14ac:dyDescent="0.4">
      <c r="B2105" s="17"/>
      <c r="C2105" s="15"/>
      <c r="D2105" s="15"/>
      <c r="E2105" s="18"/>
    </row>
    <row r="2106" spans="2:5" x14ac:dyDescent="0.4">
      <c r="B2106" s="17"/>
      <c r="C2106" s="15"/>
      <c r="D2106" s="15"/>
      <c r="E2106" s="18"/>
    </row>
    <row r="2107" spans="2:5" x14ac:dyDescent="0.4">
      <c r="B2107" s="17"/>
      <c r="C2107" s="15"/>
      <c r="D2107" s="15"/>
      <c r="E2107" s="18"/>
    </row>
    <row r="2108" spans="2:5" x14ac:dyDescent="0.4">
      <c r="B2108" s="17"/>
      <c r="C2108" s="15"/>
      <c r="D2108" s="15"/>
      <c r="E2108" s="18"/>
    </row>
    <row r="2109" spans="2:5" x14ac:dyDescent="0.4">
      <c r="B2109" s="17"/>
      <c r="C2109" s="15"/>
      <c r="D2109" s="15"/>
      <c r="E2109" s="18"/>
    </row>
    <row r="2110" spans="2:5" x14ac:dyDescent="0.4">
      <c r="B2110" s="17"/>
      <c r="C2110" s="15"/>
      <c r="D2110" s="15"/>
      <c r="E2110" s="18"/>
    </row>
    <row r="2111" spans="2:5" x14ac:dyDescent="0.4">
      <c r="B2111" s="17"/>
      <c r="C2111" s="15"/>
      <c r="D2111" s="15"/>
      <c r="E2111" s="18"/>
    </row>
    <row r="2112" spans="2:5" x14ac:dyDescent="0.4">
      <c r="B2112" s="17"/>
      <c r="C2112" s="15"/>
      <c r="D2112" s="15"/>
      <c r="E2112" s="18"/>
    </row>
    <row r="2113" spans="2:5" x14ac:dyDescent="0.4">
      <c r="B2113" s="17"/>
      <c r="C2113" s="15"/>
      <c r="D2113" s="15"/>
      <c r="E2113" s="18"/>
    </row>
    <row r="2114" spans="2:5" x14ac:dyDescent="0.4">
      <c r="B2114" s="17"/>
      <c r="C2114" s="15"/>
      <c r="D2114" s="15"/>
      <c r="E2114" s="18"/>
    </row>
    <row r="2115" spans="2:5" x14ac:dyDescent="0.4">
      <c r="B2115" s="17"/>
      <c r="C2115" s="15"/>
      <c r="D2115" s="15"/>
      <c r="E2115" s="18"/>
    </row>
    <row r="2116" spans="2:5" x14ac:dyDescent="0.4">
      <c r="B2116" s="17"/>
      <c r="C2116" s="15"/>
      <c r="D2116" s="15"/>
      <c r="E2116" s="18"/>
    </row>
    <row r="2117" spans="2:5" x14ac:dyDescent="0.4">
      <c r="B2117" s="17"/>
      <c r="C2117" s="15"/>
      <c r="D2117" s="15"/>
      <c r="E2117" s="18"/>
    </row>
    <row r="2118" spans="2:5" x14ac:dyDescent="0.4">
      <c r="B2118" s="17"/>
      <c r="C2118" s="15"/>
      <c r="D2118" s="15"/>
      <c r="E2118" s="18"/>
    </row>
    <row r="2119" spans="2:5" x14ac:dyDescent="0.4">
      <c r="B2119" s="17"/>
      <c r="C2119" s="15"/>
      <c r="D2119" s="15"/>
      <c r="E2119" s="18"/>
    </row>
    <row r="2120" spans="2:5" x14ac:dyDescent="0.4">
      <c r="B2120" s="17"/>
      <c r="C2120" s="15"/>
      <c r="D2120" s="15"/>
      <c r="E2120" s="18"/>
    </row>
    <row r="2121" spans="2:5" x14ac:dyDescent="0.4">
      <c r="B2121" s="17"/>
      <c r="C2121" s="15"/>
      <c r="D2121" s="15"/>
      <c r="E2121" s="18"/>
    </row>
    <row r="2122" spans="2:5" x14ac:dyDescent="0.4">
      <c r="B2122" s="17"/>
      <c r="C2122" s="15"/>
      <c r="D2122" s="15"/>
      <c r="E2122" s="18"/>
    </row>
    <row r="2123" spans="2:5" x14ac:dyDescent="0.4">
      <c r="B2123" s="17"/>
      <c r="C2123" s="15"/>
      <c r="D2123" s="15"/>
      <c r="E2123" s="18"/>
    </row>
    <row r="2124" spans="2:5" x14ac:dyDescent="0.4">
      <c r="B2124" s="17"/>
      <c r="C2124" s="15"/>
      <c r="D2124" s="15"/>
      <c r="E2124" s="18"/>
    </row>
    <row r="2125" spans="2:5" x14ac:dyDescent="0.4">
      <c r="B2125" s="17"/>
      <c r="C2125" s="15"/>
      <c r="D2125" s="15"/>
      <c r="E2125" s="18"/>
    </row>
    <row r="2126" spans="2:5" x14ac:dyDescent="0.4">
      <c r="B2126" s="17"/>
      <c r="C2126" s="15"/>
      <c r="D2126" s="15"/>
      <c r="E2126" s="18"/>
    </row>
    <row r="2127" spans="2:5" x14ac:dyDescent="0.4">
      <c r="B2127" s="17"/>
      <c r="C2127" s="15"/>
      <c r="D2127" s="15"/>
      <c r="E2127" s="18"/>
    </row>
    <row r="2128" spans="2:5" x14ac:dyDescent="0.4">
      <c r="B2128" s="17"/>
      <c r="C2128" s="15"/>
      <c r="D2128" s="15"/>
      <c r="E2128" s="18"/>
    </row>
    <row r="2129" spans="2:5" x14ac:dyDescent="0.4">
      <c r="B2129" s="17"/>
      <c r="C2129" s="15"/>
      <c r="D2129" s="15"/>
      <c r="E2129" s="18"/>
    </row>
    <row r="2130" spans="2:5" x14ac:dyDescent="0.4">
      <c r="B2130" s="17"/>
      <c r="C2130" s="15"/>
      <c r="D2130" s="15"/>
      <c r="E2130" s="18"/>
    </row>
    <row r="2131" spans="2:5" x14ac:dyDescent="0.4">
      <c r="B2131" s="17"/>
      <c r="C2131" s="15"/>
      <c r="D2131" s="15"/>
      <c r="E2131" s="18"/>
    </row>
    <row r="2132" spans="2:5" x14ac:dyDescent="0.4">
      <c r="B2132" s="17"/>
      <c r="C2132" s="15"/>
      <c r="D2132" s="15"/>
      <c r="E2132" s="18"/>
    </row>
    <row r="2133" spans="2:5" x14ac:dyDescent="0.4">
      <c r="B2133" s="17"/>
      <c r="C2133" s="15"/>
      <c r="D2133" s="15"/>
      <c r="E2133" s="18"/>
    </row>
    <row r="2134" spans="2:5" x14ac:dyDescent="0.4">
      <c r="B2134" s="17"/>
      <c r="C2134" s="15"/>
      <c r="D2134" s="15"/>
      <c r="E2134" s="18"/>
    </row>
    <row r="2135" spans="2:5" x14ac:dyDescent="0.4">
      <c r="B2135" s="17"/>
      <c r="C2135" s="15"/>
      <c r="D2135" s="15"/>
      <c r="E2135" s="18"/>
    </row>
    <row r="2136" spans="2:5" x14ac:dyDescent="0.4">
      <c r="B2136" s="17"/>
      <c r="C2136" s="15"/>
      <c r="D2136" s="15"/>
      <c r="E2136" s="18"/>
    </row>
    <row r="2137" spans="2:5" x14ac:dyDescent="0.4">
      <c r="B2137" s="17"/>
      <c r="C2137" s="15"/>
      <c r="D2137" s="15"/>
      <c r="E2137" s="18"/>
    </row>
    <row r="2138" spans="2:5" x14ac:dyDescent="0.4">
      <c r="B2138" s="17"/>
      <c r="C2138" s="15"/>
      <c r="D2138" s="15"/>
      <c r="E2138" s="18"/>
    </row>
    <row r="2139" spans="2:5" x14ac:dyDescent="0.4">
      <c r="B2139" s="17"/>
      <c r="C2139" s="15"/>
      <c r="D2139" s="15"/>
      <c r="E2139" s="18"/>
    </row>
    <row r="2140" spans="2:5" x14ac:dyDescent="0.4">
      <c r="B2140" s="17"/>
      <c r="C2140" s="15"/>
      <c r="D2140" s="15"/>
      <c r="E2140" s="18"/>
    </row>
    <row r="2141" spans="2:5" x14ac:dyDescent="0.4">
      <c r="B2141" s="17"/>
      <c r="C2141" s="15"/>
      <c r="D2141" s="15"/>
      <c r="E2141" s="18"/>
    </row>
    <row r="2142" spans="2:5" x14ac:dyDescent="0.4">
      <c r="B2142" s="17"/>
      <c r="C2142" s="15"/>
      <c r="D2142" s="15"/>
      <c r="E2142" s="18"/>
    </row>
    <row r="2143" spans="2:5" x14ac:dyDescent="0.4">
      <c r="B2143" s="17"/>
      <c r="C2143" s="15"/>
      <c r="D2143" s="15"/>
      <c r="E2143" s="18"/>
    </row>
    <row r="2144" spans="2:5" x14ac:dyDescent="0.4">
      <c r="B2144" s="17"/>
      <c r="C2144" s="15"/>
      <c r="D2144" s="15"/>
      <c r="E2144" s="18"/>
    </row>
    <row r="2145" spans="2:5" x14ac:dyDescent="0.4">
      <c r="B2145" s="17"/>
      <c r="C2145" s="15"/>
      <c r="D2145" s="15"/>
      <c r="E2145" s="18"/>
    </row>
    <row r="2146" spans="2:5" x14ac:dyDescent="0.4">
      <c r="B2146" s="17"/>
      <c r="C2146" s="15"/>
      <c r="D2146" s="15"/>
      <c r="E2146" s="18"/>
    </row>
    <row r="2147" spans="2:5" x14ac:dyDescent="0.4">
      <c r="B2147" s="17"/>
      <c r="C2147" s="15"/>
      <c r="D2147" s="15"/>
      <c r="E2147" s="18"/>
    </row>
    <row r="2148" spans="2:5" x14ac:dyDescent="0.4">
      <c r="B2148" s="17"/>
      <c r="C2148" s="15"/>
      <c r="D2148" s="15"/>
      <c r="E2148" s="18"/>
    </row>
    <row r="2149" spans="2:5" x14ac:dyDescent="0.4">
      <c r="B2149" s="17"/>
      <c r="C2149" s="15"/>
      <c r="D2149" s="15"/>
      <c r="E2149" s="18"/>
    </row>
    <row r="2150" spans="2:5" x14ac:dyDescent="0.4">
      <c r="B2150" s="17"/>
      <c r="C2150" s="15"/>
      <c r="D2150" s="15"/>
      <c r="E2150" s="18"/>
    </row>
    <row r="2151" spans="2:5" x14ac:dyDescent="0.4">
      <c r="B2151" s="17"/>
      <c r="C2151" s="15"/>
      <c r="D2151" s="15"/>
      <c r="E2151" s="18"/>
    </row>
    <row r="2152" spans="2:5" x14ac:dyDescent="0.4">
      <c r="B2152" s="17"/>
      <c r="C2152" s="15"/>
      <c r="D2152" s="15"/>
      <c r="E2152" s="18"/>
    </row>
    <row r="2153" spans="2:5" x14ac:dyDescent="0.4">
      <c r="B2153" s="17"/>
      <c r="C2153" s="15"/>
      <c r="D2153" s="15"/>
      <c r="E2153" s="18"/>
    </row>
    <row r="2154" spans="2:5" x14ac:dyDescent="0.4">
      <c r="B2154" s="17"/>
      <c r="C2154" s="15"/>
      <c r="D2154" s="15"/>
      <c r="E2154" s="18"/>
    </row>
    <row r="2155" spans="2:5" x14ac:dyDescent="0.4">
      <c r="B2155" s="17"/>
      <c r="C2155" s="15"/>
      <c r="D2155" s="15"/>
      <c r="E2155" s="18"/>
    </row>
    <row r="2156" spans="2:5" x14ac:dyDescent="0.4">
      <c r="B2156" s="17"/>
      <c r="C2156" s="15"/>
      <c r="D2156" s="15"/>
      <c r="E2156" s="18"/>
    </row>
    <row r="2157" spans="2:5" x14ac:dyDescent="0.4">
      <c r="B2157" s="17"/>
      <c r="C2157" s="15"/>
      <c r="D2157" s="15"/>
      <c r="E2157" s="18"/>
    </row>
    <row r="2158" spans="2:5" x14ac:dyDescent="0.4">
      <c r="B2158" s="17"/>
      <c r="C2158" s="15"/>
      <c r="D2158" s="15"/>
      <c r="E2158" s="18"/>
    </row>
    <row r="2159" spans="2:5" x14ac:dyDescent="0.4">
      <c r="B2159" s="17"/>
      <c r="C2159" s="15"/>
      <c r="D2159" s="15"/>
      <c r="E2159" s="18"/>
    </row>
    <row r="2160" spans="2:5" x14ac:dyDescent="0.4">
      <c r="B2160" s="17"/>
      <c r="C2160" s="15"/>
      <c r="D2160" s="15"/>
      <c r="E2160" s="18"/>
    </row>
    <row r="2161" spans="2:5" x14ac:dyDescent="0.4">
      <c r="B2161" s="17"/>
      <c r="C2161" s="15"/>
      <c r="D2161" s="15"/>
      <c r="E2161" s="18"/>
    </row>
    <row r="2162" spans="2:5" x14ac:dyDescent="0.4">
      <c r="B2162" s="17"/>
      <c r="C2162" s="15"/>
      <c r="D2162" s="15"/>
      <c r="E2162" s="18"/>
    </row>
    <row r="2163" spans="2:5" x14ac:dyDescent="0.4">
      <c r="B2163" s="17"/>
      <c r="C2163" s="15"/>
      <c r="D2163" s="15"/>
      <c r="E2163" s="18"/>
    </row>
    <row r="2164" spans="2:5" x14ac:dyDescent="0.4">
      <c r="B2164" s="17"/>
      <c r="C2164" s="15"/>
      <c r="D2164" s="15"/>
      <c r="E2164" s="18"/>
    </row>
    <row r="2165" spans="2:5" x14ac:dyDescent="0.4">
      <c r="B2165" s="17"/>
      <c r="C2165" s="15"/>
      <c r="D2165" s="15"/>
      <c r="E2165" s="18"/>
    </row>
    <row r="2166" spans="2:5" x14ac:dyDescent="0.4">
      <c r="B2166" s="17"/>
      <c r="C2166" s="15"/>
      <c r="D2166" s="15"/>
      <c r="E2166" s="18"/>
    </row>
    <row r="2167" spans="2:5" x14ac:dyDescent="0.4">
      <c r="B2167" s="17"/>
      <c r="C2167" s="15"/>
      <c r="D2167" s="15"/>
      <c r="E2167" s="18"/>
    </row>
    <row r="2168" spans="2:5" x14ac:dyDescent="0.4">
      <c r="B2168" s="17"/>
      <c r="C2168" s="15"/>
      <c r="D2168" s="15"/>
      <c r="E2168" s="18"/>
    </row>
    <row r="2169" spans="2:5" x14ac:dyDescent="0.4">
      <c r="B2169" s="17"/>
      <c r="C2169" s="15"/>
      <c r="D2169" s="15"/>
      <c r="E2169" s="18"/>
    </row>
    <row r="2170" spans="2:5" x14ac:dyDescent="0.4">
      <c r="B2170" s="17"/>
      <c r="C2170" s="15"/>
      <c r="D2170" s="15"/>
      <c r="E2170" s="18"/>
    </row>
    <row r="2171" spans="2:5" x14ac:dyDescent="0.4">
      <c r="B2171" s="17"/>
      <c r="C2171" s="15"/>
      <c r="D2171" s="15"/>
      <c r="E2171" s="18"/>
    </row>
    <row r="2172" spans="2:5" x14ac:dyDescent="0.4">
      <c r="B2172" s="17"/>
      <c r="C2172" s="15"/>
      <c r="D2172" s="15"/>
      <c r="E2172" s="18"/>
    </row>
    <row r="2173" spans="2:5" x14ac:dyDescent="0.4">
      <c r="B2173" s="17"/>
      <c r="C2173" s="15"/>
      <c r="D2173" s="15"/>
      <c r="E2173" s="18"/>
    </row>
    <row r="2174" spans="2:5" x14ac:dyDescent="0.4">
      <c r="B2174" s="17"/>
      <c r="C2174" s="15"/>
      <c r="D2174" s="15"/>
      <c r="E2174" s="18"/>
    </row>
    <row r="2175" spans="2:5" x14ac:dyDescent="0.4">
      <c r="B2175" s="17"/>
      <c r="C2175" s="15"/>
      <c r="D2175" s="15"/>
      <c r="E2175" s="18"/>
    </row>
    <row r="2176" spans="2:5" x14ac:dyDescent="0.4">
      <c r="B2176" s="17"/>
      <c r="C2176" s="15"/>
      <c r="D2176" s="15"/>
      <c r="E2176" s="18"/>
    </row>
    <row r="2177" spans="2:5" x14ac:dyDescent="0.4">
      <c r="B2177" s="17"/>
      <c r="C2177" s="15"/>
      <c r="D2177" s="15"/>
      <c r="E2177" s="18"/>
    </row>
    <row r="2178" spans="2:5" x14ac:dyDescent="0.4">
      <c r="B2178" s="17"/>
      <c r="C2178" s="15"/>
      <c r="D2178" s="15"/>
      <c r="E2178" s="18"/>
    </row>
    <row r="2179" spans="2:5" x14ac:dyDescent="0.4">
      <c r="B2179" s="17"/>
      <c r="C2179" s="15"/>
      <c r="D2179" s="15"/>
      <c r="E2179" s="18"/>
    </row>
    <row r="2180" spans="2:5" x14ac:dyDescent="0.4">
      <c r="B2180" s="17"/>
      <c r="C2180" s="15"/>
      <c r="D2180" s="15"/>
      <c r="E2180" s="18"/>
    </row>
    <row r="2181" spans="2:5" x14ac:dyDescent="0.4">
      <c r="B2181" s="17"/>
      <c r="C2181" s="15"/>
      <c r="D2181" s="15"/>
      <c r="E2181" s="18"/>
    </row>
    <row r="2182" spans="2:5" x14ac:dyDescent="0.4">
      <c r="B2182" s="17"/>
      <c r="C2182" s="15"/>
      <c r="D2182" s="15"/>
      <c r="E2182" s="18"/>
    </row>
    <row r="2183" spans="2:5" x14ac:dyDescent="0.4">
      <c r="B2183" s="17"/>
      <c r="C2183" s="15"/>
      <c r="D2183" s="15"/>
      <c r="E2183" s="18"/>
    </row>
    <row r="2184" spans="2:5" x14ac:dyDescent="0.4">
      <c r="B2184" s="17"/>
      <c r="C2184" s="15"/>
      <c r="D2184" s="15"/>
      <c r="E2184" s="18"/>
    </row>
    <row r="2185" spans="2:5" x14ac:dyDescent="0.4">
      <c r="B2185" s="17"/>
      <c r="C2185" s="15"/>
      <c r="D2185" s="15"/>
      <c r="E2185" s="18"/>
    </row>
    <row r="2186" spans="2:5" x14ac:dyDescent="0.4">
      <c r="B2186" s="17"/>
      <c r="C2186" s="15"/>
      <c r="D2186" s="15"/>
      <c r="E2186" s="18"/>
    </row>
    <row r="2187" spans="2:5" x14ac:dyDescent="0.4">
      <c r="B2187" s="17"/>
      <c r="C2187" s="15"/>
      <c r="D2187" s="15"/>
      <c r="E2187" s="18"/>
    </row>
    <row r="2188" spans="2:5" x14ac:dyDescent="0.4">
      <c r="B2188" s="17"/>
      <c r="C2188" s="15"/>
      <c r="D2188" s="15"/>
      <c r="E2188" s="18"/>
    </row>
    <row r="2189" spans="2:5" x14ac:dyDescent="0.4">
      <c r="B2189" s="17"/>
      <c r="C2189" s="15"/>
      <c r="D2189" s="15"/>
      <c r="E2189" s="18"/>
    </row>
    <row r="2190" spans="2:5" x14ac:dyDescent="0.4">
      <c r="B2190" s="17"/>
      <c r="C2190" s="15"/>
      <c r="D2190" s="15"/>
      <c r="E2190" s="18"/>
    </row>
    <row r="2191" spans="2:5" x14ac:dyDescent="0.4">
      <c r="B2191" s="17"/>
      <c r="C2191" s="15"/>
      <c r="D2191" s="15"/>
      <c r="E2191" s="18"/>
    </row>
    <row r="2192" spans="2:5" x14ac:dyDescent="0.4">
      <c r="B2192" s="17"/>
      <c r="C2192" s="15"/>
      <c r="D2192" s="15"/>
      <c r="E2192" s="18"/>
    </row>
    <row r="2193" spans="2:5" x14ac:dyDescent="0.4">
      <c r="B2193" s="17"/>
      <c r="C2193" s="15"/>
      <c r="D2193" s="15"/>
      <c r="E2193" s="18"/>
    </row>
    <row r="2194" spans="2:5" x14ac:dyDescent="0.4">
      <c r="B2194" s="17"/>
      <c r="C2194" s="15"/>
      <c r="D2194" s="15"/>
      <c r="E2194" s="18"/>
    </row>
    <row r="2195" spans="2:5" x14ac:dyDescent="0.4">
      <c r="B2195" s="17"/>
      <c r="C2195" s="15"/>
      <c r="D2195" s="15"/>
      <c r="E2195" s="18"/>
    </row>
    <row r="2196" spans="2:5" x14ac:dyDescent="0.4">
      <c r="B2196" s="17"/>
      <c r="C2196" s="15"/>
      <c r="D2196" s="15"/>
      <c r="E2196" s="18"/>
    </row>
    <row r="2197" spans="2:5" x14ac:dyDescent="0.4">
      <c r="B2197" s="17"/>
      <c r="C2197" s="15"/>
      <c r="D2197" s="15"/>
      <c r="E2197" s="18"/>
    </row>
    <row r="2198" spans="2:5" x14ac:dyDescent="0.4">
      <c r="B2198" s="17"/>
      <c r="C2198" s="15"/>
      <c r="D2198" s="15"/>
      <c r="E2198" s="18"/>
    </row>
    <row r="2199" spans="2:5" x14ac:dyDescent="0.4">
      <c r="B2199" s="17"/>
      <c r="C2199" s="15"/>
      <c r="D2199" s="15"/>
      <c r="E2199" s="18"/>
    </row>
    <row r="2200" spans="2:5" x14ac:dyDescent="0.4">
      <c r="B2200" s="17"/>
      <c r="C2200" s="15"/>
      <c r="D2200" s="15"/>
      <c r="E2200" s="18"/>
    </row>
    <row r="2201" spans="2:5" x14ac:dyDescent="0.4">
      <c r="B2201" s="17"/>
      <c r="C2201" s="15"/>
      <c r="D2201" s="15"/>
      <c r="E2201" s="18"/>
    </row>
    <row r="2202" spans="2:5" x14ac:dyDescent="0.4">
      <c r="B2202" s="17"/>
      <c r="C2202" s="15"/>
      <c r="D2202" s="15"/>
      <c r="E2202" s="18"/>
    </row>
    <row r="2203" spans="2:5" x14ac:dyDescent="0.4">
      <c r="B2203" s="17"/>
      <c r="C2203" s="15"/>
      <c r="D2203" s="15"/>
      <c r="E2203" s="18"/>
    </row>
    <row r="2204" spans="2:5" x14ac:dyDescent="0.4">
      <c r="B2204" s="17"/>
      <c r="C2204" s="15"/>
      <c r="D2204" s="15"/>
      <c r="E2204" s="18"/>
    </row>
    <row r="2205" spans="2:5" x14ac:dyDescent="0.4">
      <c r="B2205" s="17"/>
      <c r="C2205" s="15"/>
      <c r="D2205" s="15"/>
      <c r="E2205" s="18"/>
    </row>
    <row r="2206" spans="2:5" x14ac:dyDescent="0.4">
      <c r="B2206" s="17"/>
      <c r="C2206" s="15"/>
      <c r="D2206" s="15"/>
      <c r="E2206" s="18"/>
    </row>
    <row r="2207" spans="2:5" x14ac:dyDescent="0.4">
      <c r="B2207" s="17"/>
      <c r="C2207" s="15"/>
      <c r="D2207" s="15"/>
      <c r="E2207" s="18"/>
    </row>
    <row r="2208" spans="2:5" x14ac:dyDescent="0.4">
      <c r="B2208" s="17"/>
      <c r="C2208" s="15"/>
      <c r="D2208" s="15"/>
      <c r="E2208" s="18"/>
    </row>
    <row r="2209" spans="2:5" x14ac:dyDescent="0.4">
      <c r="B2209" s="17"/>
      <c r="C2209" s="15"/>
      <c r="D2209" s="15"/>
      <c r="E2209" s="18"/>
    </row>
    <row r="2210" spans="2:5" x14ac:dyDescent="0.4">
      <c r="B2210" s="17"/>
      <c r="C2210" s="15"/>
      <c r="D2210" s="15"/>
      <c r="E2210" s="18"/>
    </row>
    <row r="2211" spans="2:5" x14ac:dyDescent="0.4">
      <c r="B2211" s="17"/>
      <c r="C2211" s="15"/>
      <c r="D2211" s="15"/>
      <c r="E2211" s="18"/>
    </row>
    <row r="2212" spans="2:5" x14ac:dyDescent="0.4">
      <c r="B2212" s="17"/>
      <c r="C2212" s="15"/>
      <c r="D2212" s="15"/>
      <c r="E2212" s="18"/>
    </row>
    <row r="2213" spans="2:5" x14ac:dyDescent="0.4">
      <c r="B2213" s="17"/>
      <c r="C2213" s="15"/>
      <c r="D2213" s="15"/>
      <c r="E2213" s="18"/>
    </row>
    <row r="2214" spans="2:5" x14ac:dyDescent="0.4">
      <c r="B2214" s="17"/>
      <c r="C2214" s="15"/>
      <c r="D2214" s="15"/>
      <c r="E2214" s="18"/>
    </row>
    <row r="2215" spans="2:5" x14ac:dyDescent="0.4">
      <c r="B2215" s="17"/>
      <c r="C2215" s="15"/>
      <c r="D2215" s="15"/>
      <c r="E2215" s="18"/>
    </row>
    <row r="2216" spans="2:5" x14ac:dyDescent="0.4">
      <c r="B2216" s="17"/>
      <c r="C2216" s="15"/>
      <c r="D2216" s="15"/>
      <c r="E2216" s="18"/>
    </row>
    <row r="2217" spans="2:5" x14ac:dyDescent="0.4">
      <c r="B2217" s="17"/>
      <c r="C2217" s="15"/>
      <c r="D2217" s="15"/>
      <c r="E2217" s="18"/>
    </row>
    <row r="2218" spans="2:5" x14ac:dyDescent="0.4">
      <c r="B2218" s="17"/>
      <c r="C2218" s="15"/>
      <c r="D2218" s="15"/>
      <c r="E2218" s="18"/>
    </row>
    <row r="2219" spans="2:5" x14ac:dyDescent="0.4">
      <c r="B2219" s="17"/>
      <c r="C2219" s="15"/>
      <c r="D2219" s="15"/>
      <c r="E2219" s="18"/>
    </row>
    <row r="2220" spans="2:5" x14ac:dyDescent="0.4">
      <c r="B2220" s="17"/>
      <c r="C2220" s="15"/>
      <c r="D2220" s="15"/>
      <c r="E2220" s="18"/>
    </row>
    <row r="2221" spans="2:5" x14ac:dyDescent="0.4">
      <c r="B2221" s="17"/>
      <c r="C2221" s="15"/>
      <c r="D2221" s="15"/>
      <c r="E2221" s="18"/>
    </row>
    <row r="2222" spans="2:5" x14ac:dyDescent="0.4">
      <c r="B2222" s="17"/>
      <c r="C2222" s="15"/>
      <c r="D2222" s="15"/>
      <c r="E2222" s="18"/>
    </row>
    <row r="2223" spans="2:5" x14ac:dyDescent="0.4">
      <c r="B2223" s="17"/>
      <c r="C2223" s="15"/>
      <c r="D2223" s="15"/>
      <c r="E2223" s="18"/>
    </row>
    <row r="2224" spans="2:5" x14ac:dyDescent="0.4">
      <c r="B2224" s="17"/>
      <c r="C2224" s="15"/>
      <c r="D2224" s="15"/>
      <c r="E2224" s="18"/>
    </row>
    <row r="2225" spans="2:5" x14ac:dyDescent="0.4">
      <c r="B2225" s="17"/>
      <c r="C2225" s="15"/>
      <c r="D2225" s="15"/>
      <c r="E2225" s="18"/>
    </row>
    <row r="2226" spans="2:5" x14ac:dyDescent="0.4">
      <c r="B2226" s="17"/>
      <c r="C2226" s="15"/>
      <c r="D2226" s="15"/>
      <c r="E2226" s="18"/>
    </row>
    <row r="2227" spans="2:5" x14ac:dyDescent="0.4">
      <c r="B2227" s="17"/>
      <c r="C2227" s="15"/>
      <c r="D2227" s="15"/>
      <c r="E2227" s="18"/>
    </row>
    <row r="2228" spans="2:5" x14ac:dyDescent="0.4">
      <c r="B2228" s="17"/>
      <c r="C2228" s="15"/>
      <c r="D2228" s="15"/>
      <c r="E2228" s="18"/>
    </row>
    <row r="2229" spans="2:5" x14ac:dyDescent="0.4">
      <c r="B2229" s="17"/>
      <c r="C2229" s="15"/>
      <c r="D2229" s="15"/>
      <c r="E2229" s="18"/>
    </row>
    <row r="2230" spans="2:5" x14ac:dyDescent="0.4">
      <c r="B2230" s="17"/>
      <c r="C2230" s="15"/>
      <c r="D2230" s="15"/>
      <c r="E2230" s="18"/>
    </row>
    <row r="2231" spans="2:5" x14ac:dyDescent="0.4">
      <c r="B2231" s="17"/>
      <c r="C2231" s="15"/>
      <c r="D2231" s="15"/>
      <c r="E2231" s="18"/>
    </row>
    <row r="2232" spans="2:5" x14ac:dyDescent="0.4">
      <c r="B2232" s="17"/>
      <c r="C2232" s="15"/>
      <c r="D2232" s="15"/>
      <c r="E2232" s="18"/>
    </row>
    <row r="2233" spans="2:5" x14ac:dyDescent="0.4">
      <c r="B2233" s="17"/>
      <c r="C2233" s="15"/>
      <c r="D2233" s="15"/>
      <c r="E2233" s="18"/>
    </row>
    <row r="2234" spans="2:5" x14ac:dyDescent="0.4">
      <c r="B2234" s="17"/>
      <c r="C2234" s="15"/>
      <c r="D2234" s="15"/>
      <c r="E2234" s="18"/>
    </row>
    <row r="2235" spans="2:5" x14ac:dyDescent="0.4">
      <c r="B2235" s="17"/>
      <c r="C2235" s="15"/>
      <c r="D2235" s="15"/>
      <c r="E2235" s="18"/>
    </row>
    <row r="2236" spans="2:5" x14ac:dyDescent="0.4">
      <c r="B2236" s="17"/>
      <c r="C2236" s="15"/>
      <c r="D2236" s="15"/>
      <c r="E2236" s="18"/>
    </row>
    <row r="2237" spans="2:5" x14ac:dyDescent="0.4">
      <c r="B2237" s="17"/>
      <c r="C2237" s="15"/>
      <c r="D2237" s="15"/>
      <c r="E2237" s="18"/>
    </row>
    <row r="2238" spans="2:5" x14ac:dyDescent="0.4">
      <c r="B2238" s="17"/>
      <c r="C2238" s="15"/>
      <c r="D2238" s="15"/>
      <c r="E2238" s="18"/>
    </row>
    <row r="2239" spans="2:5" x14ac:dyDescent="0.4">
      <c r="B2239" s="17"/>
      <c r="C2239" s="15"/>
      <c r="D2239" s="15"/>
      <c r="E2239" s="18"/>
    </row>
    <row r="2240" spans="2:5" x14ac:dyDescent="0.4">
      <c r="B2240" s="17"/>
      <c r="C2240" s="15"/>
      <c r="D2240" s="15"/>
      <c r="E2240" s="18"/>
    </row>
    <row r="2241" spans="2:5" x14ac:dyDescent="0.4">
      <c r="B2241" s="17"/>
      <c r="C2241" s="15"/>
      <c r="D2241" s="15"/>
      <c r="E2241" s="18"/>
    </row>
    <row r="2242" spans="2:5" x14ac:dyDescent="0.4">
      <c r="B2242" s="17"/>
      <c r="C2242" s="15"/>
      <c r="D2242" s="15"/>
      <c r="E2242" s="18"/>
    </row>
    <row r="2243" spans="2:5" x14ac:dyDescent="0.4">
      <c r="B2243" s="17"/>
      <c r="C2243" s="15"/>
      <c r="D2243" s="15"/>
      <c r="E2243" s="18"/>
    </row>
    <row r="2244" spans="2:5" x14ac:dyDescent="0.4">
      <c r="B2244" s="17"/>
      <c r="C2244" s="15"/>
      <c r="D2244" s="15"/>
      <c r="E2244" s="18"/>
    </row>
    <row r="2245" spans="2:5" x14ac:dyDescent="0.4">
      <c r="B2245" s="17"/>
      <c r="C2245" s="15"/>
      <c r="D2245" s="15"/>
      <c r="E2245" s="18"/>
    </row>
    <row r="2246" spans="2:5" x14ac:dyDescent="0.4">
      <c r="B2246" s="17"/>
      <c r="C2246" s="15"/>
      <c r="D2246" s="15"/>
      <c r="E2246" s="18"/>
    </row>
    <row r="2247" spans="2:5" x14ac:dyDescent="0.4">
      <c r="B2247" s="17"/>
      <c r="C2247" s="15"/>
      <c r="D2247" s="15"/>
      <c r="E2247" s="18"/>
    </row>
    <row r="2248" spans="2:5" x14ac:dyDescent="0.4">
      <c r="B2248" s="17"/>
      <c r="C2248" s="15"/>
      <c r="D2248" s="15"/>
      <c r="E2248" s="18"/>
    </row>
    <row r="2249" spans="2:5" x14ac:dyDescent="0.4">
      <c r="B2249" s="17"/>
      <c r="C2249" s="15"/>
      <c r="D2249" s="15"/>
      <c r="E2249" s="18"/>
    </row>
    <row r="2250" spans="2:5" x14ac:dyDescent="0.4">
      <c r="B2250" s="17"/>
      <c r="C2250" s="15"/>
      <c r="D2250" s="15"/>
      <c r="E2250" s="18"/>
    </row>
    <row r="2251" spans="2:5" x14ac:dyDescent="0.4">
      <c r="B2251" s="17"/>
      <c r="C2251" s="15"/>
      <c r="D2251" s="15"/>
      <c r="E2251" s="18"/>
    </row>
    <row r="2252" spans="2:5" x14ac:dyDescent="0.4">
      <c r="B2252" s="17"/>
      <c r="C2252" s="15"/>
      <c r="D2252" s="15"/>
      <c r="E2252" s="18"/>
    </row>
    <row r="2253" spans="2:5" x14ac:dyDescent="0.4">
      <c r="B2253" s="17"/>
      <c r="C2253" s="15"/>
      <c r="D2253" s="15"/>
      <c r="E2253" s="18"/>
    </row>
    <row r="2254" spans="2:5" x14ac:dyDescent="0.4">
      <c r="B2254" s="17"/>
      <c r="C2254" s="15"/>
      <c r="D2254" s="15"/>
      <c r="E2254" s="18"/>
    </row>
    <row r="2255" spans="2:5" x14ac:dyDescent="0.4">
      <c r="B2255" s="17"/>
      <c r="C2255" s="15"/>
      <c r="D2255" s="15"/>
      <c r="E2255" s="18"/>
    </row>
    <row r="2256" spans="2:5" x14ac:dyDescent="0.4">
      <c r="B2256" s="17"/>
      <c r="C2256" s="15"/>
      <c r="D2256" s="15"/>
      <c r="E2256" s="18"/>
    </row>
    <row r="2257" spans="2:5" x14ac:dyDescent="0.4">
      <c r="B2257" s="17"/>
      <c r="C2257" s="15"/>
      <c r="D2257" s="15"/>
      <c r="E2257" s="18"/>
    </row>
    <row r="2258" spans="2:5" x14ac:dyDescent="0.4">
      <c r="B2258" s="17"/>
      <c r="C2258" s="15"/>
      <c r="D2258" s="15"/>
      <c r="E2258" s="18"/>
    </row>
    <row r="2259" spans="2:5" x14ac:dyDescent="0.4">
      <c r="B2259" s="17"/>
      <c r="C2259" s="15"/>
      <c r="D2259" s="15"/>
      <c r="E2259" s="18"/>
    </row>
    <row r="2260" spans="2:5" x14ac:dyDescent="0.4">
      <c r="B2260" s="17"/>
      <c r="C2260" s="15"/>
      <c r="D2260" s="15"/>
      <c r="E2260" s="18"/>
    </row>
    <row r="2261" spans="2:5" x14ac:dyDescent="0.4">
      <c r="B2261" s="17"/>
      <c r="C2261" s="15"/>
      <c r="D2261" s="15"/>
      <c r="E2261" s="18"/>
    </row>
    <row r="2262" spans="2:5" x14ac:dyDescent="0.4">
      <c r="B2262" s="17"/>
      <c r="C2262" s="15"/>
      <c r="D2262" s="15"/>
      <c r="E2262" s="18"/>
    </row>
    <row r="2263" spans="2:5" x14ac:dyDescent="0.4">
      <c r="B2263" s="17"/>
      <c r="C2263" s="15"/>
      <c r="D2263" s="15"/>
      <c r="E2263" s="18"/>
    </row>
    <row r="2264" spans="2:5" x14ac:dyDescent="0.4">
      <c r="B2264" s="17"/>
      <c r="C2264" s="15"/>
      <c r="D2264" s="15"/>
      <c r="E2264" s="18"/>
    </row>
    <row r="2265" spans="2:5" x14ac:dyDescent="0.4">
      <c r="B2265" s="17"/>
      <c r="C2265" s="15"/>
      <c r="D2265" s="15"/>
      <c r="E2265" s="18"/>
    </row>
    <row r="2266" spans="2:5" x14ac:dyDescent="0.4">
      <c r="B2266" s="17"/>
      <c r="C2266" s="15"/>
      <c r="D2266" s="15"/>
      <c r="E2266" s="18"/>
    </row>
    <row r="2267" spans="2:5" x14ac:dyDescent="0.4">
      <c r="B2267" s="17"/>
      <c r="C2267" s="15"/>
      <c r="D2267" s="15"/>
      <c r="E2267" s="18"/>
    </row>
    <row r="2268" spans="2:5" x14ac:dyDescent="0.4">
      <c r="B2268" s="17"/>
      <c r="C2268" s="15"/>
      <c r="D2268" s="15"/>
      <c r="E2268" s="18"/>
    </row>
    <row r="2269" spans="2:5" x14ac:dyDescent="0.4">
      <c r="B2269" s="17"/>
      <c r="C2269" s="15"/>
      <c r="D2269" s="15"/>
      <c r="E2269" s="18"/>
    </row>
    <row r="2270" spans="2:5" x14ac:dyDescent="0.4">
      <c r="B2270" s="17"/>
      <c r="C2270" s="15"/>
      <c r="D2270" s="15"/>
      <c r="E2270" s="18"/>
    </row>
    <row r="2271" spans="2:5" x14ac:dyDescent="0.4">
      <c r="B2271" s="17"/>
      <c r="C2271" s="15"/>
      <c r="D2271" s="15"/>
      <c r="E2271" s="18"/>
    </row>
    <row r="2272" spans="2:5" x14ac:dyDescent="0.4">
      <c r="B2272" s="17"/>
      <c r="C2272" s="15"/>
      <c r="D2272" s="15"/>
      <c r="E2272" s="18"/>
    </row>
    <row r="2273" spans="2:5" x14ac:dyDescent="0.4">
      <c r="B2273" s="17"/>
      <c r="C2273" s="15"/>
      <c r="D2273" s="15"/>
      <c r="E2273" s="18"/>
    </row>
    <row r="2274" spans="2:5" x14ac:dyDescent="0.4">
      <c r="B2274" s="17"/>
      <c r="C2274" s="15"/>
      <c r="D2274" s="15"/>
      <c r="E2274" s="18"/>
    </row>
    <row r="2275" spans="2:5" x14ac:dyDescent="0.4">
      <c r="B2275" s="17"/>
      <c r="C2275" s="15"/>
      <c r="D2275" s="15"/>
      <c r="E2275" s="18"/>
    </row>
    <row r="2276" spans="2:5" x14ac:dyDescent="0.4">
      <c r="B2276" s="17"/>
      <c r="C2276" s="15"/>
      <c r="D2276" s="15"/>
      <c r="E2276" s="18"/>
    </row>
    <row r="2277" spans="2:5" x14ac:dyDescent="0.4">
      <c r="B2277" s="17"/>
      <c r="C2277" s="15"/>
      <c r="D2277" s="15"/>
      <c r="E2277" s="18"/>
    </row>
    <row r="2278" spans="2:5" x14ac:dyDescent="0.4">
      <c r="B2278" s="17"/>
      <c r="C2278" s="15"/>
      <c r="D2278" s="15"/>
      <c r="E2278" s="18"/>
    </row>
    <row r="2279" spans="2:5" x14ac:dyDescent="0.4">
      <c r="B2279" s="17"/>
      <c r="C2279" s="15"/>
      <c r="D2279" s="15"/>
      <c r="E2279" s="18"/>
    </row>
    <row r="2280" spans="2:5" x14ac:dyDescent="0.4">
      <c r="B2280" s="17"/>
      <c r="C2280" s="15"/>
      <c r="D2280" s="15"/>
      <c r="E2280" s="18"/>
    </row>
    <row r="2281" spans="2:5" x14ac:dyDescent="0.4">
      <c r="B2281" s="17"/>
      <c r="C2281" s="15"/>
      <c r="D2281" s="15"/>
      <c r="E2281" s="18"/>
    </row>
    <row r="2282" spans="2:5" x14ac:dyDescent="0.4">
      <c r="B2282" s="17"/>
      <c r="C2282" s="15"/>
      <c r="D2282" s="15"/>
      <c r="E2282" s="18"/>
    </row>
    <row r="2283" spans="2:5" x14ac:dyDescent="0.4">
      <c r="B2283" s="17"/>
      <c r="C2283" s="15"/>
      <c r="D2283" s="15"/>
      <c r="E2283" s="18"/>
    </row>
    <row r="2284" spans="2:5" x14ac:dyDescent="0.4">
      <c r="B2284" s="17"/>
      <c r="C2284" s="15"/>
      <c r="D2284" s="15"/>
      <c r="E2284" s="18"/>
    </row>
    <row r="2285" spans="2:5" x14ac:dyDescent="0.4">
      <c r="B2285" s="17"/>
      <c r="C2285" s="15"/>
      <c r="D2285" s="15"/>
      <c r="E2285" s="18"/>
    </row>
    <row r="2286" spans="2:5" x14ac:dyDescent="0.4">
      <c r="B2286" s="17"/>
      <c r="C2286" s="15"/>
      <c r="D2286" s="15"/>
      <c r="E2286" s="18"/>
    </row>
    <row r="2287" spans="2:5" x14ac:dyDescent="0.4">
      <c r="B2287" s="17"/>
      <c r="C2287" s="15"/>
      <c r="D2287" s="15"/>
      <c r="E2287" s="18"/>
    </row>
    <row r="2288" spans="2:5" x14ac:dyDescent="0.4">
      <c r="B2288" s="17"/>
      <c r="C2288" s="15"/>
      <c r="D2288" s="15"/>
      <c r="E2288" s="18"/>
    </row>
    <row r="2289" spans="2:5" x14ac:dyDescent="0.4">
      <c r="B2289" s="17"/>
      <c r="C2289" s="15"/>
      <c r="D2289" s="15"/>
      <c r="E2289" s="18"/>
    </row>
    <row r="2290" spans="2:5" x14ac:dyDescent="0.4">
      <c r="B2290" s="17"/>
      <c r="C2290" s="15"/>
      <c r="D2290" s="15"/>
      <c r="E2290" s="18"/>
    </row>
    <row r="2291" spans="2:5" x14ac:dyDescent="0.4">
      <c r="B2291" s="17"/>
      <c r="C2291" s="15"/>
      <c r="D2291" s="15"/>
      <c r="E2291" s="18"/>
    </row>
    <row r="2292" spans="2:5" x14ac:dyDescent="0.4">
      <c r="B2292" s="17"/>
      <c r="C2292" s="15"/>
      <c r="D2292" s="15"/>
      <c r="E2292" s="18"/>
    </row>
    <row r="2293" spans="2:5" x14ac:dyDescent="0.4">
      <c r="B2293" s="17"/>
      <c r="C2293" s="15"/>
      <c r="D2293" s="15"/>
      <c r="E2293" s="18"/>
    </row>
    <row r="2294" spans="2:5" x14ac:dyDescent="0.4">
      <c r="B2294" s="17"/>
      <c r="C2294" s="15"/>
      <c r="D2294" s="15"/>
      <c r="E2294" s="18"/>
    </row>
    <row r="2295" spans="2:5" x14ac:dyDescent="0.4">
      <c r="B2295" s="17"/>
      <c r="C2295" s="15"/>
      <c r="D2295" s="15"/>
      <c r="E2295" s="18"/>
    </row>
    <row r="2296" spans="2:5" x14ac:dyDescent="0.4">
      <c r="B2296" s="17"/>
      <c r="C2296" s="15"/>
      <c r="D2296" s="15"/>
      <c r="E2296" s="18"/>
    </row>
    <row r="2297" spans="2:5" x14ac:dyDescent="0.4">
      <c r="B2297" s="17"/>
      <c r="C2297" s="15"/>
      <c r="D2297" s="15"/>
      <c r="E2297" s="18"/>
    </row>
    <row r="2298" spans="2:5" x14ac:dyDescent="0.4">
      <c r="B2298" s="17"/>
      <c r="C2298" s="15"/>
      <c r="D2298" s="15"/>
      <c r="E2298" s="18"/>
    </row>
    <row r="2299" spans="2:5" x14ac:dyDescent="0.4">
      <c r="B2299" s="17"/>
      <c r="C2299" s="15"/>
      <c r="D2299" s="15"/>
      <c r="E2299" s="18"/>
    </row>
    <row r="2300" spans="2:5" x14ac:dyDescent="0.4">
      <c r="B2300" s="17"/>
      <c r="C2300" s="15"/>
      <c r="D2300" s="15"/>
      <c r="E2300" s="18"/>
    </row>
    <row r="2301" spans="2:5" x14ac:dyDescent="0.4">
      <c r="B2301" s="17"/>
      <c r="C2301" s="15"/>
      <c r="D2301" s="15"/>
      <c r="E2301" s="18"/>
    </row>
    <row r="2302" spans="2:5" x14ac:dyDescent="0.4">
      <c r="B2302" s="17"/>
      <c r="C2302" s="15"/>
      <c r="D2302" s="15"/>
      <c r="E2302" s="18"/>
    </row>
    <row r="2303" spans="2:5" x14ac:dyDescent="0.4">
      <c r="B2303" s="17"/>
      <c r="C2303" s="15"/>
      <c r="D2303" s="15"/>
      <c r="E2303" s="18"/>
    </row>
    <row r="2304" spans="2:5" x14ac:dyDescent="0.4">
      <c r="B2304" s="17"/>
      <c r="C2304" s="15"/>
      <c r="D2304" s="15"/>
      <c r="E2304" s="18"/>
    </row>
    <row r="2305" spans="2:5" x14ac:dyDescent="0.4">
      <c r="B2305" s="17"/>
      <c r="C2305" s="15"/>
      <c r="D2305" s="15"/>
      <c r="E2305" s="18"/>
    </row>
    <row r="2306" spans="2:5" x14ac:dyDescent="0.4">
      <c r="B2306" s="17"/>
      <c r="C2306" s="15"/>
      <c r="D2306" s="15"/>
      <c r="E2306" s="18"/>
    </row>
    <row r="2307" spans="2:5" x14ac:dyDescent="0.4">
      <c r="B2307" s="17"/>
      <c r="C2307" s="15"/>
      <c r="D2307" s="15"/>
      <c r="E2307" s="18"/>
    </row>
    <row r="2308" spans="2:5" x14ac:dyDescent="0.4">
      <c r="B2308" s="17"/>
      <c r="C2308" s="15"/>
      <c r="D2308" s="15"/>
      <c r="E2308" s="18"/>
    </row>
    <row r="2309" spans="2:5" x14ac:dyDescent="0.4">
      <c r="B2309" s="17"/>
      <c r="C2309" s="15"/>
      <c r="D2309" s="15"/>
      <c r="E2309" s="18"/>
    </row>
    <row r="2310" spans="2:5" x14ac:dyDescent="0.4">
      <c r="B2310" s="17"/>
      <c r="C2310" s="15"/>
      <c r="D2310" s="15"/>
      <c r="E2310" s="18"/>
    </row>
    <row r="2311" spans="2:5" x14ac:dyDescent="0.4">
      <c r="B2311" s="17"/>
      <c r="C2311" s="15"/>
      <c r="D2311" s="15"/>
      <c r="E2311" s="18"/>
    </row>
    <row r="2312" spans="2:5" x14ac:dyDescent="0.4">
      <c r="B2312" s="17"/>
      <c r="C2312" s="15"/>
      <c r="D2312" s="15"/>
      <c r="E2312" s="18"/>
    </row>
    <row r="2313" spans="2:5" x14ac:dyDescent="0.4">
      <c r="B2313" s="17"/>
      <c r="C2313" s="15"/>
      <c r="D2313" s="15"/>
      <c r="E2313" s="18"/>
    </row>
    <row r="2314" spans="2:5" x14ac:dyDescent="0.4">
      <c r="B2314" s="17"/>
      <c r="C2314" s="15"/>
      <c r="D2314" s="15"/>
      <c r="E2314" s="18"/>
    </row>
    <row r="2315" spans="2:5" x14ac:dyDescent="0.4">
      <c r="B2315" s="17"/>
      <c r="C2315" s="15"/>
      <c r="D2315" s="15"/>
      <c r="E2315" s="18"/>
    </row>
    <row r="2316" spans="2:5" x14ac:dyDescent="0.4">
      <c r="B2316" s="17"/>
      <c r="C2316" s="15"/>
      <c r="D2316" s="15"/>
      <c r="E2316" s="18"/>
    </row>
    <row r="2317" spans="2:5" x14ac:dyDescent="0.4">
      <c r="B2317" s="17"/>
      <c r="C2317" s="15"/>
      <c r="D2317" s="15"/>
      <c r="E2317" s="18"/>
    </row>
    <row r="2318" spans="2:5" x14ac:dyDescent="0.4">
      <c r="B2318" s="17"/>
      <c r="C2318" s="15"/>
      <c r="D2318" s="15"/>
      <c r="E2318" s="18"/>
    </row>
    <row r="2319" spans="2:5" x14ac:dyDescent="0.4">
      <c r="B2319" s="17"/>
      <c r="C2319" s="15"/>
      <c r="D2319" s="15"/>
      <c r="E2319" s="18"/>
    </row>
    <row r="2320" spans="2:5" x14ac:dyDescent="0.4">
      <c r="B2320" s="17"/>
      <c r="C2320" s="15"/>
      <c r="D2320" s="15"/>
      <c r="E2320" s="18"/>
    </row>
    <row r="2321" spans="2:5" x14ac:dyDescent="0.4">
      <c r="B2321" s="17"/>
      <c r="C2321" s="15"/>
      <c r="D2321" s="15"/>
      <c r="E2321" s="18"/>
    </row>
    <row r="2322" spans="2:5" x14ac:dyDescent="0.4">
      <c r="B2322" s="17"/>
      <c r="C2322" s="15"/>
      <c r="D2322" s="15"/>
      <c r="E2322" s="18"/>
    </row>
    <row r="2323" spans="2:5" x14ac:dyDescent="0.4">
      <c r="B2323" s="17"/>
      <c r="C2323" s="15"/>
      <c r="D2323" s="15"/>
      <c r="E2323" s="18"/>
    </row>
    <row r="2324" spans="2:5" x14ac:dyDescent="0.4">
      <c r="B2324" s="17"/>
      <c r="C2324" s="15"/>
      <c r="D2324" s="15"/>
      <c r="E2324" s="18"/>
    </row>
    <row r="2325" spans="2:5" x14ac:dyDescent="0.4">
      <c r="B2325" s="17"/>
      <c r="C2325" s="15"/>
      <c r="D2325" s="15"/>
      <c r="E2325" s="18"/>
    </row>
    <row r="2326" spans="2:5" x14ac:dyDescent="0.4">
      <c r="B2326" s="17"/>
      <c r="C2326" s="15"/>
      <c r="D2326" s="15"/>
      <c r="E2326" s="18"/>
    </row>
    <row r="2327" spans="2:5" x14ac:dyDescent="0.4">
      <c r="B2327" s="17"/>
      <c r="C2327" s="15"/>
      <c r="D2327" s="15"/>
      <c r="E2327" s="18"/>
    </row>
    <row r="2328" spans="2:5" x14ac:dyDescent="0.4">
      <c r="B2328" s="17"/>
      <c r="C2328" s="15"/>
      <c r="D2328" s="15"/>
      <c r="E2328" s="18"/>
    </row>
    <row r="2329" spans="2:5" x14ac:dyDescent="0.4">
      <c r="B2329" s="17"/>
      <c r="C2329" s="15"/>
      <c r="D2329" s="15"/>
      <c r="E2329" s="18"/>
    </row>
    <row r="2330" spans="2:5" x14ac:dyDescent="0.4">
      <c r="B2330" s="17"/>
      <c r="C2330" s="15"/>
      <c r="D2330" s="15"/>
      <c r="E2330" s="18"/>
    </row>
    <row r="2331" spans="2:5" x14ac:dyDescent="0.4">
      <c r="B2331" s="17"/>
      <c r="C2331" s="15"/>
      <c r="D2331" s="15"/>
      <c r="E2331" s="18"/>
    </row>
    <row r="2332" spans="2:5" x14ac:dyDescent="0.4">
      <c r="B2332" s="17"/>
      <c r="C2332" s="15"/>
      <c r="D2332" s="15"/>
      <c r="E2332" s="18"/>
    </row>
    <row r="2333" spans="2:5" x14ac:dyDescent="0.4">
      <c r="B2333" s="17"/>
      <c r="C2333" s="15"/>
      <c r="D2333" s="15"/>
      <c r="E2333" s="18"/>
    </row>
    <row r="2334" spans="2:5" x14ac:dyDescent="0.4">
      <c r="B2334" s="17"/>
      <c r="C2334" s="15"/>
      <c r="D2334" s="15"/>
      <c r="E2334" s="18"/>
    </row>
    <row r="2335" spans="2:5" x14ac:dyDescent="0.4">
      <c r="B2335" s="17"/>
      <c r="C2335" s="15"/>
      <c r="D2335" s="15"/>
      <c r="E2335" s="18"/>
    </row>
    <row r="2336" spans="2:5" x14ac:dyDescent="0.4">
      <c r="B2336" s="17"/>
      <c r="C2336" s="15"/>
      <c r="D2336" s="15"/>
      <c r="E2336" s="18"/>
    </row>
    <row r="2337" spans="2:5" x14ac:dyDescent="0.4">
      <c r="B2337" s="17"/>
      <c r="C2337" s="15"/>
      <c r="D2337" s="15"/>
      <c r="E2337" s="18"/>
    </row>
    <row r="2338" spans="2:5" x14ac:dyDescent="0.4">
      <c r="B2338" s="17"/>
      <c r="C2338" s="15"/>
      <c r="D2338" s="15"/>
      <c r="E2338" s="18"/>
    </row>
    <row r="2339" spans="2:5" x14ac:dyDescent="0.4">
      <c r="B2339" s="17"/>
      <c r="C2339" s="15"/>
      <c r="D2339" s="15"/>
      <c r="E2339" s="18"/>
    </row>
    <row r="2340" spans="2:5" x14ac:dyDescent="0.4">
      <c r="B2340" s="17"/>
      <c r="C2340" s="15"/>
      <c r="D2340" s="15"/>
      <c r="E2340" s="18"/>
    </row>
    <row r="2341" spans="2:5" x14ac:dyDescent="0.4">
      <c r="B2341" s="17"/>
      <c r="C2341" s="15"/>
      <c r="D2341" s="15"/>
      <c r="E2341" s="18"/>
    </row>
    <row r="2342" spans="2:5" x14ac:dyDescent="0.4">
      <c r="B2342" s="17"/>
      <c r="C2342" s="15"/>
      <c r="D2342" s="15"/>
      <c r="E2342" s="18"/>
    </row>
    <row r="2343" spans="2:5" x14ac:dyDescent="0.4">
      <c r="B2343" s="17"/>
      <c r="C2343" s="15"/>
      <c r="D2343" s="15"/>
      <c r="E2343" s="18"/>
    </row>
    <row r="2344" spans="2:5" x14ac:dyDescent="0.4">
      <c r="B2344" s="17"/>
      <c r="C2344" s="15"/>
      <c r="D2344" s="15"/>
      <c r="E2344" s="18"/>
    </row>
    <row r="2345" spans="2:5" x14ac:dyDescent="0.4">
      <c r="B2345" s="17"/>
      <c r="C2345" s="15"/>
      <c r="D2345" s="15"/>
      <c r="E2345" s="18"/>
    </row>
    <row r="2346" spans="2:5" x14ac:dyDescent="0.4">
      <c r="B2346" s="17"/>
      <c r="C2346" s="15"/>
      <c r="D2346" s="15"/>
      <c r="E2346" s="18"/>
    </row>
    <row r="2347" spans="2:5" x14ac:dyDescent="0.4">
      <c r="B2347" s="17"/>
      <c r="C2347" s="15"/>
      <c r="D2347" s="15"/>
      <c r="E2347" s="18"/>
    </row>
    <row r="2348" spans="2:5" x14ac:dyDescent="0.4">
      <c r="B2348" s="17"/>
      <c r="C2348" s="15"/>
      <c r="D2348" s="15"/>
      <c r="E2348" s="18"/>
    </row>
    <row r="2349" spans="2:5" x14ac:dyDescent="0.4">
      <c r="B2349" s="17"/>
      <c r="C2349" s="15"/>
      <c r="D2349" s="15"/>
      <c r="E2349" s="18"/>
    </row>
    <row r="2350" spans="2:5" x14ac:dyDescent="0.4">
      <c r="B2350" s="17"/>
      <c r="C2350" s="15"/>
      <c r="D2350" s="15"/>
      <c r="E2350" s="18"/>
    </row>
    <row r="2351" spans="2:5" x14ac:dyDescent="0.4">
      <c r="B2351" s="17"/>
      <c r="C2351" s="15"/>
      <c r="D2351" s="15"/>
      <c r="E2351" s="18"/>
    </row>
    <row r="2352" spans="2:5" x14ac:dyDescent="0.4">
      <c r="B2352" s="17"/>
      <c r="C2352" s="15"/>
      <c r="D2352" s="15"/>
      <c r="E2352" s="18"/>
    </row>
    <row r="2353" spans="2:5" x14ac:dyDescent="0.4">
      <c r="B2353" s="17"/>
      <c r="C2353" s="15"/>
      <c r="D2353" s="15"/>
      <c r="E2353" s="18"/>
    </row>
    <row r="2354" spans="2:5" x14ac:dyDescent="0.4">
      <c r="B2354" s="17"/>
      <c r="C2354" s="15"/>
      <c r="D2354" s="15"/>
      <c r="E2354" s="18"/>
    </row>
    <row r="2355" spans="2:5" x14ac:dyDescent="0.4">
      <c r="B2355" s="17"/>
      <c r="C2355" s="15"/>
      <c r="D2355" s="15"/>
      <c r="E2355" s="18"/>
    </row>
    <row r="2356" spans="2:5" x14ac:dyDescent="0.4">
      <c r="B2356" s="17"/>
      <c r="C2356" s="15"/>
      <c r="D2356" s="15"/>
      <c r="E2356" s="18"/>
    </row>
    <row r="2357" spans="2:5" x14ac:dyDescent="0.4">
      <c r="B2357" s="17"/>
      <c r="C2357" s="15"/>
      <c r="D2357" s="15"/>
      <c r="E2357" s="18"/>
    </row>
    <row r="2358" spans="2:5" x14ac:dyDescent="0.4">
      <c r="B2358" s="17"/>
      <c r="C2358" s="15"/>
      <c r="D2358" s="15"/>
      <c r="E2358" s="18"/>
    </row>
    <row r="2359" spans="2:5" x14ac:dyDescent="0.4">
      <c r="B2359" s="17"/>
      <c r="C2359" s="15"/>
      <c r="D2359" s="15"/>
      <c r="E2359" s="18"/>
    </row>
    <row r="2360" spans="2:5" x14ac:dyDescent="0.4">
      <c r="B2360" s="17"/>
      <c r="C2360" s="15"/>
      <c r="D2360" s="15"/>
      <c r="E2360" s="18"/>
    </row>
    <row r="2361" spans="2:5" x14ac:dyDescent="0.4">
      <c r="B2361" s="17"/>
      <c r="C2361" s="15"/>
      <c r="D2361" s="15"/>
      <c r="E2361" s="18"/>
    </row>
    <row r="2362" spans="2:5" x14ac:dyDescent="0.4">
      <c r="B2362" s="17"/>
      <c r="C2362" s="15"/>
      <c r="D2362" s="15"/>
      <c r="E2362" s="18"/>
    </row>
    <row r="2363" spans="2:5" x14ac:dyDescent="0.4">
      <c r="B2363" s="17"/>
      <c r="C2363" s="15"/>
      <c r="D2363" s="15"/>
      <c r="E2363" s="18"/>
    </row>
    <row r="2364" spans="2:5" x14ac:dyDescent="0.4">
      <c r="B2364" s="17"/>
      <c r="C2364" s="15"/>
      <c r="D2364" s="15"/>
      <c r="E2364" s="18"/>
    </row>
    <row r="2365" spans="2:5" x14ac:dyDescent="0.4">
      <c r="B2365" s="17"/>
      <c r="C2365" s="15"/>
      <c r="D2365" s="15"/>
      <c r="E2365" s="18"/>
    </row>
    <row r="2366" spans="2:5" x14ac:dyDescent="0.4">
      <c r="B2366" s="17"/>
      <c r="C2366" s="15"/>
      <c r="D2366" s="15"/>
      <c r="E2366" s="18"/>
    </row>
    <row r="2367" spans="2:5" x14ac:dyDescent="0.4">
      <c r="B2367" s="17"/>
      <c r="C2367" s="15"/>
      <c r="D2367" s="15"/>
      <c r="E2367" s="18"/>
    </row>
    <row r="2368" spans="2:5" x14ac:dyDescent="0.4">
      <c r="B2368" s="17"/>
      <c r="C2368" s="15"/>
      <c r="D2368" s="15"/>
      <c r="E2368" s="18"/>
    </row>
    <row r="2369" spans="2:5" x14ac:dyDescent="0.4">
      <c r="B2369" s="17"/>
      <c r="C2369" s="15"/>
      <c r="D2369" s="15"/>
      <c r="E2369" s="18"/>
    </row>
    <row r="2370" spans="2:5" x14ac:dyDescent="0.4">
      <c r="B2370" s="17"/>
      <c r="C2370" s="15"/>
      <c r="D2370" s="15"/>
      <c r="E2370" s="18"/>
    </row>
    <row r="2371" spans="2:5" x14ac:dyDescent="0.4">
      <c r="B2371" s="17"/>
      <c r="C2371" s="15"/>
      <c r="D2371" s="15"/>
      <c r="E2371" s="18"/>
    </row>
    <row r="2372" spans="2:5" x14ac:dyDescent="0.4">
      <c r="B2372" s="17"/>
      <c r="C2372" s="15"/>
      <c r="D2372" s="15"/>
      <c r="E2372" s="18"/>
    </row>
    <row r="2373" spans="2:5" x14ac:dyDescent="0.4">
      <c r="B2373" s="17"/>
      <c r="C2373" s="15"/>
      <c r="D2373" s="15"/>
      <c r="E2373" s="18"/>
    </row>
    <row r="2374" spans="2:5" x14ac:dyDescent="0.4">
      <c r="B2374" s="17"/>
      <c r="C2374" s="15"/>
      <c r="D2374" s="15"/>
      <c r="E2374" s="18"/>
    </row>
    <row r="2375" spans="2:5" x14ac:dyDescent="0.4">
      <c r="B2375" s="17"/>
      <c r="C2375" s="15"/>
      <c r="D2375" s="15"/>
      <c r="E2375" s="18"/>
    </row>
    <row r="2376" spans="2:5" x14ac:dyDescent="0.4">
      <c r="B2376" s="17"/>
      <c r="C2376" s="15"/>
      <c r="D2376" s="15"/>
      <c r="E2376" s="18"/>
    </row>
    <row r="2377" spans="2:5" x14ac:dyDescent="0.4">
      <c r="B2377" s="17"/>
      <c r="C2377" s="15"/>
      <c r="D2377" s="15"/>
      <c r="E2377" s="18"/>
    </row>
    <row r="2378" spans="2:5" x14ac:dyDescent="0.4">
      <c r="B2378" s="17"/>
      <c r="C2378" s="15"/>
      <c r="D2378" s="15"/>
      <c r="E2378" s="18"/>
    </row>
    <row r="2379" spans="2:5" x14ac:dyDescent="0.4">
      <c r="B2379" s="17"/>
      <c r="C2379" s="15"/>
      <c r="D2379" s="15"/>
      <c r="E2379" s="18"/>
    </row>
    <row r="2380" spans="2:5" x14ac:dyDescent="0.4">
      <c r="B2380" s="17"/>
      <c r="C2380" s="15"/>
      <c r="D2380" s="15"/>
      <c r="E2380" s="18"/>
    </row>
    <row r="2381" spans="2:5" x14ac:dyDescent="0.4">
      <c r="B2381" s="17"/>
      <c r="C2381" s="15"/>
      <c r="D2381" s="15"/>
      <c r="E2381" s="18"/>
    </row>
    <row r="2382" spans="2:5" x14ac:dyDescent="0.4">
      <c r="B2382" s="17"/>
      <c r="C2382" s="15"/>
      <c r="D2382" s="15"/>
      <c r="E2382" s="18"/>
    </row>
    <row r="2383" spans="2:5" x14ac:dyDescent="0.4">
      <c r="B2383" s="17"/>
      <c r="C2383" s="15"/>
      <c r="D2383" s="15"/>
      <c r="E2383" s="18"/>
    </row>
    <row r="2384" spans="2:5" x14ac:dyDescent="0.4">
      <c r="B2384" s="17"/>
      <c r="C2384" s="15"/>
      <c r="D2384" s="15"/>
      <c r="E2384" s="18"/>
    </row>
    <row r="2385" spans="2:5" x14ac:dyDescent="0.4">
      <c r="B2385" s="17"/>
      <c r="C2385" s="15"/>
      <c r="D2385" s="15"/>
      <c r="E2385" s="18"/>
    </row>
    <row r="2386" spans="2:5" x14ac:dyDescent="0.4">
      <c r="B2386" s="17"/>
      <c r="C2386" s="15"/>
      <c r="D2386" s="15"/>
      <c r="E2386" s="18"/>
    </row>
    <row r="2387" spans="2:5" x14ac:dyDescent="0.4">
      <c r="B2387" s="17"/>
      <c r="C2387" s="15"/>
      <c r="D2387" s="15"/>
      <c r="E2387" s="18"/>
    </row>
    <row r="2388" spans="2:5" x14ac:dyDescent="0.4">
      <c r="B2388" s="17"/>
      <c r="C2388" s="15"/>
      <c r="D2388" s="15"/>
      <c r="E2388" s="18"/>
    </row>
    <row r="2389" spans="2:5" x14ac:dyDescent="0.4">
      <c r="B2389" s="17"/>
      <c r="C2389" s="15"/>
      <c r="D2389" s="15"/>
      <c r="E2389" s="18"/>
    </row>
    <row r="2390" spans="2:5" x14ac:dyDescent="0.4">
      <c r="B2390" s="17"/>
      <c r="C2390" s="15"/>
      <c r="D2390" s="15"/>
      <c r="E2390" s="18"/>
    </row>
    <row r="2391" spans="2:5" x14ac:dyDescent="0.4">
      <c r="B2391" s="17"/>
      <c r="C2391" s="15"/>
      <c r="D2391" s="15"/>
      <c r="E2391" s="18"/>
    </row>
    <row r="2392" spans="2:5" x14ac:dyDescent="0.4">
      <c r="B2392" s="17"/>
      <c r="C2392" s="15"/>
      <c r="D2392" s="15"/>
      <c r="E2392" s="18"/>
    </row>
    <row r="2393" spans="2:5" x14ac:dyDescent="0.4">
      <c r="B2393" s="17"/>
      <c r="C2393" s="15"/>
      <c r="D2393" s="15"/>
      <c r="E2393" s="18"/>
    </row>
    <row r="2394" spans="2:5" x14ac:dyDescent="0.4">
      <c r="B2394" s="17"/>
      <c r="C2394" s="15"/>
      <c r="D2394" s="15"/>
      <c r="E2394" s="18"/>
    </row>
    <row r="2395" spans="2:5" x14ac:dyDescent="0.4">
      <c r="B2395" s="17"/>
      <c r="C2395" s="15"/>
      <c r="D2395" s="15"/>
      <c r="E2395" s="18"/>
    </row>
    <row r="2396" spans="2:5" x14ac:dyDescent="0.4">
      <c r="B2396" s="17"/>
      <c r="C2396" s="15"/>
      <c r="D2396" s="15"/>
      <c r="E2396" s="18"/>
    </row>
    <row r="2397" spans="2:5" x14ac:dyDescent="0.4">
      <c r="B2397" s="17"/>
      <c r="C2397" s="15"/>
      <c r="D2397" s="15"/>
      <c r="E2397" s="18"/>
    </row>
    <row r="2398" spans="2:5" x14ac:dyDescent="0.4">
      <c r="B2398" s="17"/>
      <c r="C2398" s="15"/>
      <c r="D2398" s="15"/>
      <c r="E2398" s="18"/>
    </row>
    <row r="2399" spans="2:5" x14ac:dyDescent="0.4">
      <c r="B2399" s="17"/>
      <c r="C2399" s="15"/>
      <c r="D2399" s="15"/>
      <c r="E2399" s="18"/>
    </row>
    <row r="2400" spans="2:5" x14ac:dyDescent="0.4">
      <c r="B2400" s="17"/>
      <c r="C2400" s="15"/>
      <c r="D2400" s="15"/>
      <c r="E2400" s="18"/>
    </row>
    <row r="2401" spans="2:5" x14ac:dyDescent="0.4">
      <c r="B2401" s="17"/>
      <c r="C2401" s="15"/>
      <c r="D2401" s="15"/>
      <c r="E2401" s="18"/>
    </row>
    <row r="2402" spans="2:5" x14ac:dyDescent="0.4">
      <c r="B2402" s="17"/>
      <c r="C2402" s="15"/>
      <c r="D2402" s="15"/>
      <c r="E2402" s="18"/>
    </row>
    <row r="2403" spans="2:5" x14ac:dyDescent="0.4">
      <c r="B2403" s="17"/>
      <c r="C2403" s="15"/>
      <c r="D2403" s="15"/>
      <c r="E2403" s="18"/>
    </row>
    <row r="2404" spans="2:5" x14ac:dyDescent="0.4">
      <c r="B2404" s="17"/>
      <c r="C2404" s="15"/>
      <c r="D2404" s="15"/>
      <c r="E2404" s="18"/>
    </row>
    <row r="2405" spans="2:5" x14ac:dyDescent="0.4">
      <c r="B2405" s="17"/>
      <c r="C2405" s="15"/>
      <c r="D2405" s="15"/>
      <c r="E2405" s="18"/>
    </row>
    <row r="2406" spans="2:5" x14ac:dyDescent="0.4">
      <c r="B2406" s="17"/>
      <c r="C2406" s="15"/>
      <c r="D2406" s="15"/>
      <c r="E2406" s="18"/>
    </row>
    <row r="2407" spans="2:5" x14ac:dyDescent="0.4">
      <c r="B2407" s="17"/>
      <c r="C2407" s="15"/>
      <c r="D2407" s="15"/>
      <c r="E2407" s="18"/>
    </row>
    <row r="2408" spans="2:5" x14ac:dyDescent="0.4">
      <c r="B2408" s="17"/>
      <c r="C2408" s="15"/>
      <c r="D2408" s="15"/>
      <c r="E2408" s="18"/>
    </row>
    <row r="2409" spans="2:5" x14ac:dyDescent="0.4">
      <c r="B2409" s="17"/>
      <c r="C2409" s="15"/>
      <c r="D2409" s="15"/>
      <c r="E2409" s="18"/>
    </row>
    <row r="2410" spans="2:5" x14ac:dyDescent="0.4">
      <c r="B2410" s="17"/>
      <c r="C2410" s="15"/>
      <c r="D2410" s="15"/>
      <c r="E2410" s="18"/>
    </row>
    <row r="2411" spans="2:5" x14ac:dyDescent="0.4">
      <c r="B2411" s="17"/>
      <c r="C2411" s="15"/>
      <c r="D2411" s="15"/>
      <c r="E2411" s="18"/>
    </row>
    <row r="2412" spans="2:5" x14ac:dyDescent="0.4">
      <c r="B2412" s="17"/>
      <c r="C2412" s="15"/>
      <c r="D2412" s="15"/>
      <c r="E2412" s="18"/>
    </row>
    <row r="2413" spans="2:5" x14ac:dyDescent="0.4">
      <c r="B2413" s="17"/>
      <c r="C2413" s="15"/>
      <c r="D2413" s="15"/>
      <c r="E2413" s="18"/>
    </row>
    <row r="2414" spans="2:5" x14ac:dyDescent="0.4">
      <c r="B2414" s="17"/>
      <c r="C2414" s="15"/>
      <c r="D2414" s="15"/>
      <c r="E2414" s="18"/>
    </row>
    <row r="2415" spans="2:5" x14ac:dyDescent="0.4">
      <c r="B2415" s="17"/>
      <c r="C2415" s="15"/>
      <c r="D2415" s="15"/>
      <c r="E2415" s="18"/>
    </row>
    <row r="2416" spans="2:5" x14ac:dyDescent="0.4">
      <c r="B2416" s="17"/>
      <c r="C2416" s="15"/>
      <c r="D2416" s="15"/>
      <c r="E2416" s="18"/>
    </row>
    <row r="2417" spans="2:5" x14ac:dyDescent="0.4">
      <c r="B2417" s="17"/>
      <c r="C2417" s="15"/>
      <c r="D2417" s="15"/>
      <c r="E2417" s="18"/>
    </row>
    <row r="2418" spans="2:5" x14ac:dyDescent="0.4">
      <c r="B2418" s="17"/>
      <c r="C2418" s="15"/>
      <c r="D2418" s="15"/>
      <c r="E2418" s="18"/>
    </row>
    <row r="2419" spans="2:5" x14ac:dyDescent="0.4">
      <c r="B2419" s="17"/>
      <c r="C2419" s="15"/>
      <c r="D2419" s="15"/>
      <c r="E2419" s="18"/>
    </row>
    <row r="2420" spans="2:5" x14ac:dyDescent="0.4">
      <c r="B2420" s="17"/>
      <c r="C2420" s="15"/>
      <c r="D2420" s="15"/>
      <c r="E2420" s="18"/>
    </row>
    <row r="2421" spans="2:5" x14ac:dyDescent="0.4">
      <c r="B2421" s="17"/>
      <c r="C2421" s="15"/>
      <c r="D2421" s="15"/>
      <c r="E2421" s="18"/>
    </row>
    <row r="2422" spans="2:5" x14ac:dyDescent="0.4">
      <c r="B2422" s="17"/>
      <c r="C2422" s="15"/>
      <c r="D2422" s="15"/>
      <c r="E2422" s="18"/>
    </row>
    <row r="2423" spans="2:5" x14ac:dyDescent="0.4">
      <c r="B2423" s="17"/>
      <c r="C2423" s="15"/>
      <c r="D2423" s="15"/>
      <c r="E2423" s="18"/>
    </row>
    <row r="2424" spans="2:5" x14ac:dyDescent="0.4">
      <c r="B2424" s="17"/>
      <c r="C2424" s="15"/>
      <c r="D2424" s="15"/>
      <c r="E2424" s="18"/>
    </row>
    <row r="2425" spans="2:5" x14ac:dyDescent="0.4">
      <c r="B2425" s="17"/>
      <c r="C2425" s="15"/>
      <c r="D2425" s="15"/>
      <c r="E2425" s="18"/>
    </row>
    <row r="2426" spans="2:5" x14ac:dyDescent="0.4">
      <c r="B2426" s="17"/>
      <c r="C2426" s="15"/>
      <c r="D2426" s="15"/>
      <c r="E2426" s="18"/>
    </row>
    <row r="2427" spans="2:5" x14ac:dyDescent="0.4">
      <c r="B2427" s="17"/>
      <c r="C2427" s="15"/>
      <c r="D2427" s="15"/>
      <c r="E2427" s="18"/>
    </row>
    <row r="2428" spans="2:5" x14ac:dyDescent="0.4">
      <c r="B2428" s="17"/>
      <c r="C2428" s="15"/>
      <c r="D2428" s="15"/>
      <c r="E2428" s="18"/>
    </row>
    <row r="2429" spans="2:5" x14ac:dyDescent="0.4">
      <c r="B2429" s="17"/>
      <c r="C2429" s="15"/>
      <c r="D2429" s="15"/>
      <c r="E2429" s="18"/>
    </row>
    <row r="2430" spans="2:5" x14ac:dyDescent="0.4">
      <c r="B2430" s="17"/>
      <c r="C2430" s="15"/>
      <c r="D2430" s="15"/>
      <c r="E2430" s="18"/>
    </row>
    <row r="2431" spans="2:5" x14ac:dyDescent="0.4">
      <c r="B2431" s="17"/>
      <c r="C2431" s="15"/>
      <c r="D2431" s="15"/>
      <c r="E2431" s="18"/>
    </row>
    <row r="2432" spans="2:5" x14ac:dyDescent="0.4">
      <c r="B2432" s="17"/>
      <c r="C2432" s="15"/>
      <c r="D2432" s="15"/>
      <c r="E2432" s="18"/>
    </row>
    <row r="2433" spans="2:5" x14ac:dyDescent="0.4">
      <c r="B2433" s="17"/>
      <c r="C2433" s="15"/>
      <c r="D2433" s="15"/>
      <c r="E2433" s="18"/>
    </row>
    <row r="2434" spans="2:5" x14ac:dyDescent="0.4">
      <c r="B2434" s="17"/>
      <c r="C2434" s="15"/>
      <c r="D2434" s="15"/>
      <c r="E2434" s="18"/>
    </row>
    <row r="2435" spans="2:5" x14ac:dyDescent="0.4">
      <c r="B2435" s="17"/>
      <c r="C2435" s="15"/>
      <c r="D2435" s="15"/>
      <c r="E2435" s="18"/>
    </row>
    <row r="2436" spans="2:5" x14ac:dyDescent="0.4">
      <c r="B2436" s="17"/>
      <c r="C2436" s="15"/>
      <c r="D2436" s="15"/>
      <c r="E2436" s="18"/>
    </row>
    <row r="2437" spans="2:5" x14ac:dyDescent="0.4">
      <c r="B2437" s="17"/>
      <c r="C2437" s="15"/>
      <c r="D2437" s="15"/>
      <c r="E2437" s="18"/>
    </row>
    <row r="2438" spans="2:5" x14ac:dyDescent="0.4">
      <c r="B2438" s="17"/>
      <c r="C2438" s="15"/>
      <c r="D2438" s="15"/>
      <c r="E2438" s="18"/>
    </row>
    <row r="2439" spans="2:5" x14ac:dyDescent="0.4">
      <c r="B2439" s="17"/>
      <c r="C2439" s="15"/>
      <c r="D2439" s="15"/>
      <c r="E2439" s="18"/>
    </row>
    <row r="2440" spans="2:5" x14ac:dyDescent="0.4">
      <c r="B2440" s="17"/>
      <c r="C2440" s="15"/>
      <c r="D2440" s="15"/>
      <c r="E2440" s="18"/>
    </row>
    <row r="2441" spans="2:5" x14ac:dyDescent="0.4">
      <c r="B2441" s="17"/>
      <c r="C2441" s="15"/>
      <c r="D2441" s="15"/>
      <c r="E2441" s="18"/>
    </row>
    <row r="2442" spans="2:5" x14ac:dyDescent="0.4">
      <c r="B2442" s="17"/>
      <c r="C2442" s="15"/>
      <c r="D2442" s="15"/>
      <c r="E2442" s="18"/>
    </row>
    <row r="2443" spans="2:5" x14ac:dyDescent="0.4">
      <c r="B2443" s="17"/>
      <c r="C2443" s="15"/>
      <c r="D2443" s="15"/>
      <c r="E2443" s="18"/>
    </row>
    <row r="2444" spans="2:5" x14ac:dyDescent="0.4">
      <c r="B2444" s="17"/>
      <c r="C2444" s="15"/>
      <c r="D2444" s="15"/>
      <c r="E2444" s="18"/>
    </row>
    <row r="2445" spans="2:5" x14ac:dyDescent="0.4">
      <c r="B2445" s="17"/>
      <c r="C2445" s="15"/>
      <c r="D2445" s="15"/>
      <c r="E2445" s="18"/>
    </row>
    <row r="2446" spans="2:5" x14ac:dyDescent="0.4">
      <c r="B2446" s="17"/>
      <c r="C2446" s="15"/>
      <c r="D2446" s="15"/>
      <c r="E2446" s="18"/>
    </row>
    <row r="2447" spans="2:5" x14ac:dyDescent="0.4">
      <c r="B2447" s="17"/>
      <c r="C2447" s="15"/>
      <c r="D2447" s="15"/>
      <c r="E2447" s="18"/>
    </row>
    <row r="2448" spans="2:5" x14ac:dyDescent="0.4">
      <c r="B2448" s="17"/>
      <c r="C2448" s="15"/>
      <c r="D2448" s="15"/>
      <c r="E2448" s="18"/>
    </row>
    <row r="2449" spans="2:5" x14ac:dyDescent="0.4">
      <c r="B2449" s="17"/>
      <c r="C2449" s="15"/>
      <c r="D2449" s="15"/>
      <c r="E2449" s="18"/>
    </row>
    <row r="2450" spans="2:5" x14ac:dyDescent="0.4">
      <c r="B2450" s="17"/>
      <c r="C2450" s="15"/>
      <c r="D2450" s="15"/>
      <c r="E2450" s="18"/>
    </row>
    <row r="2451" spans="2:5" x14ac:dyDescent="0.4">
      <c r="B2451" s="17"/>
      <c r="C2451" s="15"/>
      <c r="D2451" s="15"/>
      <c r="E2451" s="18"/>
    </row>
    <row r="2452" spans="2:5" x14ac:dyDescent="0.4">
      <c r="B2452" s="17"/>
      <c r="C2452" s="15"/>
      <c r="D2452" s="15"/>
      <c r="E2452" s="18"/>
    </row>
    <row r="2453" spans="2:5" x14ac:dyDescent="0.4">
      <c r="B2453" s="17"/>
      <c r="C2453" s="15"/>
      <c r="D2453" s="15"/>
      <c r="E2453" s="18"/>
    </row>
    <row r="2454" spans="2:5" x14ac:dyDescent="0.4">
      <c r="B2454" s="17"/>
      <c r="C2454" s="15"/>
      <c r="D2454" s="15"/>
      <c r="E2454" s="18"/>
    </row>
    <row r="2455" spans="2:5" x14ac:dyDescent="0.4">
      <c r="B2455" s="17"/>
      <c r="C2455" s="15"/>
      <c r="D2455" s="15"/>
      <c r="E2455" s="18"/>
    </row>
    <row r="2456" spans="2:5" x14ac:dyDescent="0.4">
      <c r="B2456" s="17"/>
      <c r="C2456" s="15"/>
      <c r="D2456" s="15"/>
      <c r="E2456" s="18"/>
    </row>
    <row r="2457" spans="2:5" x14ac:dyDescent="0.4">
      <c r="B2457" s="17"/>
      <c r="C2457" s="15"/>
      <c r="D2457" s="15"/>
      <c r="E2457" s="18"/>
    </row>
    <row r="2458" spans="2:5" x14ac:dyDescent="0.4">
      <c r="B2458" s="17"/>
      <c r="C2458" s="15"/>
      <c r="D2458" s="15"/>
      <c r="E2458" s="18"/>
    </row>
    <row r="2459" spans="2:5" x14ac:dyDescent="0.4">
      <c r="B2459" s="17"/>
      <c r="C2459" s="15"/>
      <c r="D2459" s="15"/>
      <c r="E2459" s="18"/>
    </row>
    <row r="2460" spans="2:5" x14ac:dyDescent="0.4">
      <c r="B2460" s="17"/>
      <c r="C2460" s="15"/>
      <c r="D2460" s="15"/>
      <c r="E2460" s="18"/>
    </row>
    <row r="2461" spans="2:5" x14ac:dyDescent="0.4">
      <c r="B2461" s="17"/>
      <c r="C2461" s="15"/>
      <c r="D2461" s="15"/>
      <c r="E2461" s="18"/>
    </row>
    <row r="2462" spans="2:5" x14ac:dyDescent="0.4">
      <c r="B2462" s="17"/>
      <c r="C2462" s="15"/>
      <c r="D2462" s="15"/>
      <c r="E2462" s="18"/>
    </row>
    <row r="2463" spans="2:5" x14ac:dyDescent="0.4">
      <c r="B2463" s="17"/>
      <c r="C2463" s="15"/>
      <c r="D2463" s="15"/>
      <c r="E2463" s="18"/>
    </row>
    <row r="2464" spans="2:5" x14ac:dyDescent="0.4">
      <c r="B2464" s="17"/>
      <c r="C2464" s="15"/>
      <c r="D2464" s="15"/>
      <c r="E2464" s="18"/>
    </row>
    <row r="2465" spans="2:5" x14ac:dyDescent="0.4">
      <c r="B2465" s="17"/>
      <c r="C2465" s="15"/>
      <c r="D2465" s="15"/>
      <c r="E2465" s="18"/>
    </row>
    <row r="2466" spans="2:5" x14ac:dyDescent="0.4">
      <c r="B2466" s="17"/>
      <c r="C2466" s="15"/>
      <c r="D2466" s="15"/>
      <c r="E2466" s="18"/>
    </row>
    <row r="2467" spans="2:5" x14ac:dyDescent="0.4">
      <c r="B2467" s="17"/>
      <c r="C2467" s="15"/>
      <c r="D2467" s="15"/>
      <c r="E2467" s="18"/>
    </row>
    <row r="2468" spans="2:5" x14ac:dyDescent="0.4">
      <c r="B2468" s="17"/>
      <c r="C2468" s="15"/>
      <c r="D2468" s="15"/>
      <c r="E2468" s="18"/>
    </row>
    <row r="2469" spans="2:5" x14ac:dyDescent="0.4">
      <c r="B2469" s="17"/>
      <c r="C2469" s="15"/>
      <c r="D2469" s="15"/>
      <c r="E2469" s="18"/>
    </row>
    <row r="2470" spans="2:5" x14ac:dyDescent="0.4">
      <c r="B2470" s="17"/>
      <c r="C2470" s="15"/>
      <c r="D2470" s="15"/>
      <c r="E2470" s="18"/>
    </row>
    <row r="2471" spans="2:5" x14ac:dyDescent="0.4">
      <c r="B2471" s="17"/>
      <c r="C2471" s="15"/>
      <c r="D2471" s="15"/>
      <c r="E2471" s="18"/>
    </row>
    <row r="2472" spans="2:5" x14ac:dyDescent="0.4">
      <c r="B2472" s="17"/>
      <c r="C2472" s="15"/>
      <c r="D2472" s="15"/>
      <c r="E2472" s="18"/>
    </row>
    <row r="2473" spans="2:5" x14ac:dyDescent="0.4">
      <c r="B2473" s="17"/>
      <c r="C2473" s="15"/>
      <c r="D2473" s="15"/>
      <c r="E2473" s="18"/>
    </row>
    <row r="2474" spans="2:5" x14ac:dyDescent="0.4">
      <c r="B2474" s="17"/>
      <c r="C2474" s="15"/>
      <c r="D2474" s="15"/>
      <c r="E2474" s="18"/>
    </row>
    <row r="2475" spans="2:5" x14ac:dyDescent="0.4">
      <c r="B2475" s="17"/>
      <c r="C2475" s="15"/>
      <c r="D2475" s="15"/>
      <c r="E2475" s="18"/>
    </row>
    <row r="2476" spans="2:5" x14ac:dyDescent="0.4">
      <c r="B2476" s="17"/>
      <c r="C2476" s="15"/>
      <c r="D2476" s="15"/>
      <c r="E2476" s="18"/>
    </row>
    <row r="2477" spans="2:5" x14ac:dyDescent="0.4">
      <c r="B2477" s="17"/>
      <c r="C2477" s="15"/>
      <c r="D2477" s="15"/>
      <c r="E2477" s="18"/>
    </row>
    <row r="2478" spans="2:5" x14ac:dyDescent="0.4">
      <c r="B2478" s="17"/>
      <c r="C2478" s="15"/>
      <c r="D2478" s="15"/>
      <c r="E2478" s="18"/>
    </row>
    <row r="2479" spans="2:5" x14ac:dyDescent="0.4">
      <c r="B2479" s="17"/>
      <c r="C2479" s="15"/>
      <c r="D2479" s="15"/>
      <c r="E2479" s="18"/>
    </row>
    <row r="2480" spans="2:5" x14ac:dyDescent="0.4">
      <c r="B2480" s="17"/>
      <c r="C2480" s="15"/>
      <c r="D2480" s="15"/>
      <c r="E2480" s="18"/>
    </row>
    <row r="2481" spans="2:5" x14ac:dyDescent="0.4">
      <c r="B2481" s="17"/>
      <c r="C2481" s="15"/>
      <c r="D2481" s="15"/>
      <c r="E2481" s="18"/>
    </row>
    <row r="2482" spans="2:5" x14ac:dyDescent="0.4">
      <c r="B2482" s="17"/>
      <c r="C2482" s="15"/>
      <c r="D2482" s="15"/>
      <c r="E2482" s="18"/>
    </row>
    <row r="2483" spans="2:5" x14ac:dyDescent="0.4">
      <c r="B2483" s="17"/>
      <c r="C2483" s="15"/>
      <c r="D2483" s="15"/>
      <c r="E2483" s="18"/>
    </row>
    <row r="2484" spans="2:5" x14ac:dyDescent="0.4">
      <c r="B2484" s="17"/>
      <c r="C2484" s="15"/>
      <c r="D2484" s="15"/>
      <c r="E2484" s="18"/>
    </row>
    <row r="2485" spans="2:5" x14ac:dyDescent="0.4">
      <c r="B2485" s="17"/>
      <c r="C2485" s="15"/>
      <c r="D2485" s="15"/>
      <c r="E2485" s="18"/>
    </row>
    <row r="2486" spans="2:5" x14ac:dyDescent="0.4">
      <c r="B2486" s="17"/>
      <c r="C2486" s="15"/>
      <c r="D2486" s="15"/>
      <c r="E2486" s="18"/>
    </row>
    <row r="2487" spans="2:5" x14ac:dyDescent="0.4">
      <c r="B2487" s="17"/>
      <c r="C2487" s="15"/>
      <c r="D2487" s="15"/>
      <c r="E2487" s="18"/>
    </row>
    <row r="2488" spans="2:5" x14ac:dyDescent="0.4">
      <c r="B2488" s="17"/>
      <c r="C2488" s="15"/>
      <c r="D2488" s="15"/>
      <c r="E2488" s="18"/>
    </row>
    <row r="2489" spans="2:5" x14ac:dyDescent="0.4">
      <c r="B2489" s="17"/>
      <c r="C2489" s="15"/>
      <c r="D2489" s="15"/>
      <c r="E2489" s="18"/>
    </row>
    <row r="2490" spans="2:5" x14ac:dyDescent="0.4">
      <c r="B2490" s="17"/>
      <c r="C2490" s="15"/>
      <c r="D2490" s="15"/>
      <c r="E2490" s="18"/>
    </row>
    <row r="2491" spans="2:5" x14ac:dyDescent="0.4">
      <c r="B2491" s="17"/>
      <c r="C2491" s="15"/>
      <c r="D2491" s="15"/>
      <c r="E2491" s="18"/>
    </row>
    <row r="2492" spans="2:5" x14ac:dyDescent="0.4">
      <c r="B2492" s="17"/>
      <c r="C2492" s="15"/>
      <c r="D2492" s="15"/>
      <c r="E2492" s="18"/>
    </row>
    <row r="2493" spans="2:5" x14ac:dyDescent="0.4">
      <c r="B2493" s="17"/>
      <c r="C2493" s="15"/>
      <c r="D2493" s="15"/>
      <c r="E2493" s="18"/>
    </row>
    <row r="2494" spans="2:5" x14ac:dyDescent="0.4">
      <c r="B2494" s="17"/>
      <c r="C2494" s="15"/>
      <c r="D2494" s="15"/>
      <c r="E2494" s="18"/>
    </row>
    <row r="2495" spans="2:5" x14ac:dyDescent="0.4">
      <c r="B2495" s="17"/>
      <c r="C2495" s="15"/>
      <c r="D2495" s="15"/>
      <c r="E2495" s="18"/>
    </row>
    <row r="2496" spans="2:5" x14ac:dyDescent="0.4">
      <c r="B2496" s="17"/>
      <c r="C2496" s="15"/>
      <c r="D2496" s="15"/>
      <c r="E2496" s="18"/>
    </row>
    <row r="2497" spans="2:5" x14ac:dyDescent="0.4">
      <c r="B2497" s="17"/>
      <c r="C2497" s="15"/>
      <c r="D2497" s="15"/>
      <c r="E2497" s="18"/>
    </row>
    <row r="2498" spans="2:5" x14ac:dyDescent="0.4">
      <c r="B2498" s="17"/>
      <c r="C2498" s="15"/>
      <c r="D2498" s="15"/>
      <c r="E2498" s="18"/>
    </row>
    <row r="2499" spans="2:5" x14ac:dyDescent="0.4">
      <c r="B2499" s="17"/>
      <c r="C2499" s="15"/>
      <c r="D2499" s="15"/>
      <c r="E2499" s="18"/>
    </row>
    <row r="2500" spans="2:5" x14ac:dyDescent="0.4">
      <c r="B2500" s="17"/>
      <c r="C2500" s="15"/>
      <c r="D2500" s="15"/>
      <c r="E2500" s="18"/>
    </row>
    <row r="2501" spans="2:5" x14ac:dyDescent="0.4">
      <c r="B2501" s="17"/>
      <c r="C2501" s="15"/>
      <c r="D2501" s="15"/>
      <c r="E2501" s="18"/>
    </row>
    <row r="2502" spans="2:5" x14ac:dyDescent="0.4">
      <c r="B2502" s="17"/>
      <c r="C2502" s="15"/>
      <c r="D2502" s="15"/>
      <c r="E2502" s="18"/>
    </row>
    <row r="2503" spans="2:5" x14ac:dyDescent="0.4">
      <c r="B2503" s="17"/>
      <c r="C2503" s="15"/>
      <c r="D2503" s="15"/>
      <c r="E2503" s="18"/>
    </row>
    <row r="2504" spans="2:5" x14ac:dyDescent="0.4">
      <c r="B2504" s="17"/>
      <c r="C2504" s="15"/>
      <c r="D2504" s="15"/>
      <c r="E2504" s="18"/>
    </row>
    <row r="2505" spans="2:5" x14ac:dyDescent="0.4">
      <c r="B2505" s="17"/>
      <c r="C2505" s="15"/>
      <c r="D2505" s="15"/>
      <c r="E2505" s="18"/>
    </row>
    <row r="2506" spans="2:5" x14ac:dyDescent="0.4">
      <c r="B2506" s="17"/>
      <c r="C2506" s="15"/>
      <c r="D2506" s="15"/>
      <c r="E2506" s="18"/>
    </row>
    <row r="2507" spans="2:5" x14ac:dyDescent="0.4">
      <c r="B2507" s="17"/>
      <c r="C2507" s="15"/>
      <c r="D2507" s="15"/>
      <c r="E2507" s="18"/>
    </row>
    <row r="2508" spans="2:5" x14ac:dyDescent="0.4">
      <c r="B2508" s="17"/>
      <c r="C2508" s="15"/>
      <c r="D2508" s="15"/>
      <c r="E2508" s="18"/>
    </row>
    <row r="2509" spans="2:5" x14ac:dyDescent="0.4">
      <c r="B2509" s="17"/>
      <c r="C2509" s="15"/>
      <c r="D2509" s="15"/>
      <c r="E2509" s="18"/>
    </row>
    <row r="2510" spans="2:5" x14ac:dyDescent="0.4">
      <c r="B2510" s="17"/>
      <c r="C2510" s="15"/>
      <c r="D2510" s="15"/>
      <c r="E2510" s="18"/>
    </row>
    <row r="2511" spans="2:5" x14ac:dyDescent="0.4">
      <c r="B2511" s="17"/>
      <c r="C2511" s="15"/>
      <c r="D2511" s="15"/>
      <c r="E2511" s="18"/>
    </row>
    <row r="2512" spans="2:5" x14ac:dyDescent="0.4">
      <c r="B2512" s="17"/>
      <c r="C2512" s="15"/>
      <c r="D2512" s="15"/>
      <c r="E2512" s="18"/>
    </row>
    <row r="2513" spans="2:5" x14ac:dyDescent="0.4">
      <c r="B2513" s="17"/>
      <c r="C2513" s="15"/>
      <c r="D2513" s="15"/>
      <c r="E2513" s="18"/>
    </row>
    <row r="2514" spans="2:5" x14ac:dyDescent="0.4">
      <c r="B2514" s="17"/>
      <c r="C2514" s="15"/>
      <c r="D2514" s="15"/>
      <c r="E2514" s="18"/>
    </row>
    <row r="2515" spans="2:5" x14ac:dyDescent="0.4">
      <c r="B2515" s="17"/>
      <c r="C2515" s="15"/>
      <c r="D2515" s="15"/>
      <c r="E2515" s="18"/>
    </row>
    <row r="2516" spans="2:5" x14ac:dyDescent="0.4">
      <c r="B2516" s="17"/>
      <c r="C2516" s="15"/>
      <c r="D2516" s="15"/>
      <c r="E2516" s="18"/>
    </row>
    <row r="2517" spans="2:5" x14ac:dyDescent="0.4">
      <c r="B2517" s="17"/>
      <c r="C2517" s="15"/>
      <c r="D2517" s="15"/>
      <c r="E2517" s="18"/>
    </row>
    <row r="2518" spans="2:5" x14ac:dyDescent="0.4">
      <c r="B2518" s="17"/>
      <c r="C2518" s="15"/>
      <c r="D2518" s="15"/>
      <c r="E2518" s="18"/>
    </row>
    <row r="2519" spans="2:5" x14ac:dyDescent="0.4">
      <c r="B2519" s="17"/>
      <c r="C2519" s="15"/>
      <c r="D2519" s="15"/>
      <c r="E2519" s="18"/>
    </row>
    <row r="2520" spans="2:5" x14ac:dyDescent="0.4">
      <c r="B2520" s="17"/>
      <c r="C2520" s="15"/>
      <c r="D2520" s="15"/>
      <c r="E2520" s="18"/>
    </row>
    <row r="2521" spans="2:5" x14ac:dyDescent="0.4">
      <c r="B2521" s="17"/>
      <c r="C2521" s="15"/>
      <c r="D2521" s="15"/>
      <c r="E2521" s="18"/>
    </row>
    <row r="2522" spans="2:5" x14ac:dyDescent="0.4">
      <c r="B2522" s="17"/>
      <c r="C2522" s="15"/>
      <c r="D2522" s="15"/>
      <c r="E2522" s="18"/>
    </row>
    <row r="2523" spans="2:5" x14ac:dyDescent="0.4">
      <c r="B2523" s="17"/>
      <c r="C2523" s="15"/>
      <c r="D2523" s="15"/>
      <c r="E2523" s="18"/>
    </row>
    <row r="2524" spans="2:5" x14ac:dyDescent="0.4">
      <c r="B2524" s="17"/>
      <c r="C2524" s="15"/>
      <c r="D2524" s="15"/>
      <c r="E2524" s="18"/>
    </row>
    <row r="2525" spans="2:5" x14ac:dyDescent="0.4">
      <c r="B2525" s="17"/>
      <c r="C2525" s="15"/>
      <c r="D2525" s="15"/>
      <c r="E2525" s="18"/>
    </row>
    <row r="2526" spans="2:5" x14ac:dyDescent="0.4">
      <c r="B2526" s="17"/>
      <c r="C2526" s="15"/>
      <c r="D2526" s="15"/>
      <c r="E2526" s="18"/>
    </row>
    <row r="2527" spans="2:5" x14ac:dyDescent="0.4">
      <c r="B2527" s="17"/>
      <c r="C2527" s="15"/>
      <c r="D2527" s="15"/>
      <c r="E2527" s="18"/>
    </row>
    <row r="2528" spans="2:5" x14ac:dyDescent="0.4">
      <c r="B2528" s="17"/>
      <c r="C2528" s="15"/>
      <c r="D2528" s="15"/>
      <c r="E2528" s="18"/>
    </row>
    <row r="2529" spans="2:5" x14ac:dyDescent="0.4">
      <c r="B2529" s="17"/>
      <c r="C2529" s="15"/>
      <c r="D2529" s="15"/>
      <c r="E2529" s="18"/>
    </row>
    <row r="2530" spans="2:5" x14ac:dyDescent="0.4">
      <c r="B2530" s="17"/>
      <c r="C2530" s="15"/>
      <c r="D2530" s="15"/>
      <c r="E2530" s="18"/>
    </row>
    <row r="2531" spans="2:5" x14ac:dyDescent="0.4">
      <c r="B2531" s="17"/>
      <c r="C2531" s="15"/>
      <c r="D2531" s="15"/>
      <c r="E2531" s="18"/>
    </row>
    <row r="2532" spans="2:5" x14ac:dyDescent="0.4">
      <c r="B2532" s="17"/>
      <c r="C2532" s="15"/>
      <c r="D2532" s="15"/>
      <c r="E2532" s="18"/>
    </row>
    <row r="2533" spans="2:5" x14ac:dyDescent="0.4">
      <c r="B2533" s="17"/>
      <c r="C2533" s="15"/>
      <c r="D2533" s="15"/>
      <c r="E2533" s="18"/>
    </row>
    <row r="2534" spans="2:5" x14ac:dyDescent="0.4">
      <c r="B2534" s="17"/>
      <c r="C2534" s="15"/>
      <c r="D2534" s="15"/>
      <c r="E2534" s="18"/>
    </row>
    <row r="2535" spans="2:5" x14ac:dyDescent="0.4">
      <c r="B2535" s="17"/>
      <c r="C2535" s="15"/>
      <c r="D2535" s="15"/>
      <c r="E2535" s="18"/>
    </row>
    <row r="2536" spans="2:5" x14ac:dyDescent="0.4">
      <c r="B2536" s="17"/>
      <c r="C2536" s="15"/>
      <c r="D2536" s="15"/>
      <c r="E2536" s="18"/>
    </row>
    <row r="2537" spans="2:5" x14ac:dyDescent="0.4">
      <c r="B2537" s="17"/>
      <c r="C2537" s="15"/>
      <c r="D2537" s="15"/>
      <c r="E2537" s="18"/>
    </row>
    <row r="2538" spans="2:5" x14ac:dyDescent="0.4">
      <c r="B2538" s="17"/>
      <c r="C2538" s="15"/>
      <c r="D2538" s="15"/>
      <c r="E2538" s="18"/>
    </row>
    <row r="2539" spans="2:5" x14ac:dyDescent="0.4">
      <c r="B2539" s="17"/>
      <c r="C2539" s="15"/>
      <c r="D2539" s="15"/>
      <c r="E2539" s="18"/>
    </row>
    <row r="2540" spans="2:5" x14ac:dyDescent="0.4">
      <c r="B2540" s="17"/>
      <c r="C2540" s="15"/>
      <c r="D2540" s="15"/>
      <c r="E2540" s="18"/>
    </row>
    <row r="2541" spans="2:5" x14ac:dyDescent="0.4">
      <c r="B2541" s="17"/>
      <c r="C2541" s="15"/>
      <c r="D2541" s="15"/>
      <c r="E2541" s="18"/>
    </row>
    <row r="2542" spans="2:5" x14ac:dyDescent="0.4">
      <c r="B2542" s="17"/>
      <c r="C2542" s="15"/>
      <c r="D2542" s="15"/>
      <c r="E2542" s="18"/>
    </row>
    <row r="2543" spans="2:5" x14ac:dyDescent="0.4">
      <c r="B2543" s="17"/>
      <c r="C2543" s="15"/>
      <c r="D2543" s="15"/>
      <c r="E2543" s="18"/>
    </row>
    <row r="2544" spans="2:5" x14ac:dyDescent="0.4">
      <c r="B2544" s="17"/>
      <c r="C2544" s="15"/>
      <c r="D2544" s="15"/>
      <c r="E2544" s="18"/>
    </row>
    <row r="2545" spans="2:5" x14ac:dyDescent="0.4">
      <c r="B2545" s="17"/>
      <c r="C2545" s="15"/>
      <c r="D2545" s="15"/>
      <c r="E2545" s="18"/>
    </row>
    <row r="2546" spans="2:5" x14ac:dyDescent="0.4">
      <c r="B2546" s="17"/>
      <c r="C2546" s="15"/>
      <c r="D2546" s="15"/>
      <c r="E2546" s="18"/>
    </row>
    <row r="2547" spans="2:5" x14ac:dyDescent="0.4">
      <c r="B2547" s="17"/>
      <c r="C2547" s="15"/>
      <c r="D2547" s="15"/>
      <c r="E2547" s="18"/>
    </row>
    <row r="2548" spans="2:5" x14ac:dyDescent="0.4">
      <c r="B2548" s="17"/>
      <c r="C2548" s="15"/>
      <c r="D2548" s="15"/>
      <c r="E2548" s="18"/>
    </row>
    <row r="2549" spans="2:5" x14ac:dyDescent="0.4">
      <c r="B2549" s="17"/>
      <c r="C2549" s="15"/>
      <c r="D2549" s="15"/>
      <c r="E2549" s="18"/>
    </row>
    <row r="2550" spans="2:5" x14ac:dyDescent="0.4">
      <c r="B2550" s="17"/>
      <c r="C2550" s="15"/>
      <c r="D2550" s="15"/>
      <c r="E2550" s="18"/>
    </row>
    <row r="2551" spans="2:5" x14ac:dyDescent="0.4">
      <c r="B2551" s="17"/>
      <c r="C2551" s="15"/>
      <c r="D2551" s="15"/>
      <c r="E2551" s="18"/>
    </row>
    <row r="2552" spans="2:5" x14ac:dyDescent="0.4">
      <c r="B2552" s="17"/>
      <c r="C2552" s="15"/>
      <c r="D2552" s="15"/>
      <c r="E2552" s="18"/>
    </row>
    <row r="2553" spans="2:5" x14ac:dyDescent="0.4">
      <c r="B2553" s="17"/>
      <c r="C2553" s="15"/>
      <c r="D2553" s="15"/>
      <c r="E2553" s="18"/>
    </row>
    <row r="2554" spans="2:5" x14ac:dyDescent="0.4">
      <c r="B2554" s="17"/>
      <c r="C2554" s="15"/>
      <c r="D2554" s="15"/>
      <c r="E2554" s="18"/>
    </row>
    <row r="2555" spans="2:5" x14ac:dyDescent="0.4">
      <c r="B2555" s="17"/>
      <c r="C2555" s="15"/>
      <c r="D2555" s="15"/>
      <c r="E2555" s="18"/>
    </row>
    <row r="2556" spans="2:5" x14ac:dyDescent="0.4">
      <c r="B2556" s="17"/>
      <c r="C2556" s="15"/>
      <c r="D2556" s="15"/>
      <c r="E2556" s="18"/>
    </row>
    <row r="2557" spans="2:5" x14ac:dyDescent="0.4">
      <c r="B2557" s="17"/>
      <c r="C2557" s="15"/>
      <c r="D2557" s="15"/>
      <c r="E2557" s="18"/>
    </row>
    <row r="2558" spans="2:5" x14ac:dyDescent="0.4">
      <c r="B2558" s="17"/>
      <c r="C2558" s="15"/>
      <c r="D2558" s="15"/>
      <c r="E2558" s="18"/>
    </row>
    <row r="2559" spans="2:5" x14ac:dyDescent="0.4">
      <c r="B2559" s="17"/>
      <c r="C2559" s="15"/>
      <c r="D2559" s="15"/>
      <c r="E2559" s="18"/>
    </row>
    <row r="2560" spans="2:5" x14ac:dyDescent="0.4">
      <c r="B2560" s="17"/>
      <c r="C2560" s="15"/>
      <c r="D2560" s="15"/>
      <c r="E2560" s="18"/>
    </row>
    <row r="2561" spans="2:5" x14ac:dyDescent="0.4">
      <c r="B2561" s="17"/>
      <c r="C2561" s="15"/>
      <c r="D2561" s="15"/>
      <c r="E2561" s="18"/>
    </row>
    <row r="2562" spans="2:5" x14ac:dyDescent="0.4">
      <c r="B2562" s="17"/>
      <c r="C2562" s="15"/>
      <c r="D2562" s="15"/>
      <c r="E2562" s="18"/>
    </row>
    <row r="2563" spans="2:5" x14ac:dyDescent="0.4">
      <c r="B2563" s="17"/>
      <c r="C2563" s="15"/>
      <c r="D2563" s="15"/>
      <c r="E2563" s="18"/>
    </row>
    <row r="2564" spans="2:5" x14ac:dyDescent="0.4">
      <c r="B2564" s="17"/>
      <c r="C2564" s="15"/>
      <c r="D2564" s="15"/>
      <c r="E2564" s="18"/>
    </row>
    <row r="2565" spans="2:5" x14ac:dyDescent="0.4">
      <c r="B2565" s="17"/>
      <c r="C2565" s="15"/>
      <c r="D2565" s="15"/>
      <c r="E2565" s="18"/>
    </row>
    <row r="2566" spans="2:5" x14ac:dyDescent="0.4">
      <c r="B2566" s="17"/>
      <c r="C2566" s="15"/>
      <c r="D2566" s="15"/>
      <c r="E2566" s="18"/>
    </row>
    <row r="2567" spans="2:5" x14ac:dyDescent="0.4">
      <c r="B2567" s="17"/>
      <c r="C2567" s="15"/>
      <c r="D2567" s="15"/>
      <c r="E2567" s="18"/>
    </row>
    <row r="2568" spans="2:5" x14ac:dyDescent="0.4">
      <c r="B2568" s="17"/>
      <c r="C2568" s="15"/>
      <c r="D2568" s="15"/>
      <c r="E2568" s="18"/>
    </row>
    <row r="2569" spans="2:5" x14ac:dyDescent="0.4">
      <c r="B2569" s="17"/>
      <c r="C2569" s="15"/>
      <c r="D2569" s="15"/>
      <c r="E2569" s="18"/>
    </row>
    <row r="2570" spans="2:5" x14ac:dyDescent="0.4">
      <c r="B2570" s="17"/>
      <c r="C2570" s="15"/>
      <c r="D2570" s="15"/>
      <c r="E2570" s="18"/>
    </row>
    <row r="2571" spans="2:5" x14ac:dyDescent="0.4">
      <c r="B2571" s="17"/>
      <c r="C2571" s="15"/>
      <c r="D2571" s="15"/>
      <c r="E2571" s="18"/>
    </row>
    <row r="2572" spans="2:5" x14ac:dyDescent="0.4">
      <c r="B2572" s="17"/>
      <c r="C2572" s="15"/>
      <c r="D2572" s="15"/>
      <c r="E2572" s="18"/>
    </row>
    <row r="2573" spans="2:5" x14ac:dyDescent="0.4">
      <c r="B2573" s="17"/>
      <c r="C2573" s="15"/>
      <c r="D2573" s="15"/>
      <c r="E2573" s="18"/>
    </row>
    <row r="2574" spans="2:5" x14ac:dyDescent="0.4">
      <c r="B2574" s="17"/>
      <c r="C2574" s="15"/>
      <c r="D2574" s="15"/>
      <c r="E2574" s="18"/>
    </row>
    <row r="2575" spans="2:5" x14ac:dyDescent="0.4">
      <c r="B2575" s="17"/>
      <c r="C2575" s="15"/>
      <c r="D2575" s="15"/>
      <c r="E2575" s="18"/>
    </row>
    <row r="2576" spans="2:5" x14ac:dyDescent="0.4">
      <c r="B2576" s="17"/>
      <c r="C2576" s="15"/>
      <c r="D2576" s="15"/>
      <c r="E2576" s="18"/>
    </row>
    <row r="2577" spans="2:5" x14ac:dyDescent="0.4">
      <c r="B2577" s="17"/>
      <c r="C2577" s="15"/>
      <c r="D2577" s="15"/>
      <c r="E2577" s="18"/>
    </row>
    <row r="2578" spans="2:5" x14ac:dyDescent="0.4">
      <c r="B2578" s="17"/>
      <c r="C2578" s="15"/>
      <c r="D2578" s="15"/>
      <c r="E2578" s="18"/>
    </row>
    <row r="2579" spans="2:5" x14ac:dyDescent="0.4">
      <c r="B2579" s="17"/>
      <c r="C2579" s="15"/>
      <c r="D2579" s="15"/>
      <c r="E2579" s="18"/>
    </row>
    <row r="2580" spans="2:5" x14ac:dyDescent="0.4">
      <c r="B2580" s="17"/>
      <c r="C2580" s="15"/>
      <c r="D2580" s="15"/>
      <c r="E2580" s="18"/>
    </row>
    <row r="2581" spans="2:5" x14ac:dyDescent="0.4">
      <c r="B2581" s="17"/>
      <c r="C2581" s="15"/>
      <c r="D2581" s="15"/>
      <c r="E2581" s="18"/>
    </row>
    <row r="2582" spans="2:5" x14ac:dyDescent="0.4">
      <c r="B2582" s="17"/>
      <c r="C2582" s="15"/>
      <c r="D2582" s="15"/>
      <c r="E2582" s="18"/>
    </row>
    <row r="2583" spans="2:5" x14ac:dyDescent="0.4">
      <c r="B2583" s="17"/>
      <c r="C2583" s="15"/>
      <c r="D2583" s="15"/>
      <c r="E2583" s="18"/>
    </row>
    <row r="2584" spans="2:5" x14ac:dyDescent="0.4">
      <c r="B2584" s="17"/>
      <c r="C2584" s="15"/>
      <c r="D2584" s="15"/>
      <c r="E2584" s="18"/>
    </row>
    <row r="2585" spans="2:5" x14ac:dyDescent="0.4">
      <c r="B2585" s="17"/>
      <c r="C2585" s="15"/>
      <c r="D2585" s="15"/>
      <c r="E2585" s="18"/>
    </row>
    <row r="2586" spans="2:5" x14ac:dyDescent="0.4">
      <c r="B2586" s="17"/>
      <c r="C2586" s="15"/>
      <c r="D2586" s="15"/>
      <c r="E2586" s="18"/>
    </row>
    <row r="2587" spans="2:5" x14ac:dyDescent="0.4">
      <c r="B2587" s="17"/>
      <c r="C2587" s="15"/>
      <c r="D2587" s="15"/>
      <c r="E2587" s="18"/>
    </row>
    <row r="2588" spans="2:5" x14ac:dyDescent="0.4">
      <c r="B2588" s="17"/>
      <c r="C2588" s="15"/>
      <c r="D2588" s="15"/>
      <c r="E2588" s="18"/>
    </row>
    <row r="2589" spans="2:5" x14ac:dyDescent="0.4">
      <c r="B2589" s="17"/>
      <c r="C2589" s="15"/>
      <c r="D2589" s="15"/>
      <c r="E2589" s="18"/>
    </row>
    <row r="2590" spans="2:5" x14ac:dyDescent="0.4">
      <c r="B2590" s="17"/>
      <c r="C2590" s="15"/>
      <c r="D2590" s="15"/>
      <c r="E2590" s="18"/>
    </row>
    <row r="2591" spans="2:5" x14ac:dyDescent="0.4">
      <c r="B2591" s="17"/>
      <c r="C2591" s="15"/>
      <c r="D2591" s="15"/>
      <c r="E2591" s="18"/>
    </row>
    <row r="2592" spans="2:5" x14ac:dyDescent="0.4">
      <c r="B2592" s="17"/>
      <c r="C2592" s="15"/>
      <c r="D2592" s="15"/>
      <c r="E2592" s="18"/>
    </row>
    <row r="2593" spans="2:5" x14ac:dyDescent="0.4">
      <c r="B2593" s="17"/>
      <c r="C2593" s="15"/>
      <c r="D2593" s="15"/>
      <c r="E2593" s="18"/>
    </row>
    <row r="2594" spans="2:5" x14ac:dyDescent="0.4">
      <c r="B2594" s="17"/>
      <c r="C2594" s="15"/>
      <c r="D2594" s="15"/>
      <c r="E2594" s="18"/>
    </row>
    <row r="2595" spans="2:5" x14ac:dyDescent="0.4">
      <c r="B2595" s="17"/>
      <c r="C2595" s="15"/>
      <c r="D2595" s="15"/>
      <c r="E2595" s="18"/>
    </row>
    <row r="2596" spans="2:5" x14ac:dyDescent="0.4">
      <c r="B2596" s="17"/>
      <c r="C2596" s="15"/>
      <c r="D2596" s="15"/>
      <c r="E2596" s="18"/>
    </row>
    <row r="2597" spans="2:5" x14ac:dyDescent="0.4">
      <c r="B2597" s="17"/>
      <c r="C2597" s="15"/>
      <c r="D2597" s="15"/>
      <c r="E2597" s="18"/>
    </row>
    <row r="2598" spans="2:5" x14ac:dyDescent="0.4">
      <c r="B2598" s="17"/>
      <c r="C2598" s="15"/>
      <c r="D2598" s="15"/>
      <c r="E2598" s="18"/>
    </row>
    <row r="2599" spans="2:5" x14ac:dyDescent="0.4">
      <c r="B2599" s="17"/>
      <c r="C2599" s="15"/>
      <c r="D2599" s="15"/>
      <c r="E2599" s="18"/>
    </row>
    <row r="2600" spans="2:5" x14ac:dyDescent="0.4">
      <c r="B2600" s="17"/>
      <c r="C2600" s="15"/>
      <c r="D2600" s="15"/>
      <c r="E2600" s="18"/>
    </row>
    <row r="2601" spans="2:5" x14ac:dyDescent="0.4">
      <c r="B2601" s="17"/>
      <c r="C2601" s="15"/>
      <c r="D2601" s="15"/>
      <c r="E2601" s="18"/>
    </row>
    <row r="2602" spans="2:5" x14ac:dyDescent="0.4">
      <c r="B2602" s="17"/>
      <c r="C2602" s="15"/>
      <c r="D2602" s="15"/>
      <c r="E2602" s="18"/>
    </row>
    <row r="2603" spans="2:5" x14ac:dyDescent="0.4">
      <c r="B2603" s="17"/>
      <c r="C2603" s="15"/>
      <c r="D2603" s="15"/>
      <c r="E2603" s="18"/>
    </row>
    <row r="2604" spans="2:5" x14ac:dyDescent="0.4">
      <c r="B2604" s="17"/>
      <c r="C2604" s="15"/>
      <c r="D2604" s="15"/>
      <c r="E2604" s="18"/>
    </row>
    <row r="2605" spans="2:5" x14ac:dyDescent="0.4">
      <c r="B2605" s="17"/>
      <c r="C2605" s="15"/>
      <c r="D2605" s="15"/>
      <c r="E2605" s="18"/>
    </row>
    <row r="2606" spans="2:5" x14ac:dyDescent="0.4">
      <c r="B2606" s="17"/>
      <c r="C2606" s="15"/>
      <c r="D2606" s="15"/>
      <c r="E2606" s="18"/>
    </row>
    <row r="2607" spans="2:5" x14ac:dyDescent="0.4">
      <c r="B2607" s="17"/>
      <c r="C2607" s="15"/>
      <c r="D2607" s="15"/>
      <c r="E2607" s="18"/>
    </row>
    <row r="2608" spans="2:5" x14ac:dyDescent="0.4">
      <c r="B2608" s="17"/>
      <c r="C2608" s="15"/>
      <c r="D2608" s="15"/>
      <c r="E2608" s="18"/>
    </row>
    <row r="2609" spans="2:5" x14ac:dyDescent="0.4">
      <c r="B2609" s="17"/>
      <c r="C2609" s="15"/>
      <c r="D2609" s="15"/>
      <c r="E2609" s="18"/>
    </row>
    <row r="2610" spans="2:5" x14ac:dyDescent="0.4">
      <c r="B2610" s="17"/>
      <c r="C2610" s="15"/>
      <c r="D2610" s="15"/>
      <c r="E2610" s="18"/>
    </row>
    <row r="2611" spans="2:5" x14ac:dyDescent="0.4">
      <c r="B2611" s="17"/>
      <c r="C2611" s="15"/>
      <c r="D2611" s="15"/>
      <c r="E2611" s="18"/>
    </row>
    <row r="2612" spans="2:5" x14ac:dyDescent="0.4">
      <c r="B2612" s="17"/>
      <c r="C2612" s="15"/>
      <c r="D2612" s="15"/>
      <c r="E2612" s="18"/>
    </row>
    <row r="2613" spans="2:5" x14ac:dyDescent="0.4">
      <c r="B2613" s="17"/>
      <c r="C2613" s="15"/>
      <c r="D2613" s="15"/>
      <c r="E2613" s="18"/>
    </row>
    <row r="2614" spans="2:5" x14ac:dyDescent="0.4">
      <c r="B2614" s="17"/>
      <c r="C2614" s="15"/>
      <c r="D2614" s="15"/>
      <c r="E2614" s="18"/>
    </row>
    <row r="2615" spans="2:5" x14ac:dyDescent="0.4">
      <c r="B2615" s="17"/>
      <c r="C2615" s="15"/>
      <c r="D2615" s="15"/>
      <c r="E2615" s="18"/>
    </row>
    <row r="2616" spans="2:5" x14ac:dyDescent="0.4">
      <c r="B2616" s="17"/>
      <c r="C2616" s="15"/>
      <c r="D2616" s="15"/>
      <c r="E2616" s="18"/>
    </row>
    <row r="2617" spans="2:5" x14ac:dyDescent="0.4">
      <c r="B2617" s="17"/>
      <c r="C2617" s="15"/>
      <c r="D2617" s="15"/>
      <c r="E2617" s="18"/>
    </row>
    <row r="2618" spans="2:5" x14ac:dyDescent="0.4">
      <c r="B2618" s="17"/>
      <c r="C2618" s="15"/>
      <c r="D2618" s="15"/>
      <c r="E2618" s="18"/>
    </row>
    <row r="2619" spans="2:5" x14ac:dyDescent="0.4">
      <c r="B2619" s="17"/>
      <c r="C2619" s="15"/>
      <c r="D2619" s="15"/>
      <c r="E2619" s="18"/>
    </row>
    <row r="2620" spans="2:5" x14ac:dyDescent="0.4">
      <c r="B2620" s="17"/>
      <c r="C2620" s="15"/>
      <c r="D2620" s="15"/>
      <c r="E2620" s="18"/>
    </row>
    <row r="2621" spans="2:5" x14ac:dyDescent="0.4">
      <c r="B2621" s="17"/>
      <c r="C2621" s="15"/>
      <c r="D2621" s="15"/>
      <c r="E2621" s="18"/>
    </row>
    <row r="2622" spans="2:5" x14ac:dyDescent="0.4">
      <c r="B2622" s="17"/>
      <c r="C2622" s="15"/>
      <c r="D2622" s="15"/>
      <c r="E2622" s="18"/>
    </row>
    <row r="2623" spans="2:5" x14ac:dyDescent="0.4">
      <c r="B2623" s="17"/>
      <c r="C2623" s="15"/>
      <c r="D2623" s="15"/>
      <c r="E2623" s="18"/>
    </row>
    <row r="2624" spans="2:5" x14ac:dyDescent="0.4">
      <c r="B2624" s="17"/>
      <c r="C2624" s="15"/>
      <c r="D2624" s="15"/>
      <c r="E2624" s="18"/>
    </row>
    <row r="2625" spans="2:5" x14ac:dyDescent="0.4">
      <c r="B2625" s="17"/>
      <c r="C2625" s="15"/>
      <c r="D2625" s="15"/>
      <c r="E2625" s="18"/>
    </row>
    <row r="2626" spans="2:5" x14ac:dyDescent="0.4">
      <c r="B2626" s="17"/>
      <c r="C2626" s="15"/>
      <c r="D2626" s="15"/>
      <c r="E2626" s="18"/>
    </row>
    <row r="2627" spans="2:5" x14ac:dyDescent="0.4">
      <c r="B2627" s="17"/>
      <c r="C2627" s="15"/>
      <c r="D2627" s="15"/>
      <c r="E2627" s="18"/>
    </row>
    <row r="2628" spans="2:5" x14ac:dyDescent="0.4">
      <c r="B2628" s="17"/>
      <c r="C2628" s="15"/>
      <c r="D2628" s="15"/>
      <c r="E2628" s="18"/>
    </row>
    <row r="2629" spans="2:5" x14ac:dyDescent="0.4">
      <c r="B2629" s="17"/>
      <c r="C2629" s="15"/>
      <c r="D2629" s="15"/>
      <c r="E2629" s="18"/>
    </row>
    <row r="2630" spans="2:5" x14ac:dyDescent="0.4">
      <c r="B2630" s="17"/>
      <c r="C2630" s="15"/>
      <c r="D2630" s="15"/>
      <c r="E2630" s="18"/>
    </row>
    <row r="2631" spans="2:5" x14ac:dyDescent="0.4">
      <c r="B2631" s="17"/>
      <c r="C2631" s="15"/>
      <c r="D2631" s="15"/>
      <c r="E2631" s="18"/>
    </row>
    <row r="2632" spans="2:5" x14ac:dyDescent="0.4">
      <c r="B2632" s="17"/>
      <c r="C2632" s="15"/>
      <c r="D2632" s="15"/>
      <c r="E2632" s="18"/>
    </row>
    <row r="2633" spans="2:5" x14ac:dyDescent="0.4">
      <c r="B2633" s="17"/>
      <c r="C2633" s="15"/>
      <c r="D2633" s="15"/>
      <c r="E2633" s="18"/>
    </row>
    <row r="2634" spans="2:5" x14ac:dyDescent="0.4">
      <c r="B2634" s="17"/>
      <c r="C2634" s="15"/>
      <c r="D2634" s="15"/>
      <c r="E2634" s="18"/>
    </row>
    <row r="2635" spans="2:5" x14ac:dyDescent="0.4">
      <c r="B2635" s="17"/>
      <c r="C2635" s="15"/>
      <c r="D2635" s="15"/>
      <c r="E2635" s="18"/>
    </row>
    <row r="2636" spans="2:5" x14ac:dyDescent="0.4">
      <c r="B2636" s="17"/>
      <c r="C2636" s="15"/>
      <c r="D2636" s="15"/>
      <c r="E2636" s="18"/>
    </row>
    <row r="2637" spans="2:5" x14ac:dyDescent="0.4">
      <c r="B2637" s="17"/>
      <c r="C2637" s="15"/>
      <c r="D2637" s="15"/>
      <c r="E2637" s="18"/>
    </row>
    <row r="2638" spans="2:5" x14ac:dyDescent="0.4">
      <c r="B2638" s="17"/>
      <c r="C2638" s="15"/>
      <c r="D2638" s="15"/>
      <c r="E2638" s="18"/>
    </row>
    <row r="2639" spans="2:5" x14ac:dyDescent="0.4">
      <c r="B2639" s="17"/>
      <c r="C2639" s="15"/>
      <c r="D2639" s="15"/>
      <c r="E2639" s="18"/>
    </row>
    <row r="2640" spans="2:5" x14ac:dyDescent="0.4">
      <c r="B2640" s="17"/>
      <c r="C2640" s="15"/>
      <c r="D2640" s="15"/>
      <c r="E2640" s="18"/>
    </row>
    <row r="2641" spans="2:5" x14ac:dyDescent="0.4">
      <c r="B2641" s="17"/>
      <c r="C2641" s="15"/>
      <c r="D2641" s="15"/>
      <c r="E2641" s="18"/>
    </row>
    <row r="2642" spans="2:5" x14ac:dyDescent="0.4">
      <c r="B2642" s="17"/>
      <c r="C2642" s="15"/>
      <c r="D2642" s="15"/>
      <c r="E2642" s="18"/>
    </row>
    <row r="2643" spans="2:5" x14ac:dyDescent="0.4">
      <c r="B2643" s="17"/>
      <c r="C2643" s="15"/>
      <c r="D2643" s="15"/>
      <c r="E2643" s="18"/>
    </row>
    <row r="2644" spans="2:5" x14ac:dyDescent="0.4">
      <c r="B2644" s="17"/>
      <c r="C2644" s="15"/>
      <c r="D2644" s="15"/>
      <c r="E2644" s="18"/>
    </row>
    <row r="2645" spans="2:5" x14ac:dyDescent="0.4">
      <c r="B2645" s="17"/>
      <c r="C2645" s="15"/>
      <c r="D2645" s="15"/>
      <c r="E2645" s="18"/>
    </row>
    <row r="2646" spans="2:5" x14ac:dyDescent="0.4">
      <c r="B2646" s="17"/>
      <c r="C2646" s="15"/>
      <c r="D2646" s="15"/>
      <c r="E2646" s="18"/>
    </row>
    <row r="2647" spans="2:5" x14ac:dyDescent="0.4">
      <c r="B2647" s="17"/>
      <c r="C2647" s="15"/>
      <c r="D2647" s="15"/>
      <c r="E2647" s="18"/>
    </row>
    <row r="2648" spans="2:5" x14ac:dyDescent="0.4">
      <c r="B2648" s="17"/>
      <c r="C2648" s="15"/>
      <c r="D2648" s="15"/>
      <c r="E2648" s="18"/>
    </row>
    <row r="2649" spans="2:5" x14ac:dyDescent="0.4">
      <c r="B2649" s="17"/>
      <c r="C2649" s="15"/>
      <c r="D2649" s="15"/>
      <c r="E2649" s="18"/>
    </row>
    <row r="2650" spans="2:5" x14ac:dyDescent="0.4">
      <c r="B2650" s="17"/>
      <c r="C2650" s="15"/>
      <c r="D2650" s="15"/>
      <c r="E2650" s="18"/>
    </row>
    <row r="2651" spans="2:5" x14ac:dyDescent="0.4">
      <c r="B2651" s="17"/>
      <c r="C2651" s="15"/>
      <c r="D2651" s="15"/>
      <c r="E2651" s="18"/>
    </row>
    <row r="2652" spans="2:5" x14ac:dyDescent="0.4">
      <c r="B2652" s="17"/>
      <c r="C2652" s="15"/>
      <c r="D2652" s="15"/>
      <c r="E2652" s="18"/>
    </row>
    <row r="2653" spans="2:5" x14ac:dyDescent="0.4">
      <c r="B2653" s="17"/>
      <c r="C2653" s="15"/>
      <c r="D2653" s="15"/>
      <c r="E2653" s="18"/>
    </row>
    <row r="2654" spans="2:5" x14ac:dyDescent="0.4">
      <c r="B2654" s="17"/>
      <c r="C2654" s="15"/>
      <c r="D2654" s="15"/>
      <c r="E2654" s="18"/>
    </row>
    <row r="2655" spans="2:5" x14ac:dyDescent="0.4">
      <c r="B2655" s="17"/>
      <c r="C2655" s="15"/>
      <c r="D2655" s="15"/>
      <c r="E2655" s="18"/>
    </row>
    <row r="2656" spans="2:5" x14ac:dyDescent="0.4">
      <c r="B2656" s="17"/>
      <c r="C2656" s="15"/>
      <c r="D2656" s="15"/>
      <c r="E2656" s="18"/>
    </row>
    <row r="2657" spans="2:5" x14ac:dyDescent="0.4">
      <c r="B2657" s="17"/>
      <c r="C2657" s="15"/>
      <c r="D2657" s="15"/>
      <c r="E2657" s="18"/>
    </row>
    <row r="2658" spans="2:5" x14ac:dyDescent="0.4">
      <c r="B2658" s="17"/>
      <c r="C2658" s="15"/>
      <c r="D2658" s="15"/>
      <c r="E2658" s="18"/>
    </row>
    <row r="2659" spans="2:5" x14ac:dyDescent="0.4">
      <c r="B2659" s="17"/>
      <c r="C2659" s="15"/>
      <c r="D2659" s="15"/>
      <c r="E2659" s="18"/>
    </row>
    <row r="2660" spans="2:5" x14ac:dyDescent="0.4">
      <c r="B2660" s="17"/>
      <c r="C2660" s="15"/>
      <c r="D2660" s="15"/>
      <c r="E2660" s="18"/>
    </row>
    <row r="2661" spans="2:5" x14ac:dyDescent="0.4">
      <c r="B2661" s="17"/>
      <c r="C2661" s="15"/>
      <c r="D2661" s="15"/>
      <c r="E2661" s="18"/>
    </row>
    <row r="2662" spans="2:5" x14ac:dyDescent="0.4">
      <c r="B2662" s="17"/>
      <c r="C2662" s="15"/>
      <c r="D2662" s="15"/>
      <c r="E2662" s="18"/>
    </row>
    <row r="2663" spans="2:5" x14ac:dyDescent="0.4">
      <c r="B2663" s="17"/>
      <c r="C2663" s="15"/>
      <c r="D2663" s="15"/>
      <c r="E2663" s="18"/>
    </row>
    <row r="2664" spans="2:5" x14ac:dyDescent="0.4">
      <c r="B2664" s="17"/>
      <c r="C2664" s="15"/>
      <c r="D2664" s="15"/>
      <c r="E2664" s="18"/>
    </row>
    <row r="2665" spans="2:5" x14ac:dyDescent="0.4">
      <c r="B2665" s="17"/>
      <c r="C2665" s="15"/>
      <c r="D2665" s="15"/>
      <c r="E2665" s="18"/>
    </row>
    <row r="2666" spans="2:5" x14ac:dyDescent="0.4">
      <c r="B2666" s="17"/>
      <c r="C2666" s="15"/>
      <c r="D2666" s="15"/>
      <c r="E2666" s="18"/>
    </row>
    <row r="2667" spans="2:5" x14ac:dyDescent="0.4">
      <c r="B2667" s="17"/>
      <c r="C2667" s="15"/>
      <c r="D2667" s="15"/>
      <c r="E2667" s="18"/>
    </row>
    <row r="2668" spans="2:5" x14ac:dyDescent="0.4">
      <c r="B2668" s="17"/>
      <c r="C2668" s="15"/>
      <c r="D2668" s="15"/>
      <c r="E2668" s="18"/>
    </row>
    <row r="2669" spans="2:5" x14ac:dyDescent="0.4">
      <c r="B2669" s="17"/>
      <c r="C2669" s="15"/>
      <c r="D2669" s="15"/>
      <c r="E2669" s="18"/>
    </row>
    <row r="2670" spans="2:5" x14ac:dyDescent="0.4">
      <c r="B2670" s="17"/>
      <c r="C2670" s="15"/>
      <c r="D2670" s="15"/>
      <c r="E2670" s="18"/>
    </row>
    <row r="2671" spans="2:5" x14ac:dyDescent="0.4">
      <c r="B2671" s="17"/>
      <c r="C2671" s="15"/>
      <c r="D2671" s="15"/>
      <c r="E2671" s="18"/>
    </row>
    <row r="2672" spans="2:5" x14ac:dyDescent="0.4">
      <c r="B2672" s="17"/>
      <c r="C2672" s="15"/>
      <c r="D2672" s="15"/>
      <c r="E2672" s="18"/>
    </row>
    <row r="2673" spans="2:5" x14ac:dyDescent="0.4">
      <c r="B2673" s="17"/>
      <c r="C2673" s="15"/>
      <c r="D2673" s="15"/>
      <c r="E2673" s="18"/>
    </row>
    <row r="2674" spans="2:5" x14ac:dyDescent="0.4">
      <c r="B2674" s="17"/>
      <c r="C2674" s="15"/>
      <c r="D2674" s="15"/>
      <c r="E2674" s="18"/>
    </row>
    <row r="2675" spans="2:5" x14ac:dyDescent="0.4">
      <c r="B2675" s="17"/>
      <c r="C2675" s="15"/>
      <c r="D2675" s="15"/>
      <c r="E2675" s="18"/>
    </row>
    <row r="2676" spans="2:5" x14ac:dyDescent="0.4">
      <c r="B2676" s="17"/>
      <c r="C2676" s="15"/>
      <c r="D2676" s="15"/>
      <c r="E2676" s="18"/>
    </row>
    <row r="2677" spans="2:5" x14ac:dyDescent="0.4">
      <c r="B2677" s="17"/>
      <c r="C2677" s="15"/>
      <c r="D2677" s="15"/>
      <c r="E2677" s="18"/>
    </row>
    <row r="2678" spans="2:5" x14ac:dyDescent="0.4">
      <c r="B2678" s="17"/>
      <c r="C2678" s="15"/>
      <c r="D2678" s="15"/>
      <c r="E2678" s="18"/>
    </row>
    <row r="2679" spans="2:5" x14ac:dyDescent="0.4">
      <c r="B2679" s="17"/>
      <c r="C2679" s="15"/>
      <c r="D2679" s="15"/>
      <c r="E2679" s="18"/>
    </row>
    <row r="2680" spans="2:5" x14ac:dyDescent="0.4">
      <c r="B2680" s="17"/>
      <c r="C2680" s="15"/>
      <c r="D2680" s="15"/>
      <c r="E2680" s="18"/>
    </row>
    <row r="2681" spans="2:5" x14ac:dyDescent="0.4">
      <c r="B2681" s="17"/>
      <c r="C2681" s="15"/>
      <c r="D2681" s="15"/>
      <c r="E2681" s="18"/>
    </row>
    <row r="2682" spans="2:5" x14ac:dyDescent="0.4">
      <c r="B2682" s="17"/>
      <c r="C2682" s="15"/>
      <c r="D2682" s="15"/>
      <c r="E2682" s="18"/>
    </row>
    <row r="2683" spans="2:5" x14ac:dyDescent="0.4">
      <c r="B2683" s="17"/>
      <c r="C2683" s="15"/>
      <c r="D2683" s="15"/>
      <c r="E2683" s="18"/>
    </row>
    <row r="2684" spans="2:5" x14ac:dyDescent="0.4">
      <c r="B2684" s="17"/>
      <c r="C2684" s="15"/>
      <c r="D2684" s="15"/>
      <c r="E2684" s="18"/>
    </row>
    <row r="2685" spans="2:5" x14ac:dyDescent="0.4">
      <c r="B2685" s="17"/>
      <c r="C2685" s="15"/>
      <c r="D2685" s="15"/>
      <c r="E2685" s="18"/>
    </row>
    <row r="2686" spans="2:5" x14ac:dyDescent="0.4">
      <c r="B2686" s="17"/>
      <c r="C2686" s="15"/>
      <c r="D2686" s="15"/>
      <c r="E2686" s="18"/>
    </row>
    <row r="2687" spans="2:5" x14ac:dyDescent="0.4">
      <c r="B2687" s="17"/>
      <c r="C2687" s="15"/>
      <c r="D2687" s="15"/>
      <c r="E2687" s="18"/>
    </row>
    <row r="2688" spans="2:5" x14ac:dyDescent="0.4">
      <c r="B2688" s="17"/>
      <c r="C2688" s="15"/>
      <c r="D2688" s="15"/>
      <c r="E2688" s="18"/>
    </row>
    <row r="2689" spans="2:5" x14ac:dyDescent="0.4">
      <c r="B2689" s="17"/>
      <c r="C2689" s="15"/>
      <c r="D2689" s="15"/>
      <c r="E2689" s="18"/>
    </row>
    <row r="2690" spans="2:5" x14ac:dyDescent="0.4">
      <c r="B2690" s="17"/>
      <c r="C2690" s="15"/>
      <c r="D2690" s="15"/>
      <c r="E2690" s="18"/>
    </row>
    <row r="2691" spans="2:5" x14ac:dyDescent="0.4">
      <c r="B2691" s="17"/>
      <c r="C2691" s="15"/>
      <c r="D2691" s="15"/>
      <c r="E2691" s="18"/>
    </row>
    <row r="2692" spans="2:5" x14ac:dyDescent="0.4">
      <c r="B2692" s="17"/>
      <c r="C2692" s="15"/>
      <c r="D2692" s="15"/>
      <c r="E2692" s="18"/>
    </row>
    <row r="2693" spans="2:5" x14ac:dyDescent="0.4">
      <c r="B2693" s="17"/>
      <c r="C2693" s="15"/>
      <c r="D2693" s="15"/>
      <c r="E2693" s="18"/>
    </row>
    <row r="2694" spans="2:5" x14ac:dyDescent="0.4">
      <c r="B2694" s="17"/>
      <c r="C2694" s="15"/>
      <c r="D2694" s="15"/>
      <c r="E2694" s="18"/>
    </row>
    <row r="2695" spans="2:5" x14ac:dyDescent="0.4">
      <c r="B2695" s="17"/>
      <c r="C2695" s="15"/>
      <c r="D2695" s="15"/>
      <c r="E2695" s="18"/>
    </row>
    <row r="2696" spans="2:5" x14ac:dyDescent="0.4">
      <c r="B2696" s="17"/>
      <c r="C2696" s="15"/>
      <c r="D2696" s="15"/>
      <c r="E2696" s="18"/>
    </row>
    <row r="2697" spans="2:5" x14ac:dyDescent="0.4">
      <c r="B2697" s="17"/>
      <c r="C2697" s="15"/>
      <c r="D2697" s="15"/>
      <c r="E2697" s="18"/>
    </row>
    <row r="2698" spans="2:5" x14ac:dyDescent="0.4">
      <c r="B2698" s="17"/>
      <c r="C2698" s="15"/>
      <c r="D2698" s="15"/>
      <c r="E2698" s="18"/>
    </row>
    <row r="2699" spans="2:5" x14ac:dyDescent="0.4">
      <c r="B2699" s="17"/>
      <c r="C2699" s="15"/>
      <c r="D2699" s="15"/>
      <c r="E2699" s="18"/>
    </row>
    <row r="2700" spans="2:5" x14ac:dyDescent="0.4">
      <c r="B2700" s="17"/>
      <c r="C2700" s="15"/>
      <c r="D2700" s="15"/>
      <c r="E2700" s="18"/>
    </row>
    <row r="2701" spans="2:5" x14ac:dyDescent="0.4">
      <c r="B2701" s="17"/>
      <c r="C2701" s="15"/>
      <c r="D2701" s="15"/>
      <c r="E2701" s="18"/>
    </row>
    <row r="2702" spans="2:5" x14ac:dyDescent="0.4">
      <c r="B2702" s="17"/>
      <c r="C2702" s="15"/>
      <c r="D2702" s="15"/>
      <c r="E2702" s="18"/>
    </row>
    <row r="2703" spans="2:5" x14ac:dyDescent="0.4">
      <c r="B2703" s="17"/>
      <c r="C2703" s="15"/>
      <c r="D2703" s="15"/>
      <c r="E2703" s="18"/>
    </row>
    <row r="2704" spans="2:5" x14ac:dyDescent="0.4">
      <c r="B2704" s="17"/>
      <c r="C2704" s="15"/>
      <c r="D2704" s="15"/>
      <c r="E2704" s="18"/>
    </row>
    <row r="2705" spans="2:5" x14ac:dyDescent="0.4">
      <c r="B2705" s="17"/>
      <c r="C2705" s="15"/>
      <c r="D2705" s="15"/>
      <c r="E2705" s="18"/>
    </row>
    <row r="2706" spans="2:5" x14ac:dyDescent="0.4">
      <c r="B2706" s="17"/>
      <c r="C2706" s="15"/>
      <c r="D2706" s="15"/>
      <c r="E2706" s="18"/>
    </row>
    <row r="2707" spans="2:5" x14ac:dyDescent="0.4">
      <c r="B2707" s="17"/>
      <c r="C2707" s="15"/>
      <c r="D2707" s="15"/>
      <c r="E2707" s="18"/>
    </row>
    <row r="2708" spans="2:5" x14ac:dyDescent="0.4">
      <c r="B2708" s="17"/>
      <c r="C2708" s="15"/>
      <c r="D2708" s="15"/>
      <c r="E2708" s="18"/>
    </row>
    <row r="2709" spans="2:5" x14ac:dyDescent="0.4">
      <c r="B2709" s="17"/>
      <c r="C2709" s="15"/>
      <c r="D2709" s="15"/>
      <c r="E2709" s="18"/>
    </row>
    <row r="2710" spans="2:5" x14ac:dyDescent="0.4">
      <c r="B2710" s="17"/>
      <c r="C2710" s="15"/>
      <c r="D2710" s="15"/>
      <c r="E2710" s="18"/>
    </row>
    <row r="2711" spans="2:5" x14ac:dyDescent="0.4">
      <c r="B2711" s="17"/>
      <c r="C2711" s="15"/>
      <c r="D2711" s="15"/>
      <c r="E2711" s="18"/>
    </row>
    <row r="2712" spans="2:5" x14ac:dyDescent="0.4">
      <c r="B2712" s="17"/>
      <c r="C2712" s="15"/>
      <c r="D2712" s="15"/>
      <c r="E2712" s="18"/>
    </row>
    <row r="2713" spans="2:5" x14ac:dyDescent="0.4">
      <c r="B2713" s="17"/>
      <c r="C2713" s="15"/>
      <c r="D2713" s="15"/>
      <c r="E2713" s="18"/>
    </row>
    <row r="2714" spans="2:5" x14ac:dyDescent="0.4">
      <c r="B2714" s="17"/>
      <c r="C2714" s="15"/>
      <c r="D2714" s="15"/>
      <c r="E2714" s="18"/>
    </row>
    <row r="2715" spans="2:5" x14ac:dyDescent="0.4">
      <c r="B2715" s="17"/>
      <c r="C2715" s="15"/>
      <c r="D2715" s="15"/>
      <c r="E2715" s="18"/>
    </row>
    <row r="2716" spans="2:5" x14ac:dyDescent="0.4">
      <c r="B2716" s="17"/>
      <c r="C2716" s="15"/>
      <c r="D2716" s="15"/>
      <c r="E2716" s="18"/>
    </row>
    <row r="2717" spans="2:5" x14ac:dyDescent="0.4">
      <c r="B2717" s="17"/>
      <c r="C2717" s="15"/>
      <c r="D2717" s="15"/>
      <c r="E2717" s="18"/>
    </row>
    <row r="2718" spans="2:5" x14ac:dyDescent="0.4">
      <c r="B2718" s="17"/>
      <c r="C2718" s="15"/>
      <c r="D2718" s="15"/>
      <c r="E2718" s="18"/>
    </row>
    <row r="2719" spans="2:5" x14ac:dyDescent="0.4">
      <c r="B2719" s="17"/>
      <c r="C2719" s="15"/>
      <c r="D2719" s="15"/>
      <c r="E2719" s="18"/>
    </row>
    <row r="2720" spans="2:5" x14ac:dyDescent="0.4">
      <c r="B2720" s="17"/>
      <c r="C2720" s="15"/>
      <c r="D2720" s="15"/>
      <c r="E2720" s="18"/>
    </row>
    <row r="2721" spans="2:5" x14ac:dyDescent="0.4">
      <c r="B2721" s="17"/>
      <c r="C2721" s="15"/>
      <c r="D2721" s="15"/>
      <c r="E2721" s="18"/>
    </row>
    <row r="2722" spans="2:5" x14ac:dyDescent="0.4">
      <c r="B2722" s="17"/>
      <c r="C2722" s="15"/>
      <c r="D2722" s="15"/>
      <c r="E2722" s="18"/>
    </row>
    <row r="2723" spans="2:5" x14ac:dyDescent="0.4">
      <c r="B2723" s="17"/>
      <c r="C2723" s="15"/>
      <c r="D2723" s="15"/>
      <c r="E2723" s="18"/>
    </row>
    <row r="2724" spans="2:5" x14ac:dyDescent="0.4">
      <c r="B2724" s="17"/>
      <c r="C2724" s="15"/>
      <c r="D2724" s="15"/>
      <c r="E2724" s="18"/>
    </row>
    <row r="2725" spans="2:5" x14ac:dyDescent="0.4">
      <c r="B2725" s="17"/>
      <c r="C2725" s="15"/>
      <c r="D2725" s="15"/>
      <c r="E2725" s="18"/>
    </row>
    <row r="2726" spans="2:5" x14ac:dyDescent="0.4">
      <c r="B2726" s="17"/>
      <c r="C2726" s="15"/>
      <c r="D2726" s="15"/>
      <c r="E2726" s="18"/>
    </row>
    <row r="2727" spans="2:5" x14ac:dyDescent="0.4">
      <c r="B2727" s="17"/>
      <c r="C2727" s="15"/>
      <c r="D2727" s="15"/>
      <c r="E2727" s="18"/>
    </row>
    <row r="2728" spans="2:5" x14ac:dyDescent="0.4">
      <c r="B2728" s="17"/>
      <c r="C2728" s="15"/>
      <c r="D2728" s="15"/>
      <c r="E2728" s="18"/>
    </row>
    <row r="2729" spans="2:5" x14ac:dyDescent="0.4">
      <c r="B2729" s="17"/>
      <c r="C2729" s="15"/>
      <c r="D2729" s="15"/>
      <c r="E2729" s="18"/>
    </row>
    <row r="2730" spans="2:5" x14ac:dyDescent="0.4">
      <c r="B2730" s="17"/>
      <c r="C2730" s="15"/>
      <c r="D2730" s="15"/>
      <c r="E2730" s="18"/>
    </row>
    <row r="2731" spans="2:5" x14ac:dyDescent="0.4">
      <c r="B2731" s="17"/>
      <c r="C2731" s="15"/>
      <c r="D2731" s="15"/>
      <c r="E2731" s="18"/>
    </row>
    <row r="2732" spans="2:5" x14ac:dyDescent="0.4">
      <c r="B2732" s="17"/>
      <c r="C2732" s="15"/>
      <c r="D2732" s="15"/>
      <c r="E2732" s="18"/>
    </row>
    <row r="2733" spans="2:5" x14ac:dyDescent="0.4">
      <c r="B2733" s="17"/>
      <c r="C2733" s="15"/>
      <c r="D2733" s="15"/>
      <c r="E2733" s="18"/>
    </row>
    <row r="2734" spans="2:5" x14ac:dyDescent="0.4">
      <c r="B2734" s="17"/>
      <c r="C2734" s="15"/>
      <c r="D2734" s="15"/>
      <c r="E2734" s="18"/>
    </row>
    <row r="2735" spans="2:5" x14ac:dyDescent="0.4">
      <c r="B2735" s="17"/>
      <c r="C2735" s="15"/>
      <c r="D2735" s="15"/>
      <c r="E2735" s="18"/>
    </row>
    <row r="2736" spans="2:5" x14ac:dyDescent="0.4">
      <c r="B2736" s="17"/>
      <c r="C2736" s="15"/>
      <c r="D2736" s="15"/>
      <c r="E2736" s="18"/>
    </row>
    <row r="2737" spans="2:5" x14ac:dyDescent="0.4">
      <c r="B2737" s="17"/>
      <c r="C2737" s="15"/>
      <c r="D2737" s="15"/>
      <c r="E2737" s="18"/>
    </row>
    <row r="2738" spans="2:5" x14ac:dyDescent="0.4">
      <c r="B2738" s="17"/>
      <c r="C2738" s="15"/>
      <c r="D2738" s="15"/>
      <c r="E2738" s="18"/>
    </row>
    <row r="2739" spans="2:5" x14ac:dyDescent="0.4">
      <c r="B2739" s="17"/>
      <c r="C2739" s="15"/>
      <c r="D2739" s="15"/>
      <c r="E2739" s="18"/>
    </row>
    <row r="2740" spans="2:5" x14ac:dyDescent="0.4">
      <c r="B2740" s="17"/>
      <c r="C2740" s="15"/>
      <c r="D2740" s="15"/>
      <c r="E2740" s="18"/>
    </row>
    <row r="2741" spans="2:5" x14ac:dyDescent="0.4">
      <c r="B2741" s="17"/>
      <c r="C2741" s="15"/>
      <c r="D2741" s="15"/>
      <c r="E2741" s="18"/>
    </row>
    <row r="2742" spans="2:5" x14ac:dyDescent="0.4">
      <c r="B2742" s="17"/>
      <c r="C2742" s="15"/>
      <c r="D2742" s="15"/>
      <c r="E2742" s="18"/>
    </row>
    <row r="2743" spans="2:5" x14ac:dyDescent="0.4">
      <c r="B2743" s="17"/>
      <c r="C2743" s="15"/>
      <c r="D2743" s="15"/>
      <c r="E2743" s="18"/>
    </row>
    <row r="2744" spans="2:5" x14ac:dyDescent="0.4">
      <c r="B2744" s="17"/>
      <c r="C2744" s="15"/>
      <c r="D2744" s="15"/>
      <c r="E2744" s="18"/>
    </row>
    <row r="2745" spans="2:5" x14ac:dyDescent="0.4">
      <c r="B2745" s="17"/>
      <c r="C2745" s="15"/>
      <c r="D2745" s="15"/>
      <c r="E2745" s="18"/>
    </row>
    <row r="2746" spans="2:5" x14ac:dyDescent="0.4">
      <c r="B2746" s="17"/>
      <c r="C2746" s="15"/>
      <c r="D2746" s="15"/>
      <c r="E2746" s="18"/>
    </row>
    <row r="2747" spans="2:5" x14ac:dyDescent="0.4">
      <c r="B2747" s="17"/>
      <c r="C2747" s="15"/>
      <c r="D2747" s="15"/>
      <c r="E2747" s="18"/>
    </row>
    <row r="2748" spans="2:5" x14ac:dyDescent="0.4">
      <c r="B2748" s="17"/>
      <c r="C2748" s="15"/>
      <c r="D2748" s="15"/>
      <c r="E2748" s="18"/>
    </row>
    <row r="2749" spans="2:5" x14ac:dyDescent="0.4">
      <c r="B2749" s="17"/>
      <c r="C2749" s="15"/>
      <c r="D2749" s="15"/>
      <c r="E2749" s="18"/>
    </row>
    <row r="2750" spans="2:5" x14ac:dyDescent="0.4">
      <c r="B2750" s="17"/>
      <c r="C2750" s="15"/>
      <c r="D2750" s="15"/>
      <c r="E2750" s="18"/>
    </row>
    <row r="2751" spans="2:5" x14ac:dyDescent="0.4">
      <c r="B2751" s="17"/>
      <c r="C2751" s="15"/>
      <c r="D2751" s="15"/>
      <c r="E2751" s="18"/>
    </row>
    <row r="2752" spans="2:5" x14ac:dyDescent="0.4">
      <c r="B2752" s="17"/>
      <c r="C2752" s="15"/>
      <c r="D2752" s="15"/>
      <c r="E2752" s="18"/>
    </row>
    <row r="2753" spans="2:5" x14ac:dyDescent="0.4">
      <c r="B2753" s="17"/>
      <c r="C2753" s="15"/>
      <c r="D2753" s="15"/>
      <c r="E2753" s="18"/>
    </row>
    <row r="2754" spans="2:5" x14ac:dyDescent="0.4">
      <c r="B2754" s="17"/>
      <c r="C2754" s="15"/>
      <c r="D2754" s="15"/>
      <c r="E2754" s="18"/>
    </row>
    <row r="2755" spans="2:5" x14ac:dyDescent="0.4">
      <c r="B2755" s="17"/>
      <c r="C2755" s="15"/>
      <c r="D2755" s="15"/>
      <c r="E2755" s="18"/>
    </row>
    <row r="2756" spans="2:5" x14ac:dyDescent="0.4">
      <c r="B2756" s="17"/>
      <c r="C2756" s="15"/>
      <c r="D2756" s="15"/>
      <c r="E2756" s="18"/>
    </row>
    <row r="2757" spans="2:5" x14ac:dyDescent="0.4">
      <c r="B2757" s="17"/>
      <c r="C2757" s="15"/>
      <c r="D2757" s="15"/>
      <c r="E2757" s="18"/>
    </row>
    <row r="2758" spans="2:5" x14ac:dyDescent="0.4">
      <c r="B2758" s="17"/>
      <c r="C2758" s="15"/>
      <c r="D2758" s="15"/>
      <c r="E2758" s="18"/>
    </row>
    <row r="2759" spans="2:5" x14ac:dyDescent="0.4">
      <c r="B2759" s="17"/>
      <c r="C2759" s="15"/>
      <c r="D2759" s="15"/>
      <c r="E2759" s="18"/>
    </row>
    <row r="2760" spans="2:5" x14ac:dyDescent="0.4">
      <c r="B2760" s="17"/>
      <c r="C2760" s="15"/>
      <c r="D2760" s="15"/>
      <c r="E2760" s="18"/>
    </row>
    <row r="2761" spans="2:5" x14ac:dyDescent="0.4">
      <c r="B2761" s="17"/>
      <c r="C2761" s="15"/>
      <c r="D2761" s="15"/>
      <c r="E2761" s="18"/>
    </row>
    <row r="2762" spans="2:5" x14ac:dyDescent="0.4">
      <c r="B2762" s="17"/>
      <c r="C2762" s="15"/>
      <c r="D2762" s="15"/>
      <c r="E2762" s="18"/>
    </row>
    <row r="2763" spans="2:5" x14ac:dyDescent="0.4">
      <c r="B2763" s="17"/>
      <c r="C2763" s="15"/>
      <c r="D2763" s="15"/>
      <c r="E2763" s="18"/>
    </row>
    <row r="2764" spans="2:5" x14ac:dyDescent="0.4">
      <c r="B2764" s="17"/>
      <c r="C2764" s="15"/>
      <c r="D2764" s="15"/>
      <c r="E2764" s="18"/>
    </row>
    <row r="2765" spans="2:5" x14ac:dyDescent="0.4">
      <c r="B2765" s="17"/>
      <c r="C2765" s="15"/>
      <c r="D2765" s="15"/>
      <c r="E2765" s="18"/>
    </row>
    <row r="2766" spans="2:5" x14ac:dyDescent="0.4">
      <c r="B2766" s="17"/>
      <c r="C2766" s="15"/>
      <c r="D2766" s="15"/>
      <c r="E2766" s="18"/>
    </row>
    <row r="2767" spans="2:5" x14ac:dyDescent="0.4">
      <c r="B2767" s="17"/>
      <c r="C2767" s="15"/>
      <c r="D2767" s="15"/>
      <c r="E2767" s="18"/>
    </row>
    <row r="2768" spans="2:5" x14ac:dyDescent="0.4">
      <c r="B2768" s="17"/>
      <c r="C2768" s="15"/>
      <c r="D2768" s="15"/>
      <c r="E2768" s="18"/>
    </row>
    <row r="2769" spans="2:5" x14ac:dyDescent="0.4">
      <c r="B2769" s="17"/>
      <c r="C2769" s="15"/>
      <c r="D2769" s="15"/>
      <c r="E2769" s="18"/>
    </row>
    <row r="2770" spans="2:5" x14ac:dyDescent="0.4">
      <c r="B2770" s="17"/>
      <c r="C2770" s="15"/>
      <c r="D2770" s="15"/>
      <c r="E2770" s="18"/>
    </row>
    <row r="2771" spans="2:5" x14ac:dyDescent="0.4">
      <c r="B2771" s="17"/>
      <c r="C2771" s="15"/>
      <c r="D2771" s="15"/>
      <c r="E2771" s="18"/>
    </row>
    <row r="2772" spans="2:5" x14ac:dyDescent="0.4">
      <c r="B2772" s="17"/>
      <c r="C2772" s="15"/>
      <c r="D2772" s="15"/>
      <c r="E2772" s="18"/>
    </row>
    <row r="2773" spans="2:5" x14ac:dyDescent="0.4">
      <c r="B2773" s="17"/>
      <c r="C2773" s="15"/>
      <c r="D2773" s="15"/>
      <c r="E2773" s="18"/>
    </row>
    <row r="2774" spans="2:5" x14ac:dyDescent="0.4">
      <c r="B2774" s="17"/>
      <c r="C2774" s="15"/>
      <c r="D2774" s="15"/>
      <c r="E2774" s="18"/>
    </row>
    <row r="2775" spans="2:5" x14ac:dyDescent="0.4">
      <c r="B2775" s="17"/>
      <c r="C2775" s="15"/>
      <c r="D2775" s="15"/>
      <c r="E2775" s="18"/>
    </row>
    <row r="2776" spans="2:5" x14ac:dyDescent="0.4">
      <c r="B2776" s="17"/>
      <c r="C2776" s="15"/>
      <c r="D2776" s="15"/>
      <c r="E2776" s="18"/>
    </row>
    <row r="2777" spans="2:5" x14ac:dyDescent="0.4">
      <c r="B2777" s="17"/>
      <c r="C2777" s="15"/>
      <c r="D2777" s="15"/>
      <c r="E2777" s="18"/>
    </row>
    <row r="2778" spans="2:5" x14ac:dyDescent="0.4">
      <c r="B2778" s="17"/>
      <c r="C2778" s="15"/>
      <c r="D2778" s="15"/>
      <c r="E2778" s="18"/>
    </row>
    <row r="2779" spans="2:5" x14ac:dyDescent="0.4">
      <c r="B2779" s="17"/>
      <c r="C2779" s="15"/>
      <c r="D2779" s="15"/>
      <c r="E2779" s="18"/>
    </row>
    <row r="2780" spans="2:5" x14ac:dyDescent="0.4">
      <c r="B2780" s="17"/>
      <c r="C2780" s="15"/>
      <c r="D2780" s="15"/>
      <c r="E2780" s="18"/>
    </row>
    <row r="2781" spans="2:5" x14ac:dyDescent="0.4">
      <c r="B2781" s="17"/>
      <c r="C2781" s="15"/>
      <c r="D2781" s="15"/>
      <c r="E2781" s="18"/>
    </row>
    <row r="2782" spans="2:5" x14ac:dyDescent="0.4">
      <c r="B2782" s="17"/>
      <c r="C2782" s="15"/>
      <c r="D2782" s="15"/>
      <c r="E2782" s="18"/>
    </row>
    <row r="2783" spans="2:5" x14ac:dyDescent="0.4">
      <c r="B2783" s="17"/>
      <c r="C2783" s="15"/>
      <c r="D2783" s="15"/>
      <c r="E2783" s="18"/>
    </row>
    <row r="2784" spans="2:5" x14ac:dyDescent="0.4">
      <c r="B2784" s="17"/>
      <c r="C2784" s="15"/>
      <c r="D2784" s="15"/>
      <c r="E2784" s="18"/>
    </row>
    <row r="2785" spans="2:5" x14ac:dyDescent="0.4">
      <c r="B2785" s="17"/>
      <c r="C2785" s="15"/>
      <c r="D2785" s="15"/>
      <c r="E2785" s="18"/>
    </row>
    <row r="2786" spans="2:5" x14ac:dyDescent="0.4">
      <c r="B2786" s="17"/>
      <c r="C2786" s="15"/>
      <c r="D2786" s="15"/>
      <c r="E2786" s="18"/>
    </row>
    <row r="2787" spans="2:5" x14ac:dyDescent="0.4">
      <c r="B2787" s="17"/>
      <c r="C2787" s="15"/>
      <c r="D2787" s="15"/>
      <c r="E2787" s="18"/>
    </row>
    <row r="2788" spans="2:5" x14ac:dyDescent="0.4">
      <c r="B2788" s="17"/>
      <c r="C2788" s="15"/>
      <c r="D2788" s="15"/>
      <c r="E2788" s="18"/>
    </row>
    <row r="2789" spans="2:5" x14ac:dyDescent="0.4">
      <c r="B2789" s="17"/>
      <c r="C2789" s="15"/>
      <c r="D2789" s="15"/>
      <c r="E2789" s="18"/>
    </row>
    <row r="2790" spans="2:5" x14ac:dyDescent="0.4">
      <c r="B2790" s="17"/>
      <c r="C2790" s="15"/>
      <c r="D2790" s="15"/>
      <c r="E2790" s="18"/>
    </row>
    <row r="2791" spans="2:5" x14ac:dyDescent="0.4">
      <c r="B2791" s="17"/>
      <c r="C2791" s="15"/>
      <c r="D2791" s="15"/>
      <c r="E2791" s="18"/>
    </row>
    <row r="2792" spans="2:5" x14ac:dyDescent="0.4">
      <c r="B2792" s="17"/>
      <c r="C2792" s="15"/>
      <c r="D2792" s="15"/>
      <c r="E2792" s="18"/>
    </row>
    <row r="2793" spans="2:5" x14ac:dyDescent="0.4">
      <c r="B2793" s="17"/>
      <c r="C2793" s="15"/>
      <c r="D2793" s="15"/>
      <c r="E2793" s="18"/>
    </row>
    <row r="2794" spans="2:5" x14ac:dyDescent="0.4">
      <c r="B2794" s="17"/>
      <c r="C2794" s="15"/>
      <c r="D2794" s="15"/>
      <c r="E2794" s="18"/>
    </row>
    <row r="2795" spans="2:5" x14ac:dyDescent="0.4">
      <c r="B2795" s="17"/>
      <c r="C2795" s="15"/>
      <c r="D2795" s="15"/>
      <c r="E2795" s="18"/>
    </row>
    <row r="2796" spans="2:5" x14ac:dyDescent="0.4">
      <c r="B2796" s="17"/>
      <c r="C2796" s="15"/>
      <c r="D2796" s="15"/>
      <c r="E2796" s="18"/>
    </row>
    <row r="2797" spans="2:5" x14ac:dyDescent="0.4">
      <c r="B2797" s="17"/>
      <c r="C2797" s="15"/>
      <c r="D2797" s="15"/>
      <c r="E2797" s="18"/>
    </row>
    <row r="2798" spans="2:5" x14ac:dyDescent="0.4">
      <c r="B2798" s="17"/>
      <c r="C2798" s="15"/>
      <c r="D2798" s="15"/>
      <c r="E2798" s="18"/>
    </row>
    <row r="2799" spans="2:5" x14ac:dyDescent="0.4">
      <c r="B2799" s="17"/>
      <c r="C2799" s="15"/>
      <c r="D2799" s="15"/>
      <c r="E2799" s="18"/>
    </row>
    <row r="2800" spans="2:5" x14ac:dyDescent="0.4">
      <c r="B2800" s="17"/>
      <c r="C2800" s="15"/>
      <c r="D2800" s="15"/>
      <c r="E2800" s="18"/>
    </row>
    <row r="2801" spans="2:5" x14ac:dyDescent="0.4">
      <c r="B2801" s="17"/>
      <c r="C2801" s="15"/>
      <c r="D2801" s="15"/>
      <c r="E2801" s="18"/>
    </row>
    <row r="2802" spans="2:5" x14ac:dyDescent="0.4">
      <c r="B2802" s="17"/>
      <c r="C2802" s="15"/>
      <c r="D2802" s="15"/>
      <c r="E2802" s="18"/>
    </row>
    <row r="2803" spans="2:5" x14ac:dyDescent="0.4">
      <c r="B2803" s="17"/>
      <c r="C2803" s="15"/>
      <c r="D2803" s="15"/>
      <c r="E2803" s="18"/>
    </row>
    <row r="2804" spans="2:5" x14ac:dyDescent="0.4">
      <c r="B2804" s="17"/>
      <c r="C2804" s="15"/>
      <c r="D2804" s="15"/>
      <c r="E2804" s="18"/>
    </row>
    <row r="2805" spans="2:5" x14ac:dyDescent="0.4">
      <c r="B2805" s="17"/>
      <c r="C2805" s="15"/>
      <c r="D2805" s="15"/>
      <c r="E2805" s="18"/>
    </row>
    <row r="2806" spans="2:5" x14ac:dyDescent="0.4">
      <c r="B2806" s="17"/>
      <c r="C2806" s="15"/>
      <c r="D2806" s="15"/>
      <c r="E2806" s="18"/>
    </row>
    <row r="2807" spans="2:5" x14ac:dyDescent="0.4">
      <c r="B2807" s="17"/>
      <c r="C2807" s="15"/>
      <c r="D2807" s="15"/>
      <c r="E2807" s="18"/>
    </row>
    <row r="2808" spans="2:5" x14ac:dyDescent="0.4">
      <c r="B2808" s="17"/>
      <c r="C2808" s="15"/>
      <c r="D2808" s="15"/>
      <c r="E2808" s="18"/>
    </row>
    <row r="2809" spans="2:5" x14ac:dyDescent="0.4">
      <c r="B2809" s="17"/>
      <c r="C2809" s="15"/>
      <c r="D2809" s="15"/>
      <c r="E2809" s="18"/>
    </row>
    <row r="2810" spans="2:5" x14ac:dyDescent="0.4">
      <c r="B2810" s="17"/>
      <c r="C2810" s="15"/>
      <c r="D2810" s="15"/>
      <c r="E2810" s="18"/>
    </row>
    <row r="2811" spans="2:5" x14ac:dyDescent="0.4">
      <c r="B2811" s="17"/>
      <c r="C2811" s="15"/>
      <c r="D2811" s="15"/>
      <c r="E2811" s="18"/>
    </row>
    <row r="2812" spans="2:5" x14ac:dyDescent="0.4">
      <c r="B2812" s="17"/>
      <c r="C2812" s="15"/>
      <c r="D2812" s="15"/>
      <c r="E2812" s="18"/>
    </row>
    <row r="2813" spans="2:5" x14ac:dyDescent="0.4">
      <c r="B2813" s="17"/>
      <c r="C2813" s="15"/>
      <c r="D2813" s="15"/>
      <c r="E2813" s="18"/>
    </row>
    <row r="2814" spans="2:5" x14ac:dyDescent="0.4">
      <c r="B2814" s="17"/>
      <c r="C2814" s="15"/>
      <c r="D2814" s="15"/>
      <c r="E2814" s="18"/>
    </row>
    <row r="2815" spans="2:5" x14ac:dyDescent="0.4">
      <c r="B2815" s="17"/>
      <c r="C2815" s="15"/>
      <c r="D2815" s="15"/>
      <c r="E2815" s="18"/>
    </row>
    <row r="2816" spans="2:5" x14ac:dyDescent="0.4">
      <c r="B2816" s="17"/>
      <c r="C2816" s="15"/>
      <c r="D2816" s="15"/>
      <c r="E2816" s="18"/>
    </row>
    <row r="2817" spans="2:5" x14ac:dyDescent="0.4">
      <c r="B2817" s="17"/>
      <c r="C2817" s="15"/>
      <c r="D2817" s="15"/>
      <c r="E2817" s="18"/>
    </row>
    <row r="2818" spans="2:5" x14ac:dyDescent="0.4">
      <c r="B2818" s="17"/>
      <c r="C2818" s="15"/>
      <c r="D2818" s="15"/>
      <c r="E2818" s="18"/>
    </row>
    <row r="2819" spans="2:5" x14ac:dyDescent="0.4">
      <c r="B2819" s="17"/>
      <c r="C2819" s="15"/>
      <c r="D2819" s="15"/>
      <c r="E2819" s="18"/>
    </row>
    <row r="2820" spans="2:5" x14ac:dyDescent="0.4">
      <c r="B2820" s="17"/>
      <c r="C2820" s="15"/>
      <c r="D2820" s="15"/>
      <c r="E2820" s="18"/>
    </row>
    <row r="2821" spans="2:5" x14ac:dyDescent="0.4">
      <c r="B2821" s="17"/>
      <c r="C2821" s="15"/>
      <c r="D2821" s="15"/>
      <c r="E2821" s="18"/>
    </row>
    <row r="2822" spans="2:5" x14ac:dyDescent="0.4">
      <c r="B2822" s="17"/>
      <c r="C2822" s="15"/>
      <c r="D2822" s="15"/>
      <c r="E2822" s="18"/>
    </row>
    <row r="2823" spans="2:5" x14ac:dyDescent="0.4">
      <c r="B2823" s="17"/>
      <c r="C2823" s="15"/>
      <c r="D2823" s="15"/>
      <c r="E2823" s="18"/>
    </row>
    <row r="2824" spans="2:5" x14ac:dyDescent="0.4">
      <c r="B2824" s="17"/>
      <c r="C2824" s="15"/>
      <c r="D2824" s="15"/>
      <c r="E2824" s="18"/>
    </row>
    <row r="2825" spans="2:5" x14ac:dyDescent="0.4">
      <c r="B2825" s="17"/>
      <c r="C2825" s="15"/>
      <c r="D2825" s="15"/>
      <c r="E2825" s="18"/>
    </row>
    <row r="2826" spans="2:5" x14ac:dyDescent="0.4">
      <c r="B2826" s="17"/>
      <c r="C2826" s="15"/>
      <c r="D2826" s="15"/>
      <c r="E2826" s="18"/>
    </row>
    <row r="2827" spans="2:5" x14ac:dyDescent="0.4">
      <c r="B2827" s="17"/>
      <c r="C2827" s="15"/>
      <c r="D2827" s="15"/>
      <c r="E2827" s="18"/>
    </row>
    <row r="2828" spans="2:5" x14ac:dyDescent="0.4">
      <c r="B2828" s="17"/>
      <c r="C2828" s="15"/>
      <c r="D2828" s="15"/>
      <c r="E2828" s="18"/>
    </row>
    <row r="2829" spans="2:5" x14ac:dyDescent="0.4">
      <c r="B2829" s="17"/>
      <c r="C2829" s="15"/>
      <c r="D2829" s="15"/>
      <c r="E2829" s="18"/>
    </row>
    <row r="2830" spans="2:5" x14ac:dyDescent="0.4">
      <c r="B2830" s="17"/>
      <c r="C2830" s="15"/>
      <c r="D2830" s="15"/>
      <c r="E2830" s="18"/>
    </row>
    <row r="2831" spans="2:5" x14ac:dyDescent="0.4">
      <c r="B2831" s="17"/>
      <c r="C2831" s="15"/>
      <c r="D2831" s="15"/>
      <c r="E2831" s="18"/>
    </row>
    <row r="2832" spans="2:5" x14ac:dyDescent="0.4">
      <c r="B2832" s="17"/>
      <c r="C2832" s="15"/>
      <c r="D2832" s="15"/>
      <c r="E2832" s="18"/>
    </row>
    <row r="2833" spans="2:5" x14ac:dyDescent="0.4">
      <c r="B2833" s="17"/>
      <c r="C2833" s="15"/>
      <c r="D2833" s="15"/>
      <c r="E2833" s="18"/>
    </row>
    <row r="2834" spans="2:5" x14ac:dyDescent="0.4">
      <c r="B2834" s="17"/>
      <c r="C2834" s="15"/>
      <c r="D2834" s="15"/>
      <c r="E2834" s="18"/>
    </row>
    <row r="2835" spans="2:5" x14ac:dyDescent="0.4">
      <c r="B2835" s="17"/>
      <c r="C2835" s="15"/>
      <c r="D2835" s="15"/>
      <c r="E2835" s="18"/>
    </row>
    <row r="2836" spans="2:5" x14ac:dyDescent="0.4">
      <c r="B2836" s="17"/>
      <c r="C2836" s="15"/>
      <c r="D2836" s="15"/>
      <c r="E2836" s="18"/>
    </row>
    <row r="2837" spans="2:5" x14ac:dyDescent="0.4">
      <c r="B2837" s="17"/>
      <c r="C2837" s="15"/>
      <c r="D2837" s="15"/>
      <c r="E2837" s="18"/>
    </row>
    <row r="2838" spans="2:5" x14ac:dyDescent="0.4">
      <c r="B2838" s="17"/>
      <c r="C2838" s="15"/>
      <c r="D2838" s="15"/>
      <c r="E2838" s="18"/>
    </row>
    <row r="2839" spans="2:5" x14ac:dyDescent="0.4">
      <c r="B2839" s="17"/>
      <c r="C2839" s="15"/>
      <c r="D2839" s="15"/>
      <c r="E2839" s="18"/>
    </row>
    <row r="2840" spans="2:5" x14ac:dyDescent="0.4">
      <c r="B2840" s="17"/>
      <c r="C2840" s="15"/>
      <c r="D2840" s="15"/>
      <c r="E2840" s="18"/>
    </row>
    <row r="2841" spans="2:5" x14ac:dyDescent="0.4">
      <c r="B2841" s="17"/>
      <c r="C2841" s="15"/>
      <c r="D2841" s="15"/>
      <c r="E2841" s="18"/>
    </row>
    <row r="2842" spans="2:5" x14ac:dyDescent="0.4">
      <c r="B2842" s="17"/>
      <c r="C2842" s="15"/>
      <c r="D2842" s="15"/>
      <c r="E2842" s="18"/>
    </row>
    <row r="2843" spans="2:5" x14ac:dyDescent="0.4">
      <c r="B2843" s="17"/>
      <c r="C2843" s="15"/>
      <c r="D2843" s="15"/>
      <c r="E2843" s="18"/>
    </row>
    <row r="2844" spans="2:5" x14ac:dyDescent="0.4">
      <c r="B2844" s="17"/>
      <c r="C2844" s="15"/>
      <c r="D2844" s="15"/>
      <c r="E2844" s="18"/>
    </row>
    <row r="2845" spans="2:5" x14ac:dyDescent="0.4">
      <c r="B2845" s="17"/>
      <c r="C2845" s="15"/>
      <c r="D2845" s="15"/>
      <c r="E2845" s="18"/>
    </row>
    <row r="2846" spans="2:5" x14ac:dyDescent="0.4">
      <c r="B2846" s="17"/>
      <c r="C2846" s="15"/>
      <c r="D2846" s="15"/>
      <c r="E2846" s="18"/>
    </row>
    <row r="2847" spans="2:5" x14ac:dyDescent="0.4">
      <c r="B2847" s="17"/>
      <c r="C2847" s="15"/>
      <c r="D2847" s="15"/>
      <c r="E2847" s="18"/>
    </row>
    <row r="2848" spans="2:5" x14ac:dyDescent="0.4">
      <c r="B2848" s="17"/>
      <c r="C2848" s="15"/>
      <c r="D2848" s="15"/>
      <c r="E2848" s="18"/>
    </row>
    <row r="2849" spans="2:5" x14ac:dyDescent="0.4">
      <c r="B2849" s="17"/>
      <c r="C2849" s="15"/>
      <c r="D2849" s="15"/>
      <c r="E2849" s="18"/>
    </row>
    <row r="2850" spans="2:5" x14ac:dyDescent="0.4">
      <c r="B2850" s="17"/>
      <c r="C2850" s="15"/>
      <c r="D2850" s="15"/>
      <c r="E2850" s="18"/>
    </row>
    <row r="2851" spans="2:5" x14ac:dyDescent="0.4">
      <c r="B2851" s="17"/>
      <c r="C2851" s="15"/>
      <c r="D2851" s="15"/>
      <c r="E2851" s="18"/>
    </row>
    <row r="2852" spans="2:5" x14ac:dyDescent="0.4">
      <c r="B2852" s="17"/>
      <c r="C2852" s="15"/>
      <c r="D2852" s="15"/>
      <c r="E2852" s="18"/>
    </row>
    <row r="2853" spans="2:5" x14ac:dyDescent="0.4">
      <c r="B2853" s="17"/>
      <c r="C2853" s="15"/>
      <c r="D2853" s="15"/>
      <c r="E2853" s="18"/>
    </row>
    <row r="2854" spans="2:5" x14ac:dyDescent="0.4">
      <c r="B2854" s="17"/>
      <c r="C2854" s="15"/>
      <c r="D2854" s="15"/>
      <c r="E2854" s="18"/>
    </row>
    <row r="2855" spans="2:5" x14ac:dyDescent="0.4">
      <c r="B2855" s="17"/>
      <c r="C2855" s="15"/>
      <c r="D2855" s="15"/>
      <c r="E2855" s="18"/>
    </row>
    <row r="2856" spans="2:5" x14ac:dyDescent="0.4">
      <c r="B2856" s="17"/>
      <c r="C2856" s="15"/>
      <c r="D2856" s="15"/>
      <c r="E2856" s="18"/>
    </row>
    <row r="2857" spans="2:5" x14ac:dyDescent="0.4">
      <c r="B2857" s="17"/>
      <c r="C2857" s="15"/>
      <c r="D2857" s="15"/>
      <c r="E2857" s="18"/>
    </row>
    <row r="2858" spans="2:5" x14ac:dyDescent="0.4">
      <c r="B2858" s="17"/>
      <c r="C2858" s="15"/>
      <c r="D2858" s="15"/>
      <c r="E2858" s="18"/>
    </row>
    <row r="2859" spans="2:5" x14ac:dyDescent="0.4">
      <c r="B2859" s="17"/>
      <c r="C2859" s="15"/>
      <c r="D2859" s="15"/>
      <c r="E2859" s="18"/>
    </row>
    <row r="2860" spans="2:5" x14ac:dyDescent="0.4">
      <c r="B2860" s="17"/>
      <c r="C2860" s="15"/>
      <c r="D2860" s="15"/>
      <c r="E2860" s="18"/>
    </row>
    <row r="2861" spans="2:5" x14ac:dyDescent="0.4">
      <c r="B2861" s="17"/>
      <c r="C2861" s="15"/>
      <c r="D2861" s="15"/>
      <c r="E2861" s="18"/>
    </row>
    <row r="2862" spans="2:5" x14ac:dyDescent="0.4">
      <c r="B2862" s="17"/>
      <c r="C2862" s="15"/>
      <c r="D2862" s="15"/>
      <c r="E2862" s="18"/>
    </row>
    <row r="2863" spans="2:5" x14ac:dyDescent="0.4">
      <c r="B2863" s="17"/>
      <c r="C2863" s="15"/>
      <c r="D2863" s="15"/>
      <c r="E2863" s="18"/>
    </row>
    <row r="2864" spans="2:5" x14ac:dyDescent="0.4">
      <c r="B2864" s="17"/>
      <c r="C2864" s="15"/>
      <c r="D2864" s="15"/>
      <c r="E2864" s="18"/>
    </row>
    <row r="2865" spans="2:5" x14ac:dyDescent="0.4">
      <c r="B2865" s="17"/>
      <c r="C2865" s="15"/>
      <c r="D2865" s="15"/>
      <c r="E2865" s="18"/>
    </row>
    <row r="2866" spans="2:5" x14ac:dyDescent="0.4">
      <c r="B2866" s="17"/>
      <c r="C2866" s="15"/>
      <c r="D2866" s="15"/>
      <c r="E2866" s="18"/>
    </row>
    <row r="2867" spans="2:5" x14ac:dyDescent="0.4">
      <c r="B2867" s="17"/>
      <c r="C2867" s="15"/>
      <c r="D2867" s="15"/>
      <c r="E2867" s="18"/>
    </row>
    <row r="2868" spans="2:5" x14ac:dyDescent="0.4">
      <c r="B2868" s="17"/>
      <c r="C2868" s="15"/>
      <c r="D2868" s="15"/>
      <c r="E2868" s="18"/>
    </row>
    <row r="2869" spans="2:5" x14ac:dyDescent="0.4">
      <c r="B2869" s="17"/>
      <c r="C2869" s="15"/>
      <c r="D2869" s="15"/>
      <c r="E2869" s="18"/>
    </row>
    <row r="2870" spans="2:5" x14ac:dyDescent="0.4">
      <c r="B2870" s="17"/>
      <c r="C2870" s="15"/>
      <c r="D2870" s="15"/>
      <c r="E2870" s="18"/>
    </row>
    <row r="2871" spans="2:5" x14ac:dyDescent="0.4">
      <c r="B2871" s="17"/>
      <c r="C2871" s="15"/>
      <c r="D2871" s="15"/>
      <c r="E2871" s="18"/>
    </row>
    <row r="2872" spans="2:5" x14ac:dyDescent="0.4">
      <c r="B2872" s="17"/>
      <c r="C2872" s="15"/>
      <c r="D2872" s="15"/>
      <c r="E2872" s="18"/>
    </row>
    <row r="2873" spans="2:5" x14ac:dyDescent="0.4">
      <c r="B2873" s="17"/>
      <c r="C2873" s="15"/>
      <c r="D2873" s="15"/>
      <c r="E2873" s="18"/>
    </row>
    <row r="2874" spans="2:5" x14ac:dyDescent="0.4">
      <c r="B2874" s="17"/>
      <c r="C2874" s="15"/>
      <c r="D2874" s="15"/>
      <c r="E2874" s="18"/>
    </row>
    <row r="2875" spans="2:5" x14ac:dyDescent="0.4">
      <c r="B2875" s="17"/>
      <c r="C2875" s="15"/>
      <c r="D2875" s="15"/>
      <c r="E2875" s="18"/>
    </row>
    <row r="2876" spans="2:5" x14ac:dyDescent="0.4">
      <c r="B2876" s="17"/>
      <c r="C2876" s="15"/>
      <c r="D2876" s="15"/>
      <c r="E2876" s="18"/>
    </row>
    <row r="2877" spans="2:5" x14ac:dyDescent="0.4">
      <c r="B2877" s="17"/>
      <c r="C2877" s="15"/>
      <c r="D2877" s="15"/>
      <c r="E2877" s="18"/>
    </row>
    <row r="2878" spans="2:5" x14ac:dyDescent="0.4">
      <c r="B2878" s="17"/>
      <c r="C2878" s="15"/>
      <c r="D2878" s="15"/>
      <c r="E2878" s="18"/>
    </row>
    <row r="2879" spans="2:5" x14ac:dyDescent="0.4">
      <c r="B2879" s="17"/>
      <c r="C2879" s="15"/>
      <c r="D2879" s="15"/>
      <c r="E2879" s="18"/>
    </row>
    <row r="2880" spans="2:5" x14ac:dyDescent="0.4">
      <c r="B2880" s="17"/>
      <c r="C2880" s="15"/>
      <c r="D2880" s="15"/>
      <c r="E2880" s="18"/>
    </row>
    <row r="2881" spans="2:5" x14ac:dyDescent="0.4">
      <c r="B2881" s="17"/>
      <c r="C2881" s="15"/>
      <c r="D2881" s="15"/>
      <c r="E2881" s="18"/>
    </row>
    <row r="2882" spans="2:5" x14ac:dyDescent="0.4">
      <c r="B2882" s="17"/>
      <c r="C2882" s="15"/>
      <c r="D2882" s="15"/>
      <c r="E2882" s="18"/>
    </row>
    <row r="2883" spans="2:5" x14ac:dyDescent="0.4">
      <c r="B2883" s="17"/>
      <c r="C2883" s="15"/>
      <c r="D2883" s="15"/>
      <c r="E2883" s="18"/>
    </row>
    <row r="2884" spans="2:5" x14ac:dyDescent="0.4">
      <c r="B2884" s="17"/>
      <c r="C2884" s="15"/>
      <c r="D2884" s="15"/>
      <c r="E2884" s="18"/>
    </row>
    <row r="2885" spans="2:5" x14ac:dyDescent="0.4">
      <c r="B2885" s="17"/>
      <c r="C2885" s="15"/>
      <c r="D2885" s="15"/>
      <c r="E2885" s="18"/>
    </row>
    <row r="2886" spans="2:5" x14ac:dyDescent="0.4">
      <c r="B2886" s="17"/>
      <c r="C2886" s="15"/>
      <c r="D2886" s="15"/>
      <c r="E2886" s="18"/>
    </row>
    <row r="2887" spans="2:5" x14ac:dyDescent="0.4">
      <c r="B2887" s="17"/>
      <c r="C2887" s="15"/>
      <c r="D2887" s="15"/>
      <c r="E2887" s="18"/>
    </row>
    <row r="2888" spans="2:5" x14ac:dyDescent="0.4">
      <c r="B2888" s="17"/>
      <c r="C2888" s="15"/>
      <c r="D2888" s="15"/>
      <c r="E2888" s="18"/>
    </row>
    <row r="2889" spans="2:5" x14ac:dyDescent="0.4">
      <c r="B2889" s="17"/>
      <c r="C2889" s="15"/>
      <c r="D2889" s="15"/>
      <c r="E2889" s="18"/>
    </row>
    <row r="2890" spans="2:5" x14ac:dyDescent="0.4">
      <c r="B2890" s="17"/>
      <c r="C2890" s="15"/>
      <c r="D2890" s="15"/>
      <c r="E2890" s="18"/>
    </row>
    <row r="2891" spans="2:5" x14ac:dyDescent="0.4">
      <c r="B2891" s="17"/>
      <c r="C2891" s="15"/>
      <c r="D2891" s="15"/>
      <c r="E2891" s="18"/>
    </row>
    <row r="2892" spans="2:5" x14ac:dyDescent="0.4">
      <c r="B2892" s="17"/>
      <c r="C2892" s="15"/>
      <c r="D2892" s="15"/>
      <c r="E2892" s="18"/>
    </row>
    <row r="2893" spans="2:5" x14ac:dyDescent="0.4">
      <c r="B2893" s="17"/>
      <c r="C2893" s="15"/>
      <c r="D2893" s="15"/>
      <c r="E2893" s="18"/>
    </row>
    <row r="2894" spans="2:5" x14ac:dyDescent="0.4">
      <c r="B2894" s="17"/>
      <c r="C2894" s="15"/>
      <c r="D2894" s="15"/>
      <c r="E2894" s="18"/>
    </row>
    <row r="2895" spans="2:5" x14ac:dyDescent="0.4">
      <c r="B2895" s="17"/>
      <c r="C2895" s="15"/>
      <c r="D2895" s="15"/>
      <c r="E2895" s="18"/>
    </row>
    <row r="2896" spans="2:5" x14ac:dyDescent="0.4">
      <c r="B2896" s="17"/>
      <c r="C2896" s="15"/>
      <c r="D2896" s="15"/>
      <c r="E2896" s="18"/>
    </row>
    <row r="2897" spans="2:5" x14ac:dyDescent="0.4">
      <c r="B2897" s="17"/>
      <c r="C2897" s="15"/>
      <c r="D2897" s="15"/>
      <c r="E2897" s="18"/>
    </row>
    <row r="2898" spans="2:5" x14ac:dyDescent="0.4">
      <c r="B2898" s="17"/>
      <c r="C2898" s="15"/>
      <c r="D2898" s="15"/>
      <c r="E2898" s="18"/>
    </row>
    <row r="2899" spans="2:5" x14ac:dyDescent="0.4">
      <c r="B2899" s="17"/>
      <c r="C2899" s="15"/>
      <c r="D2899" s="15"/>
      <c r="E2899" s="18"/>
    </row>
    <row r="2900" spans="2:5" x14ac:dyDescent="0.4">
      <c r="B2900" s="17"/>
      <c r="C2900" s="15"/>
      <c r="D2900" s="15"/>
      <c r="E2900" s="18"/>
    </row>
    <row r="2901" spans="2:5" x14ac:dyDescent="0.4">
      <c r="B2901" s="17"/>
      <c r="C2901" s="15"/>
      <c r="D2901" s="15"/>
      <c r="E2901" s="18"/>
    </row>
    <row r="2902" spans="2:5" x14ac:dyDescent="0.4">
      <c r="B2902" s="17"/>
      <c r="C2902" s="15"/>
      <c r="D2902" s="15"/>
      <c r="E2902" s="18"/>
    </row>
    <row r="2903" spans="2:5" x14ac:dyDescent="0.4">
      <c r="B2903" s="17"/>
      <c r="C2903" s="15"/>
      <c r="D2903" s="15"/>
      <c r="E2903" s="18"/>
    </row>
    <row r="2904" spans="2:5" x14ac:dyDescent="0.4">
      <c r="B2904" s="17"/>
      <c r="C2904" s="15"/>
      <c r="D2904" s="15"/>
      <c r="E2904" s="18"/>
    </row>
    <row r="2905" spans="2:5" x14ac:dyDescent="0.4">
      <c r="B2905" s="17"/>
      <c r="C2905" s="15"/>
      <c r="D2905" s="15"/>
      <c r="E2905" s="18"/>
    </row>
    <row r="2906" spans="2:5" x14ac:dyDescent="0.4">
      <c r="B2906" s="17"/>
      <c r="C2906" s="15"/>
      <c r="D2906" s="15"/>
      <c r="E2906" s="18"/>
    </row>
    <row r="2907" spans="2:5" x14ac:dyDescent="0.4">
      <c r="B2907" s="17"/>
      <c r="C2907" s="15"/>
      <c r="D2907" s="15"/>
      <c r="E2907" s="18"/>
    </row>
    <row r="2908" spans="2:5" x14ac:dyDescent="0.4">
      <c r="B2908" s="17"/>
      <c r="C2908" s="15"/>
      <c r="D2908" s="15"/>
      <c r="E2908" s="18"/>
    </row>
    <row r="2909" spans="2:5" x14ac:dyDescent="0.4">
      <c r="B2909" s="17"/>
      <c r="C2909" s="15"/>
      <c r="D2909" s="15"/>
      <c r="E2909" s="18"/>
    </row>
    <row r="2910" spans="2:5" x14ac:dyDescent="0.4">
      <c r="B2910" s="17"/>
      <c r="C2910" s="15"/>
      <c r="D2910" s="15"/>
      <c r="E2910" s="18"/>
    </row>
    <row r="2911" spans="2:5" x14ac:dyDescent="0.4">
      <c r="B2911" s="17"/>
      <c r="C2911" s="15"/>
      <c r="D2911" s="15"/>
      <c r="E2911" s="18"/>
    </row>
    <row r="2912" spans="2:5" x14ac:dyDescent="0.4">
      <c r="B2912" s="17"/>
      <c r="C2912" s="15"/>
      <c r="D2912" s="15"/>
      <c r="E2912" s="18"/>
    </row>
    <row r="2913" spans="2:5" x14ac:dyDescent="0.4">
      <c r="B2913" s="17"/>
      <c r="C2913" s="15"/>
      <c r="D2913" s="15"/>
      <c r="E2913" s="18"/>
    </row>
    <row r="2914" spans="2:5" x14ac:dyDescent="0.4">
      <c r="B2914" s="17"/>
      <c r="C2914" s="15"/>
      <c r="D2914" s="15"/>
      <c r="E2914" s="18"/>
    </row>
    <row r="2915" spans="2:5" x14ac:dyDescent="0.4">
      <c r="B2915" s="17"/>
      <c r="C2915" s="15"/>
      <c r="D2915" s="15"/>
      <c r="E2915" s="18"/>
    </row>
    <row r="2916" spans="2:5" x14ac:dyDescent="0.4">
      <c r="B2916" s="17"/>
      <c r="C2916" s="15"/>
      <c r="D2916" s="15"/>
      <c r="E2916" s="18"/>
    </row>
    <row r="2917" spans="2:5" x14ac:dyDescent="0.4">
      <c r="B2917" s="17"/>
      <c r="C2917" s="15"/>
      <c r="D2917" s="15"/>
      <c r="E2917" s="18"/>
    </row>
    <row r="2918" spans="2:5" x14ac:dyDescent="0.4">
      <c r="B2918" s="17"/>
      <c r="C2918" s="15"/>
      <c r="D2918" s="15"/>
      <c r="E2918" s="18"/>
    </row>
    <row r="2919" spans="2:5" x14ac:dyDescent="0.4">
      <c r="B2919" s="17"/>
      <c r="C2919" s="15"/>
      <c r="D2919" s="15"/>
      <c r="E2919" s="18"/>
    </row>
    <row r="2920" spans="2:5" x14ac:dyDescent="0.4">
      <c r="B2920" s="17"/>
      <c r="C2920" s="15"/>
      <c r="D2920" s="15"/>
      <c r="E2920" s="18"/>
    </row>
    <row r="2921" spans="2:5" x14ac:dyDescent="0.4">
      <c r="B2921" s="17"/>
      <c r="C2921" s="15"/>
      <c r="D2921" s="15"/>
      <c r="E2921" s="18"/>
    </row>
    <row r="2922" spans="2:5" x14ac:dyDescent="0.4">
      <c r="B2922" s="17"/>
      <c r="C2922" s="15"/>
      <c r="D2922" s="15"/>
      <c r="E2922" s="18"/>
    </row>
    <row r="2923" spans="2:5" x14ac:dyDescent="0.4">
      <c r="B2923" s="17"/>
      <c r="C2923" s="15"/>
      <c r="D2923" s="15"/>
      <c r="E2923" s="18"/>
    </row>
    <row r="2924" spans="2:5" x14ac:dyDescent="0.4">
      <c r="B2924" s="17"/>
      <c r="C2924" s="15"/>
      <c r="D2924" s="15"/>
      <c r="E2924" s="18"/>
    </row>
    <row r="2925" spans="2:5" x14ac:dyDescent="0.4">
      <c r="B2925" s="17"/>
      <c r="C2925" s="15"/>
      <c r="D2925" s="15"/>
      <c r="E2925" s="18"/>
    </row>
    <row r="2926" spans="2:5" x14ac:dyDescent="0.4">
      <c r="B2926" s="17"/>
      <c r="C2926" s="15"/>
      <c r="D2926" s="15"/>
      <c r="E2926" s="18"/>
    </row>
    <row r="2927" spans="2:5" x14ac:dyDescent="0.4">
      <c r="B2927" s="17"/>
      <c r="C2927" s="15"/>
      <c r="D2927" s="15"/>
      <c r="E2927" s="18"/>
    </row>
    <row r="2928" spans="2:5" x14ac:dyDescent="0.4">
      <c r="B2928" s="17"/>
      <c r="C2928" s="15"/>
      <c r="D2928" s="15"/>
      <c r="E2928" s="18"/>
    </row>
    <row r="2929" spans="2:5" x14ac:dyDescent="0.4">
      <c r="B2929" s="17"/>
      <c r="C2929" s="15"/>
      <c r="D2929" s="15"/>
      <c r="E2929" s="18"/>
    </row>
    <row r="2930" spans="2:5" x14ac:dyDescent="0.4">
      <c r="B2930" s="17"/>
      <c r="C2930" s="15"/>
      <c r="D2930" s="15"/>
      <c r="E2930" s="18"/>
    </row>
    <row r="2931" spans="2:5" x14ac:dyDescent="0.4">
      <c r="B2931" s="17"/>
      <c r="C2931" s="15"/>
      <c r="D2931" s="15"/>
      <c r="E2931" s="18"/>
    </row>
    <row r="2932" spans="2:5" x14ac:dyDescent="0.4">
      <c r="B2932" s="17"/>
      <c r="C2932" s="15"/>
      <c r="D2932" s="15"/>
      <c r="E2932" s="18"/>
    </row>
    <row r="2933" spans="2:5" x14ac:dyDescent="0.4">
      <c r="B2933" s="17"/>
      <c r="C2933" s="15"/>
      <c r="D2933" s="15"/>
      <c r="E2933" s="18"/>
    </row>
    <row r="2934" spans="2:5" x14ac:dyDescent="0.4">
      <c r="B2934" s="17"/>
      <c r="C2934" s="15"/>
      <c r="D2934" s="15"/>
      <c r="E2934" s="18"/>
    </row>
    <row r="2935" spans="2:5" x14ac:dyDescent="0.4">
      <c r="B2935" s="17"/>
      <c r="C2935" s="15"/>
      <c r="D2935" s="15"/>
      <c r="E2935" s="18"/>
    </row>
    <row r="2936" spans="2:5" x14ac:dyDescent="0.4">
      <c r="B2936" s="17"/>
      <c r="C2936" s="15"/>
      <c r="D2936" s="15"/>
      <c r="E2936" s="18"/>
    </row>
    <row r="2937" spans="2:5" x14ac:dyDescent="0.4">
      <c r="B2937" s="17"/>
      <c r="C2937" s="15"/>
      <c r="D2937" s="15"/>
      <c r="E2937" s="18"/>
    </row>
    <row r="2938" spans="2:5" x14ac:dyDescent="0.4">
      <c r="B2938" s="17"/>
      <c r="C2938" s="15"/>
      <c r="D2938" s="15"/>
      <c r="E2938" s="18"/>
    </row>
    <row r="2939" spans="2:5" x14ac:dyDescent="0.4">
      <c r="B2939" s="17"/>
      <c r="C2939" s="15"/>
      <c r="D2939" s="15"/>
      <c r="E2939" s="18"/>
    </row>
    <row r="2940" spans="2:5" x14ac:dyDescent="0.4">
      <c r="B2940" s="17"/>
      <c r="C2940" s="15"/>
      <c r="D2940" s="15"/>
      <c r="E2940" s="18"/>
    </row>
    <row r="2941" spans="2:5" x14ac:dyDescent="0.4">
      <c r="B2941" s="17"/>
      <c r="C2941" s="15"/>
      <c r="D2941" s="15"/>
      <c r="E2941" s="18"/>
    </row>
    <row r="2942" spans="2:5" x14ac:dyDescent="0.4">
      <c r="B2942" s="17"/>
      <c r="C2942" s="15"/>
      <c r="D2942" s="15"/>
      <c r="E2942" s="18"/>
    </row>
    <row r="2943" spans="2:5" x14ac:dyDescent="0.4">
      <c r="B2943" s="17"/>
      <c r="C2943" s="15"/>
      <c r="D2943" s="15"/>
      <c r="E2943" s="18"/>
    </row>
    <row r="2944" spans="2:5" x14ac:dyDescent="0.4">
      <c r="B2944" s="17"/>
      <c r="C2944" s="15"/>
      <c r="D2944" s="15"/>
      <c r="E2944" s="18"/>
    </row>
    <row r="2945" spans="2:5" x14ac:dyDescent="0.4">
      <c r="B2945" s="17"/>
      <c r="C2945" s="15"/>
      <c r="D2945" s="15"/>
      <c r="E2945" s="18"/>
    </row>
    <row r="2946" spans="2:5" x14ac:dyDescent="0.4">
      <c r="B2946" s="17"/>
      <c r="C2946" s="15"/>
      <c r="D2946" s="15"/>
      <c r="E2946" s="18"/>
    </row>
    <row r="2947" spans="2:5" x14ac:dyDescent="0.4">
      <c r="B2947" s="17"/>
      <c r="C2947" s="15"/>
      <c r="D2947" s="15"/>
      <c r="E2947" s="18"/>
    </row>
    <row r="2948" spans="2:5" x14ac:dyDescent="0.4">
      <c r="B2948" s="17"/>
      <c r="C2948" s="15"/>
      <c r="D2948" s="15"/>
      <c r="E2948" s="18"/>
    </row>
    <row r="2949" spans="2:5" x14ac:dyDescent="0.4">
      <c r="B2949" s="17"/>
      <c r="C2949" s="15"/>
      <c r="D2949" s="15"/>
      <c r="E2949" s="18"/>
    </row>
    <row r="2950" spans="2:5" x14ac:dyDescent="0.4">
      <c r="B2950" s="17"/>
      <c r="C2950" s="15"/>
      <c r="D2950" s="15"/>
      <c r="E2950" s="18"/>
    </row>
    <row r="2951" spans="2:5" x14ac:dyDescent="0.4">
      <c r="B2951" s="17"/>
      <c r="C2951" s="15"/>
      <c r="D2951" s="15"/>
      <c r="E2951" s="18"/>
    </row>
    <row r="2952" spans="2:5" x14ac:dyDescent="0.4">
      <c r="B2952" s="17"/>
      <c r="C2952" s="15"/>
      <c r="D2952" s="15"/>
      <c r="E2952" s="18"/>
    </row>
    <row r="2953" spans="2:5" x14ac:dyDescent="0.4">
      <c r="B2953" s="17"/>
      <c r="C2953" s="15"/>
      <c r="D2953" s="15"/>
      <c r="E2953" s="18"/>
    </row>
    <row r="2954" spans="2:5" x14ac:dyDescent="0.4">
      <c r="B2954" s="17"/>
      <c r="C2954" s="15"/>
      <c r="D2954" s="15"/>
      <c r="E2954" s="18"/>
    </row>
    <row r="2955" spans="2:5" x14ac:dyDescent="0.4">
      <c r="B2955" s="17"/>
      <c r="C2955" s="15"/>
      <c r="D2955" s="15"/>
      <c r="E2955" s="18"/>
    </row>
    <row r="2956" spans="2:5" x14ac:dyDescent="0.4">
      <c r="B2956" s="17"/>
      <c r="C2956" s="15"/>
      <c r="D2956" s="15"/>
      <c r="E2956" s="18"/>
    </row>
    <row r="2957" spans="2:5" x14ac:dyDescent="0.4">
      <c r="B2957" s="17"/>
      <c r="C2957" s="15"/>
      <c r="D2957" s="15"/>
      <c r="E2957" s="18"/>
    </row>
    <row r="2958" spans="2:5" x14ac:dyDescent="0.4">
      <c r="B2958" s="17"/>
      <c r="C2958" s="15"/>
      <c r="D2958" s="15"/>
      <c r="E2958" s="18"/>
    </row>
    <row r="2959" spans="2:5" x14ac:dyDescent="0.4">
      <c r="B2959" s="17"/>
      <c r="C2959" s="15"/>
      <c r="D2959" s="15"/>
      <c r="E2959" s="18"/>
    </row>
    <row r="2960" spans="2:5" x14ac:dyDescent="0.4">
      <c r="B2960" s="17"/>
      <c r="C2960" s="15"/>
      <c r="D2960" s="15"/>
      <c r="E2960" s="18"/>
    </row>
    <row r="2961" spans="2:5" x14ac:dyDescent="0.4">
      <c r="B2961" s="17"/>
      <c r="C2961" s="15"/>
      <c r="D2961" s="15"/>
      <c r="E2961" s="18"/>
    </row>
    <row r="2962" spans="2:5" x14ac:dyDescent="0.4">
      <c r="B2962" s="17"/>
      <c r="C2962" s="15"/>
      <c r="D2962" s="15"/>
      <c r="E2962" s="18"/>
    </row>
    <row r="2963" spans="2:5" x14ac:dyDescent="0.4">
      <c r="B2963" s="17"/>
      <c r="C2963" s="15"/>
      <c r="D2963" s="15"/>
      <c r="E2963" s="18"/>
    </row>
    <row r="2964" spans="2:5" x14ac:dyDescent="0.4">
      <c r="B2964" s="17"/>
      <c r="C2964" s="15"/>
      <c r="D2964" s="15"/>
      <c r="E2964" s="18"/>
    </row>
    <row r="2965" spans="2:5" x14ac:dyDescent="0.4">
      <c r="B2965" s="17"/>
      <c r="C2965" s="15"/>
      <c r="D2965" s="15"/>
      <c r="E2965" s="18"/>
    </row>
    <row r="2966" spans="2:5" x14ac:dyDescent="0.4">
      <c r="B2966" s="17"/>
      <c r="C2966" s="15"/>
      <c r="D2966" s="15"/>
      <c r="E2966" s="18"/>
    </row>
    <row r="2967" spans="2:5" x14ac:dyDescent="0.4">
      <c r="B2967" s="17"/>
      <c r="C2967" s="15"/>
      <c r="D2967" s="15"/>
      <c r="E2967" s="18"/>
    </row>
    <row r="2968" spans="2:5" x14ac:dyDescent="0.4">
      <c r="B2968" s="17"/>
      <c r="C2968" s="15"/>
      <c r="D2968" s="15"/>
      <c r="E2968" s="18"/>
    </row>
    <row r="2969" spans="2:5" x14ac:dyDescent="0.4">
      <c r="B2969" s="17"/>
      <c r="C2969" s="15"/>
      <c r="D2969" s="15"/>
      <c r="E2969" s="18"/>
    </row>
    <row r="2970" spans="2:5" x14ac:dyDescent="0.4">
      <c r="B2970" s="17"/>
      <c r="C2970" s="15"/>
      <c r="D2970" s="15"/>
      <c r="E2970" s="18"/>
    </row>
    <row r="2971" spans="2:5" x14ac:dyDescent="0.4">
      <c r="B2971" s="17"/>
      <c r="C2971" s="15"/>
      <c r="D2971" s="15"/>
      <c r="E2971" s="18"/>
    </row>
    <row r="2972" spans="2:5" x14ac:dyDescent="0.4">
      <c r="B2972" s="17"/>
      <c r="C2972" s="15"/>
      <c r="D2972" s="15"/>
      <c r="E2972" s="18"/>
    </row>
    <row r="2973" spans="2:5" x14ac:dyDescent="0.4">
      <c r="B2973" s="17"/>
      <c r="C2973" s="15"/>
      <c r="D2973" s="15"/>
      <c r="E2973" s="18"/>
    </row>
    <row r="2974" spans="2:5" x14ac:dyDescent="0.4">
      <c r="B2974" s="17"/>
      <c r="C2974" s="15"/>
      <c r="D2974" s="15"/>
      <c r="E2974" s="18"/>
    </row>
    <row r="2975" spans="2:5" x14ac:dyDescent="0.4">
      <c r="B2975" s="17"/>
      <c r="C2975" s="15"/>
      <c r="D2975" s="15"/>
      <c r="E2975" s="18"/>
    </row>
    <row r="2976" spans="2:5" x14ac:dyDescent="0.4">
      <c r="B2976" s="17"/>
      <c r="C2976" s="15"/>
      <c r="D2976" s="15"/>
      <c r="E2976" s="18"/>
    </row>
    <row r="2977" spans="2:5" x14ac:dyDescent="0.4">
      <c r="B2977" s="17"/>
      <c r="C2977" s="15"/>
      <c r="D2977" s="15"/>
      <c r="E2977" s="18"/>
    </row>
    <row r="2978" spans="2:5" x14ac:dyDescent="0.4">
      <c r="B2978" s="17"/>
      <c r="C2978" s="15"/>
      <c r="D2978" s="15"/>
      <c r="E2978" s="18"/>
    </row>
    <row r="2979" spans="2:5" x14ac:dyDescent="0.4">
      <c r="B2979" s="17"/>
      <c r="C2979" s="15"/>
      <c r="D2979" s="15"/>
      <c r="E2979" s="18"/>
    </row>
    <row r="2980" spans="2:5" x14ac:dyDescent="0.4">
      <c r="B2980" s="17"/>
      <c r="C2980" s="15"/>
      <c r="D2980" s="15"/>
      <c r="E2980" s="18"/>
    </row>
    <row r="2981" spans="2:5" x14ac:dyDescent="0.4">
      <c r="B2981" s="17"/>
      <c r="C2981" s="15"/>
      <c r="D2981" s="15"/>
      <c r="E2981" s="18"/>
    </row>
    <row r="2982" spans="2:5" x14ac:dyDescent="0.4">
      <c r="B2982" s="17"/>
      <c r="C2982" s="15"/>
      <c r="D2982" s="15"/>
      <c r="E2982" s="18"/>
    </row>
    <row r="2983" spans="2:5" x14ac:dyDescent="0.4">
      <c r="B2983" s="17"/>
      <c r="C2983" s="15"/>
      <c r="D2983" s="15"/>
      <c r="E2983" s="18"/>
    </row>
    <row r="2984" spans="2:5" x14ac:dyDescent="0.4">
      <c r="B2984" s="17"/>
      <c r="C2984" s="15"/>
      <c r="D2984" s="15"/>
      <c r="E2984" s="18"/>
    </row>
    <row r="2985" spans="2:5" x14ac:dyDescent="0.4">
      <c r="B2985" s="17"/>
      <c r="C2985" s="15"/>
      <c r="D2985" s="15"/>
      <c r="E2985" s="18"/>
    </row>
    <row r="2986" spans="2:5" x14ac:dyDescent="0.4">
      <c r="B2986" s="17"/>
      <c r="C2986" s="15"/>
      <c r="D2986" s="15"/>
      <c r="E2986" s="18"/>
    </row>
    <row r="2987" spans="2:5" x14ac:dyDescent="0.4">
      <c r="B2987" s="17"/>
      <c r="C2987" s="15"/>
      <c r="D2987" s="15"/>
      <c r="E2987" s="18"/>
    </row>
    <row r="2988" spans="2:5" x14ac:dyDescent="0.4">
      <c r="B2988" s="17"/>
      <c r="C2988" s="15"/>
      <c r="D2988" s="15"/>
      <c r="E2988" s="18"/>
    </row>
    <row r="2989" spans="2:5" x14ac:dyDescent="0.4">
      <c r="B2989" s="17"/>
      <c r="C2989" s="15"/>
      <c r="D2989" s="15"/>
      <c r="E2989" s="18"/>
    </row>
    <row r="2990" spans="2:5" x14ac:dyDescent="0.4">
      <c r="B2990" s="17"/>
      <c r="C2990" s="15"/>
      <c r="D2990" s="15"/>
      <c r="E2990" s="18"/>
    </row>
    <row r="2991" spans="2:5" x14ac:dyDescent="0.4">
      <c r="B2991" s="17"/>
      <c r="C2991" s="15"/>
      <c r="D2991" s="15"/>
      <c r="E2991" s="18"/>
    </row>
    <row r="2992" spans="2:5" x14ac:dyDescent="0.4">
      <c r="B2992" s="17"/>
      <c r="C2992" s="15"/>
      <c r="D2992" s="15"/>
      <c r="E2992" s="18"/>
    </row>
    <row r="2993" spans="2:5" x14ac:dyDescent="0.4">
      <c r="B2993" s="17"/>
      <c r="C2993" s="15"/>
      <c r="D2993" s="15"/>
      <c r="E2993" s="18"/>
    </row>
    <row r="2994" spans="2:5" x14ac:dyDescent="0.4">
      <c r="B2994" s="17"/>
      <c r="C2994" s="15"/>
      <c r="D2994" s="15"/>
      <c r="E2994" s="18"/>
    </row>
    <row r="2995" spans="2:5" x14ac:dyDescent="0.4">
      <c r="B2995" s="17"/>
      <c r="C2995" s="15"/>
      <c r="D2995" s="15"/>
      <c r="E2995" s="18"/>
    </row>
    <row r="2996" spans="2:5" x14ac:dyDescent="0.4">
      <c r="B2996" s="17"/>
      <c r="C2996" s="15"/>
      <c r="D2996" s="15"/>
      <c r="E2996" s="18"/>
    </row>
    <row r="2997" spans="2:5" x14ac:dyDescent="0.4">
      <c r="B2997" s="17"/>
      <c r="C2997" s="15"/>
      <c r="D2997" s="15"/>
      <c r="E2997" s="18"/>
    </row>
    <row r="2998" spans="2:5" x14ac:dyDescent="0.4">
      <c r="B2998" s="17"/>
      <c r="C2998" s="15"/>
      <c r="D2998" s="15"/>
      <c r="E2998" s="18"/>
    </row>
    <row r="2999" spans="2:5" x14ac:dyDescent="0.4">
      <c r="B2999" s="17"/>
      <c r="C2999" s="15"/>
      <c r="D2999" s="15"/>
      <c r="E2999" s="18"/>
    </row>
    <row r="3000" spans="2:5" x14ac:dyDescent="0.4">
      <c r="B3000" s="17"/>
      <c r="C3000" s="15"/>
      <c r="D3000" s="15"/>
      <c r="E3000" s="18"/>
    </row>
    <row r="3001" spans="2:5" x14ac:dyDescent="0.4">
      <c r="B3001" s="17"/>
      <c r="C3001" s="15"/>
      <c r="D3001" s="15"/>
      <c r="E3001" s="18"/>
    </row>
    <row r="3002" spans="2:5" x14ac:dyDescent="0.4">
      <c r="B3002" s="17"/>
      <c r="C3002" s="15"/>
      <c r="D3002" s="15"/>
      <c r="E3002" s="18"/>
    </row>
    <row r="3003" spans="2:5" x14ac:dyDescent="0.4">
      <c r="B3003" s="17"/>
      <c r="C3003" s="15"/>
      <c r="D3003" s="15"/>
      <c r="E3003" s="18"/>
    </row>
    <row r="3004" spans="2:5" x14ac:dyDescent="0.4">
      <c r="B3004" s="17"/>
      <c r="C3004" s="15"/>
      <c r="D3004" s="15"/>
      <c r="E3004" s="18"/>
    </row>
    <row r="3005" spans="2:5" x14ac:dyDescent="0.4">
      <c r="B3005" s="17"/>
      <c r="C3005" s="15"/>
      <c r="D3005" s="15"/>
      <c r="E3005" s="18"/>
    </row>
    <row r="3006" spans="2:5" x14ac:dyDescent="0.4">
      <c r="B3006" s="17"/>
      <c r="C3006" s="15"/>
      <c r="D3006" s="15"/>
      <c r="E3006" s="18"/>
    </row>
    <row r="3007" spans="2:5" x14ac:dyDescent="0.4">
      <c r="B3007" s="17"/>
      <c r="C3007" s="15"/>
      <c r="D3007" s="15"/>
      <c r="E3007" s="18"/>
    </row>
    <row r="3008" spans="2:5" x14ac:dyDescent="0.4">
      <c r="B3008" s="17"/>
      <c r="C3008" s="15"/>
      <c r="D3008" s="15"/>
      <c r="E3008" s="18"/>
    </row>
    <row r="3009" spans="2:5" x14ac:dyDescent="0.4">
      <c r="B3009" s="17"/>
      <c r="C3009" s="15"/>
      <c r="D3009" s="15"/>
      <c r="E3009" s="18"/>
    </row>
    <row r="3010" spans="2:5" x14ac:dyDescent="0.4">
      <c r="B3010" s="17"/>
      <c r="C3010" s="15"/>
      <c r="D3010" s="15"/>
      <c r="E3010" s="18"/>
    </row>
    <row r="3011" spans="2:5" x14ac:dyDescent="0.4">
      <c r="B3011" s="17"/>
      <c r="C3011" s="15"/>
      <c r="D3011" s="15"/>
      <c r="E3011" s="18"/>
    </row>
    <row r="3012" spans="2:5" x14ac:dyDescent="0.4">
      <c r="B3012" s="17"/>
      <c r="C3012" s="15"/>
      <c r="D3012" s="15"/>
      <c r="E3012" s="18"/>
    </row>
    <row r="3013" spans="2:5" x14ac:dyDescent="0.4">
      <c r="B3013" s="17"/>
      <c r="C3013" s="15"/>
      <c r="D3013" s="15"/>
      <c r="E3013" s="18"/>
    </row>
    <row r="3014" spans="2:5" x14ac:dyDescent="0.4">
      <c r="B3014" s="17"/>
      <c r="C3014" s="15"/>
      <c r="D3014" s="15"/>
      <c r="E3014" s="18"/>
    </row>
    <row r="3015" spans="2:5" x14ac:dyDescent="0.4">
      <c r="B3015" s="17"/>
      <c r="C3015" s="15"/>
      <c r="D3015" s="15"/>
      <c r="E3015" s="18"/>
    </row>
    <row r="3016" spans="2:5" x14ac:dyDescent="0.4">
      <c r="B3016" s="17"/>
      <c r="C3016" s="15"/>
      <c r="D3016" s="15"/>
      <c r="E3016" s="18"/>
    </row>
    <row r="3017" spans="2:5" x14ac:dyDescent="0.4">
      <c r="B3017" s="17"/>
      <c r="C3017" s="15"/>
      <c r="D3017" s="15"/>
      <c r="E3017" s="18"/>
    </row>
    <row r="3018" spans="2:5" x14ac:dyDescent="0.4">
      <c r="B3018" s="17"/>
      <c r="C3018" s="15"/>
      <c r="D3018" s="15"/>
      <c r="E3018" s="18"/>
    </row>
    <row r="3019" spans="2:5" x14ac:dyDescent="0.4">
      <c r="B3019" s="17"/>
      <c r="C3019" s="15"/>
      <c r="D3019" s="15"/>
      <c r="E3019" s="18"/>
    </row>
    <row r="3020" spans="2:5" x14ac:dyDescent="0.4">
      <c r="B3020" s="17"/>
      <c r="C3020" s="15"/>
      <c r="D3020" s="15"/>
      <c r="E3020" s="18"/>
    </row>
    <row r="3021" spans="2:5" x14ac:dyDescent="0.4">
      <c r="B3021" s="17"/>
      <c r="C3021" s="15"/>
      <c r="D3021" s="15"/>
      <c r="E3021" s="18"/>
    </row>
    <row r="3022" spans="2:5" x14ac:dyDescent="0.4">
      <c r="B3022" s="17"/>
      <c r="C3022" s="15"/>
      <c r="D3022" s="15"/>
      <c r="E3022" s="18"/>
    </row>
    <row r="3023" spans="2:5" x14ac:dyDescent="0.4">
      <c r="B3023" s="17"/>
      <c r="C3023" s="15"/>
      <c r="D3023" s="15"/>
      <c r="E3023" s="18"/>
    </row>
    <row r="3024" spans="2:5" x14ac:dyDescent="0.4">
      <c r="B3024" s="17"/>
      <c r="C3024" s="15"/>
      <c r="D3024" s="15"/>
      <c r="E3024" s="18"/>
    </row>
    <row r="3025" spans="2:5" x14ac:dyDescent="0.4">
      <c r="B3025" s="17"/>
      <c r="C3025" s="15"/>
      <c r="D3025" s="15"/>
      <c r="E3025" s="18"/>
    </row>
    <row r="3026" spans="2:5" x14ac:dyDescent="0.4">
      <c r="B3026" s="17"/>
      <c r="C3026" s="15"/>
      <c r="D3026" s="15"/>
      <c r="E3026" s="18"/>
    </row>
    <row r="3027" spans="2:5" x14ac:dyDescent="0.4">
      <c r="B3027" s="17"/>
      <c r="C3027" s="15"/>
      <c r="D3027" s="15"/>
      <c r="E3027" s="18"/>
    </row>
    <row r="3028" spans="2:5" x14ac:dyDescent="0.4">
      <c r="B3028" s="17"/>
      <c r="C3028" s="15"/>
      <c r="D3028" s="15"/>
      <c r="E3028" s="18"/>
    </row>
    <row r="3029" spans="2:5" x14ac:dyDescent="0.4">
      <c r="B3029" s="17"/>
      <c r="C3029" s="15"/>
      <c r="D3029" s="15"/>
      <c r="E3029" s="18"/>
    </row>
    <row r="3030" spans="2:5" x14ac:dyDescent="0.4">
      <c r="B3030" s="17"/>
      <c r="C3030" s="15"/>
      <c r="D3030" s="15"/>
      <c r="E3030" s="18"/>
    </row>
    <row r="3031" spans="2:5" x14ac:dyDescent="0.4">
      <c r="B3031" s="17"/>
      <c r="C3031" s="15"/>
      <c r="D3031" s="15"/>
      <c r="E3031" s="18"/>
    </row>
    <row r="3032" spans="2:5" x14ac:dyDescent="0.4">
      <c r="B3032" s="17"/>
      <c r="C3032" s="15"/>
      <c r="D3032" s="15"/>
      <c r="E3032" s="18"/>
    </row>
    <row r="3033" spans="2:5" x14ac:dyDescent="0.4">
      <c r="B3033" s="17"/>
      <c r="C3033" s="15"/>
      <c r="D3033" s="15"/>
      <c r="E3033" s="18"/>
    </row>
    <row r="3034" spans="2:5" x14ac:dyDescent="0.4">
      <c r="B3034" s="17"/>
      <c r="C3034" s="15"/>
      <c r="D3034" s="15"/>
      <c r="E3034" s="18"/>
    </row>
    <row r="3035" spans="2:5" x14ac:dyDescent="0.4">
      <c r="B3035" s="17"/>
      <c r="C3035" s="15"/>
      <c r="D3035" s="15"/>
      <c r="E3035" s="18"/>
    </row>
    <row r="3036" spans="2:5" x14ac:dyDescent="0.4">
      <c r="B3036" s="17"/>
      <c r="C3036" s="15"/>
      <c r="D3036" s="15"/>
      <c r="E3036" s="18"/>
    </row>
    <row r="3037" spans="2:5" x14ac:dyDescent="0.4">
      <c r="B3037" s="17"/>
      <c r="C3037" s="15"/>
      <c r="D3037" s="15"/>
      <c r="E3037" s="18"/>
    </row>
    <row r="3038" spans="2:5" x14ac:dyDescent="0.4">
      <c r="B3038" s="17"/>
      <c r="C3038" s="15"/>
      <c r="D3038" s="15"/>
      <c r="E3038" s="18"/>
    </row>
    <row r="3039" spans="2:5" x14ac:dyDescent="0.4">
      <c r="B3039" s="17"/>
      <c r="C3039" s="15"/>
      <c r="D3039" s="15"/>
      <c r="E3039" s="18"/>
    </row>
    <row r="3040" spans="2:5" x14ac:dyDescent="0.4">
      <c r="B3040" s="17"/>
      <c r="C3040" s="15"/>
      <c r="D3040" s="15"/>
      <c r="E3040" s="18"/>
    </row>
    <row r="3041" spans="2:5" x14ac:dyDescent="0.4">
      <c r="B3041" s="17"/>
      <c r="C3041" s="15"/>
      <c r="D3041" s="15"/>
      <c r="E3041" s="18"/>
    </row>
    <row r="3042" spans="2:5" x14ac:dyDescent="0.4">
      <c r="B3042" s="17"/>
      <c r="C3042" s="15"/>
      <c r="D3042" s="15"/>
      <c r="E3042" s="18"/>
    </row>
    <row r="3043" spans="2:5" x14ac:dyDescent="0.4">
      <c r="B3043" s="17"/>
      <c r="C3043" s="15"/>
      <c r="D3043" s="15"/>
      <c r="E3043" s="18"/>
    </row>
    <row r="3044" spans="2:5" x14ac:dyDescent="0.4">
      <c r="B3044" s="17"/>
      <c r="C3044" s="15"/>
      <c r="D3044" s="15"/>
      <c r="E3044" s="18"/>
    </row>
    <row r="3045" spans="2:5" x14ac:dyDescent="0.4">
      <c r="B3045" s="17"/>
      <c r="C3045" s="15"/>
      <c r="D3045" s="15"/>
      <c r="E3045" s="18"/>
    </row>
    <row r="3046" spans="2:5" x14ac:dyDescent="0.4">
      <c r="B3046" s="17"/>
      <c r="C3046" s="15"/>
      <c r="D3046" s="15"/>
      <c r="E3046" s="18"/>
    </row>
    <row r="3047" spans="2:5" x14ac:dyDescent="0.4">
      <c r="B3047" s="17"/>
      <c r="C3047" s="15"/>
      <c r="D3047" s="15"/>
      <c r="E3047" s="18"/>
    </row>
    <row r="3048" spans="2:5" x14ac:dyDescent="0.4">
      <c r="B3048" s="17"/>
      <c r="C3048" s="15"/>
      <c r="D3048" s="15"/>
      <c r="E3048" s="18"/>
    </row>
    <row r="3049" spans="2:5" x14ac:dyDescent="0.4">
      <c r="B3049" s="17"/>
      <c r="C3049" s="15"/>
      <c r="D3049" s="15"/>
      <c r="E3049" s="18"/>
    </row>
    <row r="3050" spans="2:5" x14ac:dyDescent="0.4">
      <c r="B3050" s="17"/>
      <c r="C3050" s="15"/>
      <c r="D3050" s="15"/>
      <c r="E3050" s="18"/>
    </row>
    <row r="3051" spans="2:5" x14ac:dyDescent="0.4">
      <c r="B3051" s="17"/>
      <c r="C3051" s="15"/>
      <c r="D3051" s="15"/>
      <c r="E3051" s="18"/>
    </row>
    <row r="3052" spans="2:5" x14ac:dyDescent="0.4">
      <c r="B3052" s="17"/>
      <c r="C3052" s="15"/>
      <c r="D3052" s="15"/>
      <c r="E3052" s="18"/>
    </row>
    <row r="3053" spans="2:5" x14ac:dyDescent="0.4">
      <c r="B3053" s="17"/>
      <c r="C3053" s="15"/>
      <c r="D3053" s="15"/>
      <c r="E3053" s="18"/>
    </row>
    <row r="3054" spans="2:5" x14ac:dyDescent="0.4">
      <c r="B3054" s="17"/>
      <c r="C3054" s="15"/>
      <c r="D3054" s="15"/>
      <c r="E3054" s="18"/>
    </row>
    <row r="3055" spans="2:5" x14ac:dyDescent="0.4">
      <c r="B3055" s="17"/>
      <c r="C3055" s="15"/>
      <c r="D3055" s="15"/>
      <c r="E3055" s="18"/>
    </row>
    <row r="3056" spans="2:5" x14ac:dyDescent="0.4">
      <c r="B3056" s="17"/>
      <c r="C3056" s="15"/>
      <c r="D3056" s="15"/>
      <c r="E3056" s="18"/>
    </row>
    <row r="3057" spans="2:5" x14ac:dyDescent="0.4">
      <c r="B3057" s="17"/>
      <c r="C3057" s="15"/>
      <c r="D3057" s="15"/>
      <c r="E3057" s="18"/>
    </row>
    <row r="3058" spans="2:5" x14ac:dyDescent="0.4">
      <c r="B3058" s="17"/>
      <c r="C3058" s="15"/>
      <c r="D3058" s="15"/>
      <c r="E3058" s="18"/>
    </row>
    <row r="3059" spans="2:5" x14ac:dyDescent="0.4">
      <c r="B3059" s="17"/>
      <c r="C3059" s="15"/>
      <c r="D3059" s="15"/>
      <c r="E3059" s="18"/>
    </row>
    <row r="3060" spans="2:5" x14ac:dyDescent="0.4">
      <c r="B3060" s="17"/>
      <c r="C3060" s="15"/>
      <c r="D3060" s="15"/>
      <c r="E3060" s="18"/>
    </row>
    <row r="3061" spans="2:5" x14ac:dyDescent="0.4">
      <c r="B3061" s="17"/>
      <c r="C3061" s="15"/>
      <c r="D3061" s="15"/>
      <c r="E3061" s="18"/>
    </row>
    <row r="3062" spans="2:5" x14ac:dyDescent="0.4">
      <c r="B3062" s="17"/>
      <c r="C3062" s="15"/>
      <c r="D3062" s="15"/>
      <c r="E3062" s="18"/>
    </row>
    <row r="3063" spans="2:5" x14ac:dyDescent="0.4">
      <c r="B3063" s="17"/>
      <c r="C3063" s="15"/>
      <c r="D3063" s="15"/>
      <c r="E3063" s="18"/>
    </row>
    <row r="3064" spans="2:5" x14ac:dyDescent="0.4">
      <c r="B3064" s="17"/>
      <c r="C3064" s="15"/>
      <c r="D3064" s="15"/>
      <c r="E3064" s="18"/>
    </row>
    <row r="3065" spans="2:5" x14ac:dyDescent="0.4">
      <c r="B3065" s="17"/>
      <c r="C3065" s="15"/>
      <c r="D3065" s="15"/>
      <c r="E3065" s="18"/>
    </row>
    <row r="3066" spans="2:5" x14ac:dyDescent="0.4">
      <c r="B3066" s="17"/>
      <c r="C3066" s="15"/>
      <c r="D3066" s="15"/>
      <c r="E3066" s="18"/>
    </row>
    <row r="3067" spans="2:5" x14ac:dyDescent="0.4">
      <c r="B3067" s="17"/>
      <c r="C3067" s="15"/>
      <c r="D3067" s="15"/>
      <c r="E3067" s="18"/>
    </row>
    <row r="3068" spans="2:5" x14ac:dyDescent="0.4">
      <c r="B3068" s="17"/>
      <c r="C3068" s="15"/>
      <c r="D3068" s="15"/>
      <c r="E3068" s="18"/>
    </row>
    <row r="3069" spans="2:5" x14ac:dyDescent="0.4">
      <c r="B3069" s="17"/>
      <c r="C3069" s="15"/>
      <c r="D3069" s="15"/>
      <c r="E3069" s="18"/>
    </row>
    <row r="3070" spans="2:5" x14ac:dyDescent="0.4">
      <c r="B3070" s="17"/>
      <c r="C3070" s="15"/>
      <c r="D3070" s="15"/>
      <c r="E3070" s="18"/>
    </row>
    <row r="3071" spans="2:5" x14ac:dyDescent="0.4">
      <c r="B3071" s="17"/>
      <c r="C3071" s="15"/>
      <c r="D3071" s="15"/>
      <c r="E3071" s="18"/>
    </row>
    <row r="3072" spans="2:5" x14ac:dyDescent="0.4">
      <c r="B3072" s="17"/>
      <c r="C3072" s="15"/>
      <c r="D3072" s="15"/>
      <c r="E3072" s="18"/>
    </row>
    <row r="3073" spans="2:5" x14ac:dyDescent="0.4">
      <c r="B3073" s="17"/>
      <c r="C3073" s="15"/>
      <c r="D3073" s="15"/>
      <c r="E3073" s="18"/>
    </row>
    <row r="3074" spans="2:5" x14ac:dyDescent="0.4">
      <c r="B3074" s="17"/>
      <c r="C3074" s="15"/>
      <c r="D3074" s="15"/>
      <c r="E3074" s="18"/>
    </row>
    <row r="3075" spans="2:5" x14ac:dyDescent="0.4">
      <c r="B3075" s="17"/>
      <c r="C3075" s="15"/>
      <c r="D3075" s="15"/>
      <c r="E3075" s="18"/>
    </row>
    <row r="3076" spans="2:5" x14ac:dyDescent="0.4">
      <c r="B3076" s="17"/>
      <c r="C3076" s="15"/>
      <c r="D3076" s="15"/>
      <c r="E3076" s="18"/>
    </row>
    <row r="3077" spans="2:5" x14ac:dyDescent="0.4">
      <c r="B3077" s="17"/>
      <c r="C3077" s="15"/>
      <c r="D3077" s="15"/>
      <c r="E3077" s="18"/>
    </row>
    <row r="3078" spans="2:5" x14ac:dyDescent="0.4">
      <c r="B3078" s="17"/>
      <c r="C3078" s="15"/>
      <c r="D3078" s="15"/>
      <c r="E3078" s="18"/>
    </row>
    <row r="3079" spans="2:5" x14ac:dyDescent="0.4">
      <c r="B3079" s="17"/>
      <c r="C3079" s="15"/>
      <c r="D3079" s="15"/>
      <c r="E3079" s="18"/>
    </row>
    <row r="3080" spans="2:5" x14ac:dyDescent="0.4">
      <c r="B3080" s="17"/>
      <c r="C3080" s="15"/>
      <c r="D3080" s="15"/>
      <c r="E3080" s="18"/>
    </row>
    <row r="3081" spans="2:5" x14ac:dyDescent="0.4">
      <c r="B3081" s="17"/>
      <c r="C3081" s="15"/>
      <c r="D3081" s="15"/>
      <c r="E3081" s="18"/>
    </row>
    <row r="3082" spans="2:5" x14ac:dyDescent="0.4">
      <c r="B3082" s="17"/>
      <c r="C3082" s="15"/>
      <c r="D3082" s="15"/>
      <c r="E3082" s="18"/>
    </row>
    <row r="3083" spans="2:5" x14ac:dyDescent="0.4">
      <c r="B3083" s="17"/>
      <c r="C3083" s="15"/>
      <c r="D3083" s="15"/>
      <c r="E3083" s="18"/>
    </row>
    <row r="3084" spans="2:5" x14ac:dyDescent="0.4">
      <c r="B3084" s="17"/>
      <c r="C3084" s="15"/>
      <c r="D3084" s="15"/>
      <c r="E3084" s="18"/>
    </row>
    <row r="3085" spans="2:5" x14ac:dyDescent="0.4">
      <c r="B3085" s="17"/>
      <c r="C3085" s="15"/>
      <c r="D3085" s="15"/>
      <c r="E3085" s="18"/>
    </row>
    <row r="3086" spans="2:5" x14ac:dyDescent="0.4">
      <c r="B3086" s="17"/>
      <c r="C3086" s="15"/>
      <c r="D3086" s="15"/>
      <c r="E3086" s="18"/>
    </row>
    <row r="3087" spans="2:5" x14ac:dyDescent="0.4">
      <c r="B3087" s="17"/>
      <c r="C3087" s="15"/>
      <c r="D3087" s="15"/>
      <c r="E3087" s="18"/>
    </row>
    <row r="3088" spans="2:5" x14ac:dyDescent="0.4">
      <c r="B3088" s="17"/>
      <c r="C3088" s="15"/>
      <c r="D3088" s="15"/>
      <c r="E3088" s="18"/>
    </row>
    <row r="3089" spans="2:5" x14ac:dyDescent="0.4">
      <c r="B3089" s="17"/>
      <c r="C3089" s="15"/>
      <c r="D3089" s="15"/>
      <c r="E3089" s="18"/>
    </row>
    <row r="3090" spans="2:5" x14ac:dyDescent="0.4">
      <c r="B3090" s="17"/>
      <c r="C3090" s="15"/>
      <c r="D3090" s="15"/>
      <c r="E3090" s="18"/>
    </row>
    <row r="3091" spans="2:5" x14ac:dyDescent="0.4">
      <c r="B3091" s="17"/>
      <c r="C3091" s="15"/>
      <c r="D3091" s="15"/>
      <c r="E3091" s="18"/>
    </row>
    <row r="3092" spans="2:5" x14ac:dyDescent="0.4">
      <c r="B3092" s="17"/>
      <c r="C3092" s="15"/>
      <c r="D3092" s="15"/>
      <c r="E3092" s="18"/>
    </row>
    <row r="3093" spans="2:5" x14ac:dyDescent="0.4">
      <c r="B3093" s="17"/>
      <c r="C3093" s="15"/>
      <c r="D3093" s="15"/>
      <c r="E3093" s="18"/>
    </row>
    <row r="3094" spans="2:5" x14ac:dyDescent="0.4">
      <c r="B3094" s="17"/>
      <c r="C3094" s="15"/>
      <c r="D3094" s="15"/>
      <c r="E3094" s="18"/>
    </row>
    <row r="3095" spans="2:5" x14ac:dyDescent="0.4">
      <c r="B3095" s="17"/>
      <c r="C3095" s="15"/>
      <c r="D3095" s="15"/>
      <c r="E3095" s="18"/>
    </row>
    <row r="3096" spans="2:5" x14ac:dyDescent="0.4">
      <c r="B3096" s="17"/>
      <c r="C3096" s="15"/>
      <c r="D3096" s="15"/>
      <c r="E3096" s="18"/>
    </row>
    <row r="3097" spans="2:5" x14ac:dyDescent="0.4">
      <c r="B3097" s="17"/>
      <c r="C3097" s="15"/>
      <c r="D3097" s="15"/>
      <c r="E3097" s="18"/>
    </row>
    <row r="3098" spans="2:5" x14ac:dyDescent="0.4">
      <c r="B3098" s="17"/>
      <c r="C3098" s="15"/>
      <c r="D3098" s="15"/>
      <c r="E3098" s="18"/>
    </row>
    <row r="3099" spans="2:5" x14ac:dyDescent="0.4">
      <c r="B3099" s="17"/>
      <c r="C3099" s="15"/>
      <c r="D3099" s="15"/>
      <c r="E3099" s="18"/>
    </row>
    <row r="3100" spans="2:5" x14ac:dyDescent="0.4">
      <c r="B3100" s="17"/>
      <c r="C3100" s="15"/>
      <c r="D3100" s="15"/>
      <c r="E3100" s="18"/>
    </row>
    <row r="3101" spans="2:5" x14ac:dyDescent="0.4">
      <c r="B3101" s="17"/>
      <c r="C3101" s="15"/>
      <c r="D3101" s="15"/>
      <c r="E3101" s="18"/>
    </row>
    <row r="3102" spans="2:5" x14ac:dyDescent="0.4">
      <c r="B3102" s="17"/>
      <c r="C3102" s="15"/>
      <c r="D3102" s="15"/>
      <c r="E3102" s="18"/>
    </row>
    <row r="3103" spans="2:5" x14ac:dyDescent="0.4">
      <c r="B3103" s="17"/>
      <c r="C3103" s="15"/>
      <c r="D3103" s="15"/>
      <c r="E3103" s="18"/>
    </row>
    <row r="3104" spans="2:5" x14ac:dyDescent="0.4">
      <c r="B3104" s="17"/>
      <c r="C3104" s="15"/>
      <c r="D3104" s="15"/>
      <c r="E3104" s="18"/>
    </row>
    <row r="3105" spans="2:5" x14ac:dyDescent="0.4">
      <c r="B3105" s="17"/>
      <c r="C3105" s="15"/>
      <c r="D3105" s="15"/>
      <c r="E3105" s="18"/>
    </row>
    <row r="3106" spans="2:5" x14ac:dyDescent="0.4">
      <c r="B3106" s="17"/>
      <c r="C3106" s="15"/>
      <c r="D3106" s="15"/>
      <c r="E3106" s="18"/>
    </row>
    <row r="3107" spans="2:5" x14ac:dyDescent="0.4">
      <c r="B3107" s="17"/>
      <c r="C3107" s="15"/>
      <c r="D3107" s="15"/>
      <c r="E3107" s="18"/>
    </row>
    <row r="3108" spans="2:5" x14ac:dyDescent="0.4">
      <c r="B3108" s="17"/>
      <c r="C3108" s="15"/>
      <c r="D3108" s="15"/>
      <c r="E3108" s="18"/>
    </row>
    <row r="3109" spans="2:5" x14ac:dyDescent="0.4">
      <c r="B3109" s="17"/>
      <c r="C3109" s="15"/>
      <c r="D3109" s="15"/>
      <c r="E3109" s="18"/>
    </row>
    <row r="3110" spans="2:5" x14ac:dyDescent="0.4">
      <c r="B3110" s="17"/>
      <c r="C3110" s="15"/>
      <c r="D3110" s="15"/>
      <c r="E3110" s="18"/>
    </row>
    <row r="3111" spans="2:5" x14ac:dyDescent="0.4">
      <c r="B3111" s="17"/>
      <c r="C3111" s="15"/>
      <c r="D3111" s="15"/>
      <c r="E3111" s="18"/>
    </row>
    <row r="3112" spans="2:5" x14ac:dyDescent="0.4">
      <c r="B3112" s="17"/>
      <c r="C3112" s="15"/>
      <c r="D3112" s="15"/>
      <c r="E3112" s="18"/>
    </row>
    <row r="3113" spans="2:5" x14ac:dyDescent="0.4">
      <c r="B3113" s="17"/>
      <c r="C3113" s="15"/>
      <c r="D3113" s="15"/>
      <c r="E3113" s="18"/>
    </row>
    <row r="3114" spans="2:5" x14ac:dyDescent="0.4">
      <c r="B3114" s="17"/>
      <c r="C3114" s="15"/>
      <c r="D3114" s="15"/>
      <c r="E3114" s="18"/>
    </row>
    <row r="3115" spans="2:5" x14ac:dyDescent="0.4">
      <c r="B3115" s="17"/>
      <c r="C3115" s="15"/>
      <c r="D3115" s="15"/>
      <c r="E3115" s="18"/>
    </row>
    <row r="3116" spans="2:5" x14ac:dyDescent="0.4">
      <c r="B3116" s="17"/>
      <c r="C3116" s="15"/>
      <c r="D3116" s="15"/>
      <c r="E3116" s="18"/>
    </row>
    <row r="3117" spans="2:5" x14ac:dyDescent="0.4">
      <c r="B3117" s="17"/>
      <c r="C3117" s="15"/>
      <c r="D3117" s="15"/>
      <c r="E3117" s="18"/>
    </row>
    <row r="3118" spans="2:5" x14ac:dyDescent="0.4">
      <c r="B3118" s="17"/>
      <c r="C3118" s="15"/>
      <c r="D3118" s="15"/>
      <c r="E3118" s="18"/>
    </row>
    <row r="3119" spans="2:5" x14ac:dyDescent="0.4">
      <c r="B3119" s="17"/>
      <c r="C3119" s="15"/>
      <c r="D3119" s="15"/>
      <c r="E3119" s="18"/>
    </row>
    <row r="3120" spans="2:5" x14ac:dyDescent="0.4">
      <c r="B3120" s="17"/>
      <c r="C3120" s="15"/>
      <c r="D3120" s="15"/>
      <c r="E3120" s="18"/>
    </row>
    <row r="3121" spans="2:5" x14ac:dyDescent="0.4">
      <c r="B3121" s="17"/>
      <c r="C3121" s="15"/>
      <c r="D3121" s="15"/>
      <c r="E3121" s="18"/>
    </row>
    <row r="3122" spans="2:5" x14ac:dyDescent="0.4">
      <c r="B3122" s="17"/>
      <c r="C3122" s="15"/>
      <c r="D3122" s="15"/>
      <c r="E3122" s="18"/>
    </row>
    <row r="3123" spans="2:5" x14ac:dyDescent="0.4">
      <c r="B3123" s="17"/>
      <c r="C3123" s="15"/>
      <c r="D3123" s="15"/>
      <c r="E3123" s="18"/>
    </row>
    <row r="3124" spans="2:5" x14ac:dyDescent="0.4">
      <c r="B3124" s="17"/>
      <c r="C3124" s="15"/>
      <c r="D3124" s="15"/>
      <c r="E3124" s="18"/>
    </row>
    <row r="3125" spans="2:5" x14ac:dyDescent="0.4">
      <c r="B3125" s="17"/>
      <c r="C3125" s="15"/>
      <c r="D3125" s="15"/>
      <c r="E3125" s="18"/>
    </row>
    <row r="3126" spans="2:5" x14ac:dyDescent="0.4">
      <c r="B3126" s="17"/>
      <c r="C3126" s="15"/>
      <c r="D3126" s="15"/>
      <c r="E3126" s="18"/>
    </row>
    <row r="3127" spans="2:5" x14ac:dyDescent="0.4">
      <c r="B3127" s="17"/>
      <c r="C3127" s="15"/>
      <c r="D3127" s="15"/>
      <c r="E3127" s="18"/>
    </row>
    <row r="3128" spans="2:5" x14ac:dyDescent="0.4">
      <c r="B3128" s="17"/>
      <c r="C3128" s="15"/>
      <c r="D3128" s="15"/>
      <c r="E3128" s="18"/>
    </row>
    <row r="3129" spans="2:5" x14ac:dyDescent="0.4">
      <c r="B3129" s="17"/>
      <c r="C3129" s="15"/>
      <c r="D3129" s="15"/>
      <c r="E3129" s="18"/>
    </row>
    <row r="3130" spans="2:5" x14ac:dyDescent="0.4">
      <c r="B3130" s="17"/>
      <c r="C3130" s="15"/>
      <c r="D3130" s="15"/>
      <c r="E3130" s="18"/>
    </row>
    <row r="3131" spans="2:5" x14ac:dyDescent="0.4">
      <c r="B3131" s="17"/>
      <c r="C3131" s="15"/>
      <c r="D3131" s="15"/>
      <c r="E3131" s="18"/>
    </row>
    <row r="3132" spans="2:5" x14ac:dyDescent="0.4">
      <c r="B3132" s="17"/>
      <c r="C3132" s="15"/>
      <c r="D3132" s="15"/>
      <c r="E3132" s="18"/>
    </row>
    <row r="3133" spans="2:5" x14ac:dyDescent="0.4">
      <c r="B3133" s="17"/>
      <c r="C3133" s="15"/>
      <c r="D3133" s="15"/>
      <c r="E3133" s="18"/>
    </row>
    <row r="3134" spans="2:5" x14ac:dyDescent="0.4">
      <c r="B3134" s="17"/>
      <c r="C3134" s="15"/>
      <c r="D3134" s="15"/>
      <c r="E3134" s="18"/>
    </row>
    <row r="3135" spans="2:5" x14ac:dyDescent="0.4">
      <c r="B3135" s="17"/>
      <c r="C3135" s="15"/>
      <c r="D3135" s="15"/>
      <c r="E3135" s="18"/>
    </row>
    <row r="3136" spans="2:5" x14ac:dyDescent="0.4">
      <c r="B3136" s="17"/>
      <c r="C3136" s="15"/>
      <c r="D3136" s="15"/>
      <c r="E3136" s="18"/>
    </row>
    <row r="3137" spans="2:5" x14ac:dyDescent="0.4">
      <c r="B3137" s="17"/>
      <c r="C3137" s="15"/>
      <c r="D3137" s="15"/>
      <c r="E3137" s="18"/>
    </row>
    <row r="3138" spans="2:5" x14ac:dyDescent="0.4">
      <c r="B3138" s="17"/>
      <c r="C3138" s="15"/>
      <c r="D3138" s="15"/>
      <c r="E3138" s="18"/>
    </row>
    <row r="3139" spans="2:5" x14ac:dyDescent="0.4">
      <c r="B3139" s="17"/>
      <c r="C3139" s="15"/>
      <c r="D3139" s="15"/>
      <c r="E3139" s="18"/>
    </row>
    <row r="3140" spans="2:5" x14ac:dyDescent="0.4">
      <c r="B3140" s="17"/>
      <c r="C3140" s="15"/>
      <c r="D3140" s="15"/>
      <c r="E3140" s="18"/>
    </row>
    <row r="3141" spans="2:5" x14ac:dyDescent="0.4">
      <c r="B3141" s="17"/>
      <c r="C3141" s="15"/>
      <c r="D3141" s="15"/>
      <c r="E3141" s="18"/>
    </row>
    <row r="3142" spans="2:5" x14ac:dyDescent="0.4">
      <c r="B3142" s="17"/>
      <c r="C3142" s="15"/>
      <c r="D3142" s="15"/>
      <c r="E3142" s="18"/>
    </row>
    <row r="3143" spans="2:5" x14ac:dyDescent="0.4">
      <c r="B3143" s="17"/>
      <c r="C3143" s="15"/>
      <c r="D3143" s="15"/>
      <c r="E3143" s="18"/>
    </row>
    <row r="3144" spans="2:5" x14ac:dyDescent="0.4">
      <c r="B3144" s="17"/>
      <c r="C3144" s="15"/>
      <c r="D3144" s="15"/>
      <c r="E3144" s="18"/>
    </row>
    <row r="3145" spans="2:5" x14ac:dyDescent="0.4">
      <c r="B3145" s="17"/>
      <c r="C3145" s="15"/>
      <c r="D3145" s="15"/>
      <c r="E3145" s="18"/>
    </row>
    <row r="3146" spans="2:5" x14ac:dyDescent="0.4">
      <c r="B3146" s="17"/>
      <c r="C3146" s="15"/>
      <c r="D3146" s="15"/>
      <c r="E3146" s="18"/>
    </row>
    <row r="3147" spans="2:5" x14ac:dyDescent="0.4">
      <c r="B3147" s="17"/>
      <c r="C3147" s="15"/>
      <c r="D3147" s="15"/>
      <c r="E3147" s="18"/>
    </row>
    <row r="3148" spans="2:5" x14ac:dyDescent="0.4">
      <c r="B3148" s="17"/>
      <c r="C3148" s="15"/>
      <c r="D3148" s="15"/>
      <c r="E3148" s="18"/>
    </row>
    <row r="3149" spans="2:5" x14ac:dyDescent="0.4">
      <c r="B3149" s="17"/>
      <c r="C3149" s="15"/>
      <c r="D3149" s="15"/>
      <c r="E3149" s="18"/>
    </row>
    <row r="3150" spans="2:5" x14ac:dyDescent="0.4">
      <c r="B3150" s="17"/>
      <c r="C3150" s="15"/>
      <c r="D3150" s="15"/>
      <c r="E3150" s="18"/>
    </row>
    <row r="3151" spans="2:5" x14ac:dyDescent="0.4">
      <c r="B3151" s="17"/>
      <c r="C3151" s="15"/>
      <c r="D3151" s="15"/>
      <c r="E3151" s="18"/>
    </row>
    <row r="3152" spans="2:5" x14ac:dyDescent="0.4">
      <c r="B3152" s="17"/>
      <c r="C3152" s="15"/>
      <c r="D3152" s="15"/>
      <c r="E3152" s="18"/>
    </row>
    <row r="3153" spans="2:5" x14ac:dyDescent="0.4">
      <c r="B3153" s="17"/>
      <c r="C3153" s="15"/>
      <c r="D3153" s="15"/>
      <c r="E3153" s="18"/>
    </row>
    <row r="3154" spans="2:5" x14ac:dyDescent="0.4">
      <c r="B3154" s="17"/>
      <c r="C3154" s="15"/>
      <c r="D3154" s="15"/>
      <c r="E3154" s="18"/>
    </row>
    <row r="3155" spans="2:5" x14ac:dyDescent="0.4">
      <c r="B3155" s="17"/>
      <c r="C3155" s="15"/>
      <c r="D3155" s="15"/>
      <c r="E3155" s="18"/>
    </row>
    <row r="3156" spans="2:5" x14ac:dyDescent="0.4">
      <c r="B3156" s="17"/>
      <c r="C3156" s="15"/>
      <c r="D3156" s="15"/>
      <c r="E3156" s="18"/>
    </row>
    <row r="3157" spans="2:5" x14ac:dyDescent="0.4">
      <c r="B3157" s="17"/>
      <c r="C3157" s="15"/>
      <c r="D3157" s="15"/>
      <c r="E3157" s="18"/>
    </row>
    <row r="3158" spans="2:5" x14ac:dyDescent="0.4">
      <c r="B3158" s="17"/>
      <c r="C3158" s="15"/>
      <c r="D3158" s="15"/>
      <c r="E3158" s="18"/>
    </row>
    <row r="3159" spans="2:5" x14ac:dyDescent="0.4">
      <c r="B3159" s="17"/>
      <c r="C3159" s="15"/>
      <c r="D3159" s="15"/>
      <c r="E3159" s="18"/>
    </row>
    <row r="3160" spans="2:5" x14ac:dyDescent="0.4">
      <c r="B3160" s="17"/>
      <c r="C3160" s="15"/>
      <c r="D3160" s="15"/>
      <c r="E3160" s="18"/>
    </row>
    <row r="3161" spans="2:5" x14ac:dyDescent="0.4">
      <c r="B3161" s="17"/>
      <c r="C3161" s="15"/>
      <c r="D3161" s="15"/>
      <c r="E3161" s="18"/>
    </row>
    <row r="3162" spans="2:5" x14ac:dyDescent="0.4">
      <c r="B3162" s="17"/>
      <c r="C3162" s="15"/>
      <c r="D3162" s="15"/>
      <c r="E3162" s="18"/>
    </row>
    <row r="3163" spans="2:5" x14ac:dyDescent="0.4">
      <c r="B3163" s="17"/>
      <c r="C3163" s="15"/>
      <c r="D3163" s="15"/>
      <c r="E3163" s="18"/>
    </row>
    <row r="3164" spans="2:5" x14ac:dyDescent="0.4">
      <c r="B3164" s="17"/>
      <c r="C3164" s="15"/>
      <c r="D3164" s="15"/>
      <c r="E3164" s="18"/>
    </row>
    <row r="3165" spans="2:5" x14ac:dyDescent="0.4">
      <c r="B3165" s="17"/>
      <c r="C3165" s="15"/>
      <c r="D3165" s="15"/>
      <c r="E3165" s="18"/>
    </row>
    <row r="3166" spans="2:5" x14ac:dyDescent="0.4">
      <c r="B3166" s="17"/>
      <c r="C3166" s="15"/>
      <c r="D3166" s="15"/>
      <c r="E3166" s="18"/>
    </row>
    <row r="3167" spans="2:5" x14ac:dyDescent="0.4">
      <c r="B3167" s="17"/>
      <c r="C3167" s="15"/>
      <c r="D3167" s="15"/>
      <c r="E3167" s="18"/>
    </row>
    <row r="3168" spans="2:5" x14ac:dyDescent="0.4">
      <c r="B3168" s="17"/>
      <c r="C3168" s="15"/>
      <c r="D3168" s="15"/>
      <c r="E3168" s="18"/>
    </row>
    <row r="3169" spans="2:5" x14ac:dyDescent="0.4">
      <c r="B3169" s="17"/>
      <c r="C3169" s="15"/>
      <c r="D3169" s="15"/>
      <c r="E3169" s="18"/>
    </row>
    <row r="3170" spans="2:5" x14ac:dyDescent="0.4">
      <c r="B3170" s="17"/>
      <c r="C3170" s="15"/>
      <c r="D3170" s="15"/>
      <c r="E3170" s="18"/>
    </row>
    <row r="3171" spans="2:5" x14ac:dyDescent="0.4">
      <c r="B3171" s="17"/>
      <c r="C3171" s="15"/>
      <c r="D3171" s="15"/>
      <c r="E3171" s="18"/>
    </row>
    <row r="3172" spans="2:5" x14ac:dyDescent="0.4">
      <c r="B3172" s="17"/>
      <c r="C3172" s="15"/>
      <c r="D3172" s="15"/>
      <c r="E3172" s="18"/>
    </row>
    <row r="3173" spans="2:5" x14ac:dyDescent="0.4">
      <c r="B3173" s="17"/>
      <c r="C3173" s="15"/>
      <c r="D3173" s="15"/>
      <c r="E3173" s="18"/>
    </row>
    <row r="3174" spans="2:5" x14ac:dyDescent="0.4">
      <c r="B3174" s="17"/>
      <c r="C3174" s="15"/>
      <c r="D3174" s="15"/>
      <c r="E3174" s="18"/>
    </row>
    <row r="3175" spans="2:5" x14ac:dyDescent="0.4">
      <c r="B3175" s="17"/>
      <c r="C3175" s="15"/>
      <c r="D3175" s="15"/>
      <c r="E3175" s="18"/>
    </row>
    <row r="3176" spans="2:5" x14ac:dyDescent="0.4">
      <c r="B3176" s="17"/>
      <c r="C3176" s="15"/>
      <c r="D3176" s="15"/>
      <c r="E3176" s="18"/>
    </row>
    <row r="3177" spans="2:5" x14ac:dyDescent="0.4">
      <c r="B3177" s="17"/>
      <c r="C3177" s="15"/>
      <c r="D3177" s="15"/>
      <c r="E3177" s="18"/>
    </row>
    <row r="3178" spans="2:5" x14ac:dyDescent="0.4">
      <c r="B3178" s="17"/>
      <c r="C3178" s="15"/>
      <c r="D3178" s="15"/>
      <c r="E3178" s="18"/>
    </row>
    <row r="3179" spans="2:5" x14ac:dyDescent="0.4">
      <c r="B3179" s="17"/>
      <c r="C3179" s="15"/>
      <c r="D3179" s="15"/>
      <c r="E3179" s="18"/>
    </row>
    <row r="3180" spans="2:5" x14ac:dyDescent="0.4">
      <c r="B3180" s="17"/>
      <c r="C3180" s="15"/>
      <c r="D3180" s="15"/>
      <c r="E3180" s="18"/>
    </row>
    <row r="3181" spans="2:5" x14ac:dyDescent="0.4">
      <c r="B3181" s="17"/>
      <c r="C3181" s="15"/>
      <c r="D3181" s="15"/>
      <c r="E3181" s="18"/>
    </row>
    <row r="3182" spans="2:5" x14ac:dyDescent="0.4">
      <c r="B3182" s="17"/>
      <c r="C3182" s="15"/>
      <c r="D3182" s="15"/>
      <c r="E3182" s="18"/>
    </row>
    <row r="3183" spans="2:5" x14ac:dyDescent="0.4">
      <c r="B3183" s="17"/>
      <c r="C3183" s="15"/>
      <c r="D3183" s="15"/>
      <c r="E3183" s="18"/>
    </row>
    <row r="3184" spans="2:5" x14ac:dyDescent="0.4">
      <c r="B3184" s="17"/>
      <c r="C3184" s="15"/>
      <c r="D3184" s="15"/>
      <c r="E3184" s="18"/>
    </row>
    <row r="3185" spans="2:5" x14ac:dyDescent="0.4">
      <c r="B3185" s="17"/>
      <c r="C3185" s="15"/>
      <c r="D3185" s="15"/>
      <c r="E3185" s="18"/>
    </row>
    <row r="3186" spans="2:5" x14ac:dyDescent="0.4">
      <c r="B3186" s="17"/>
      <c r="C3186" s="15"/>
      <c r="D3186" s="15"/>
      <c r="E3186" s="18"/>
    </row>
    <row r="3187" spans="2:5" x14ac:dyDescent="0.4">
      <c r="B3187" s="17"/>
      <c r="C3187" s="15"/>
      <c r="D3187" s="15"/>
      <c r="E3187" s="18"/>
    </row>
    <row r="3188" spans="2:5" x14ac:dyDescent="0.4">
      <c r="B3188" s="17"/>
      <c r="C3188" s="15"/>
      <c r="D3188" s="15"/>
      <c r="E3188" s="18"/>
    </row>
    <row r="3189" spans="2:5" x14ac:dyDescent="0.4">
      <c r="B3189" s="17"/>
      <c r="C3189" s="15"/>
      <c r="D3189" s="15"/>
      <c r="E3189" s="18"/>
    </row>
    <row r="3190" spans="2:5" x14ac:dyDescent="0.4">
      <c r="B3190" s="17"/>
      <c r="C3190" s="15"/>
      <c r="D3190" s="15"/>
      <c r="E3190" s="18"/>
    </row>
    <row r="3191" spans="2:5" x14ac:dyDescent="0.4">
      <c r="B3191" s="17"/>
      <c r="C3191" s="15"/>
      <c r="D3191" s="15"/>
      <c r="E3191" s="18"/>
    </row>
    <row r="3192" spans="2:5" x14ac:dyDescent="0.4">
      <c r="B3192" s="17"/>
      <c r="C3192" s="15"/>
      <c r="D3192" s="15"/>
      <c r="E3192" s="18"/>
    </row>
    <row r="3193" spans="2:5" x14ac:dyDescent="0.4">
      <c r="B3193" s="17"/>
      <c r="C3193" s="15"/>
      <c r="D3193" s="15"/>
      <c r="E3193" s="18"/>
    </row>
    <row r="3194" spans="2:5" x14ac:dyDescent="0.4">
      <c r="B3194" s="17"/>
      <c r="C3194" s="15"/>
      <c r="D3194" s="15"/>
      <c r="E3194" s="18"/>
    </row>
    <row r="3195" spans="2:5" x14ac:dyDescent="0.4">
      <c r="B3195" s="17"/>
      <c r="C3195" s="15"/>
      <c r="D3195" s="15"/>
      <c r="E3195" s="18"/>
    </row>
    <row r="3196" spans="2:5" x14ac:dyDescent="0.4">
      <c r="B3196" s="17"/>
      <c r="C3196" s="15"/>
      <c r="D3196" s="15"/>
      <c r="E3196" s="18"/>
    </row>
    <row r="3197" spans="2:5" x14ac:dyDescent="0.4">
      <c r="B3197" s="17"/>
      <c r="C3197" s="15"/>
      <c r="D3197" s="15"/>
      <c r="E3197" s="18"/>
    </row>
    <row r="3198" spans="2:5" x14ac:dyDescent="0.4">
      <c r="B3198" s="17"/>
      <c r="C3198" s="15"/>
      <c r="D3198" s="15"/>
      <c r="E3198" s="18"/>
    </row>
    <row r="3199" spans="2:5" x14ac:dyDescent="0.4">
      <c r="B3199" s="17"/>
      <c r="C3199" s="15"/>
      <c r="D3199" s="15"/>
      <c r="E3199" s="18"/>
    </row>
    <row r="3200" spans="2:5" x14ac:dyDescent="0.4">
      <c r="B3200" s="17"/>
      <c r="C3200" s="15"/>
      <c r="D3200" s="15"/>
      <c r="E3200" s="18"/>
    </row>
    <row r="3201" spans="2:5" x14ac:dyDescent="0.4">
      <c r="B3201" s="17"/>
      <c r="C3201" s="15"/>
      <c r="D3201" s="15"/>
      <c r="E3201" s="18"/>
    </row>
    <row r="3202" spans="2:5" x14ac:dyDescent="0.4">
      <c r="B3202" s="17"/>
      <c r="C3202" s="15"/>
      <c r="D3202" s="15"/>
      <c r="E3202" s="18"/>
    </row>
    <row r="3203" spans="2:5" x14ac:dyDescent="0.4">
      <c r="B3203" s="17"/>
      <c r="C3203" s="15"/>
      <c r="D3203" s="15"/>
      <c r="E3203" s="18"/>
    </row>
    <row r="3204" spans="2:5" x14ac:dyDescent="0.4">
      <c r="B3204" s="17"/>
      <c r="C3204" s="15"/>
      <c r="D3204" s="15"/>
      <c r="E3204" s="18"/>
    </row>
    <row r="3205" spans="2:5" x14ac:dyDescent="0.4">
      <c r="B3205" s="17"/>
      <c r="C3205" s="15"/>
      <c r="D3205" s="15"/>
      <c r="E3205" s="18"/>
    </row>
    <row r="3206" spans="2:5" x14ac:dyDescent="0.4">
      <c r="B3206" s="17"/>
      <c r="C3206" s="15"/>
      <c r="D3206" s="15"/>
      <c r="E3206" s="18"/>
    </row>
    <row r="3207" spans="2:5" x14ac:dyDescent="0.4">
      <c r="B3207" s="17"/>
      <c r="C3207" s="15"/>
      <c r="D3207" s="15"/>
      <c r="E3207" s="18"/>
    </row>
    <row r="3208" spans="2:5" x14ac:dyDescent="0.4">
      <c r="B3208" s="17"/>
      <c r="C3208" s="15"/>
      <c r="D3208" s="15"/>
      <c r="E3208" s="18"/>
    </row>
    <row r="3209" spans="2:5" x14ac:dyDescent="0.4">
      <c r="B3209" s="17"/>
      <c r="C3209" s="15"/>
      <c r="D3209" s="15"/>
      <c r="E3209" s="18"/>
    </row>
    <row r="3210" spans="2:5" x14ac:dyDescent="0.4">
      <c r="B3210" s="17"/>
      <c r="C3210" s="15"/>
      <c r="D3210" s="15"/>
      <c r="E3210" s="18"/>
    </row>
    <row r="3211" spans="2:5" x14ac:dyDescent="0.4">
      <c r="B3211" s="17"/>
      <c r="C3211" s="15"/>
      <c r="D3211" s="15"/>
      <c r="E3211" s="18"/>
    </row>
    <row r="3212" spans="2:5" x14ac:dyDescent="0.4">
      <c r="B3212" s="17"/>
      <c r="C3212" s="15"/>
      <c r="D3212" s="15"/>
      <c r="E3212" s="18"/>
    </row>
    <row r="3213" spans="2:5" x14ac:dyDescent="0.4">
      <c r="B3213" s="17"/>
      <c r="C3213" s="15"/>
      <c r="D3213" s="15"/>
      <c r="E3213" s="18"/>
    </row>
    <row r="3214" spans="2:5" x14ac:dyDescent="0.4">
      <c r="B3214" s="17"/>
      <c r="C3214" s="15"/>
      <c r="D3214" s="15"/>
      <c r="E3214" s="18"/>
    </row>
    <row r="3215" spans="2:5" x14ac:dyDescent="0.4">
      <c r="B3215" s="17"/>
      <c r="C3215" s="15"/>
      <c r="D3215" s="15"/>
      <c r="E3215" s="18"/>
    </row>
    <row r="3216" spans="2:5" x14ac:dyDescent="0.4">
      <c r="B3216" s="17"/>
      <c r="C3216" s="15"/>
      <c r="D3216" s="15"/>
      <c r="E3216" s="18"/>
    </row>
    <row r="3217" spans="2:5" x14ac:dyDescent="0.4">
      <c r="B3217" s="17"/>
      <c r="C3217" s="15"/>
      <c r="D3217" s="15"/>
      <c r="E3217" s="18"/>
    </row>
    <row r="3218" spans="2:5" x14ac:dyDescent="0.4">
      <c r="B3218" s="17"/>
      <c r="C3218" s="15"/>
      <c r="D3218" s="15"/>
      <c r="E3218" s="18"/>
    </row>
    <row r="3219" spans="2:5" x14ac:dyDescent="0.4">
      <c r="B3219" s="17"/>
      <c r="C3219" s="15"/>
      <c r="D3219" s="15"/>
      <c r="E3219" s="18"/>
    </row>
    <row r="3220" spans="2:5" x14ac:dyDescent="0.4">
      <c r="B3220" s="17"/>
      <c r="C3220" s="15"/>
      <c r="D3220" s="15"/>
      <c r="E3220" s="18"/>
    </row>
    <row r="3221" spans="2:5" x14ac:dyDescent="0.4">
      <c r="B3221" s="17"/>
      <c r="C3221" s="15"/>
      <c r="D3221" s="15"/>
      <c r="E3221" s="18"/>
    </row>
    <row r="3222" spans="2:5" x14ac:dyDescent="0.4">
      <c r="B3222" s="17"/>
      <c r="C3222" s="15"/>
      <c r="D3222" s="15"/>
      <c r="E3222" s="18"/>
    </row>
    <row r="3223" spans="2:5" x14ac:dyDescent="0.4">
      <c r="B3223" s="17"/>
      <c r="C3223" s="15"/>
      <c r="D3223" s="15"/>
      <c r="E3223" s="18"/>
    </row>
    <row r="3224" spans="2:5" x14ac:dyDescent="0.4">
      <c r="B3224" s="17"/>
      <c r="C3224" s="15"/>
      <c r="D3224" s="15"/>
      <c r="E3224" s="18"/>
    </row>
    <row r="3225" spans="2:5" x14ac:dyDescent="0.4">
      <c r="B3225" s="17"/>
      <c r="C3225" s="15"/>
      <c r="D3225" s="15"/>
      <c r="E3225" s="18"/>
    </row>
    <row r="3226" spans="2:5" x14ac:dyDescent="0.4">
      <c r="B3226" s="17"/>
      <c r="C3226" s="15"/>
      <c r="D3226" s="15"/>
      <c r="E3226" s="18"/>
    </row>
    <row r="3227" spans="2:5" x14ac:dyDescent="0.4">
      <c r="B3227" s="17"/>
      <c r="C3227" s="15"/>
      <c r="D3227" s="15"/>
      <c r="E3227" s="18"/>
    </row>
    <row r="3228" spans="2:5" x14ac:dyDescent="0.4">
      <c r="B3228" s="17"/>
      <c r="C3228" s="15"/>
      <c r="D3228" s="15"/>
      <c r="E3228" s="18"/>
    </row>
    <row r="3229" spans="2:5" x14ac:dyDescent="0.4">
      <c r="B3229" s="17"/>
      <c r="C3229" s="15"/>
      <c r="D3229" s="15"/>
      <c r="E3229" s="18"/>
    </row>
    <row r="3230" spans="2:5" x14ac:dyDescent="0.4">
      <c r="B3230" s="17"/>
      <c r="C3230" s="15"/>
      <c r="D3230" s="15"/>
      <c r="E3230" s="18"/>
    </row>
    <row r="3231" spans="2:5" x14ac:dyDescent="0.4">
      <c r="B3231" s="17"/>
      <c r="C3231" s="15"/>
      <c r="D3231" s="15"/>
      <c r="E3231" s="18"/>
    </row>
    <row r="3232" spans="2:5" x14ac:dyDescent="0.4">
      <c r="B3232" s="17"/>
      <c r="C3232" s="15"/>
      <c r="D3232" s="15"/>
      <c r="E3232" s="18"/>
    </row>
    <row r="3233" spans="2:5" x14ac:dyDescent="0.4">
      <c r="B3233" s="17"/>
      <c r="C3233" s="15"/>
      <c r="D3233" s="15"/>
      <c r="E3233" s="18"/>
    </row>
    <row r="3234" spans="2:5" x14ac:dyDescent="0.4">
      <c r="B3234" s="17"/>
      <c r="C3234" s="15"/>
      <c r="D3234" s="15"/>
      <c r="E3234" s="18"/>
    </row>
    <row r="3235" spans="2:5" x14ac:dyDescent="0.4">
      <c r="B3235" s="17"/>
      <c r="C3235" s="15"/>
      <c r="D3235" s="15"/>
      <c r="E3235" s="18"/>
    </row>
    <row r="3236" spans="2:5" x14ac:dyDescent="0.4">
      <c r="B3236" s="17"/>
      <c r="C3236" s="15"/>
      <c r="D3236" s="15"/>
      <c r="E3236" s="18"/>
    </row>
    <row r="3237" spans="2:5" x14ac:dyDescent="0.4">
      <c r="B3237" s="17"/>
      <c r="C3237" s="15"/>
      <c r="D3237" s="15"/>
      <c r="E3237" s="18"/>
    </row>
    <row r="3238" spans="2:5" x14ac:dyDescent="0.4">
      <c r="B3238" s="17"/>
      <c r="C3238" s="15"/>
      <c r="D3238" s="15"/>
      <c r="E3238" s="18"/>
    </row>
    <row r="3239" spans="2:5" x14ac:dyDescent="0.4">
      <c r="B3239" s="17"/>
      <c r="C3239" s="15"/>
      <c r="D3239" s="15"/>
      <c r="E3239" s="18"/>
    </row>
    <row r="3240" spans="2:5" x14ac:dyDescent="0.4">
      <c r="B3240" s="17"/>
      <c r="C3240" s="15"/>
      <c r="D3240" s="15"/>
      <c r="E3240" s="18"/>
    </row>
    <row r="3241" spans="2:5" x14ac:dyDescent="0.4">
      <c r="B3241" s="17"/>
      <c r="C3241" s="15"/>
      <c r="D3241" s="15"/>
      <c r="E3241" s="18"/>
    </row>
    <row r="3242" spans="2:5" x14ac:dyDescent="0.4">
      <c r="B3242" s="17"/>
      <c r="C3242" s="15"/>
      <c r="D3242" s="15"/>
      <c r="E3242" s="18"/>
    </row>
    <row r="3243" spans="2:5" x14ac:dyDescent="0.4">
      <c r="B3243" s="17"/>
      <c r="C3243" s="15"/>
      <c r="D3243" s="15"/>
      <c r="E3243" s="18"/>
    </row>
    <row r="3244" spans="2:5" x14ac:dyDescent="0.4">
      <c r="B3244" s="17"/>
      <c r="C3244" s="15"/>
      <c r="D3244" s="15"/>
      <c r="E3244" s="18"/>
    </row>
    <row r="3245" spans="2:5" x14ac:dyDescent="0.4">
      <c r="B3245" s="17"/>
      <c r="C3245" s="15"/>
      <c r="D3245" s="15"/>
      <c r="E3245" s="18"/>
    </row>
    <row r="3246" spans="2:5" x14ac:dyDescent="0.4">
      <c r="B3246" s="17"/>
      <c r="C3246" s="15"/>
      <c r="D3246" s="15"/>
      <c r="E3246" s="18"/>
    </row>
    <row r="3247" spans="2:5" x14ac:dyDescent="0.4">
      <c r="B3247" s="17"/>
      <c r="C3247" s="15"/>
      <c r="D3247" s="15"/>
      <c r="E3247" s="18"/>
    </row>
    <row r="3248" spans="2:5" x14ac:dyDescent="0.4">
      <c r="B3248" s="17"/>
      <c r="C3248" s="15"/>
      <c r="D3248" s="15"/>
      <c r="E3248" s="18"/>
    </row>
    <row r="3249" spans="2:5" x14ac:dyDescent="0.4">
      <c r="B3249" s="17"/>
      <c r="C3249" s="15"/>
      <c r="D3249" s="15"/>
      <c r="E3249" s="18"/>
    </row>
    <row r="3250" spans="2:5" x14ac:dyDescent="0.4">
      <c r="B3250" s="17"/>
      <c r="C3250" s="15"/>
      <c r="D3250" s="15"/>
      <c r="E3250" s="18"/>
    </row>
    <row r="3251" spans="2:5" x14ac:dyDescent="0.4">
      <c r="B3251" s="17"/>
      <c r="C3251" s="15"/>
      <c r="D3251" s="15"/>
      <c r="E3251" s="18"/>
    </row>
    <row r="3252" spans="2:5" x14ac:dyDescent="0.4">
      <c r="B3252" s="17"/>
      <c r="C3252" s="15"/>
      <c r="D3252" s="15"/>
      <c r="E3252" s="18"/>
    </row>
    <row r="3253" spans="2:5" x14ac:dyDescent="0.4">
      <c r="B3253" s="17"/>
      <c r="C3253" s="15"/>
      <c r="D3253" s="15"/>
      <c r="E3253" s="18"/>
    </row>
    <row r="3254" spans="2:5" x14ac:dyDescent="0.4">
      <c r="B3254" s="17"/>
      <c r="C3254" s="15"/>
      <c r="D3254" s="15"/>
      <c r="E3254" s="18"/>
    </row>
    <row r="3255" spans="2:5" x14ac:dyDescent="0.4">
      <c r="B3255" s="17"/>
      <c r="C3255" s="15"/>
      <c r="D3255" s="15"/>
      <c r="E3255" s="18"/>
    </row>
    <row r="3256" spans="2:5" x14ac:dyDescent="0.4">
      <c r="B3256" s="17"/>
      <c r="C3256" s="15"/>
      <c r="D3256" s="15"/>
      <c r="E3256" s="18"/>
    </row>
    <row r="3257" spans="2:5" x14ac:dyDescent="0.4">
      <c r="B3257" s="17"/>
      <c r="C3257" s="15"/>
      <c r="D3257" s="15"/>
      <c r="E3257" s="18"/>
    </row>
    <row r="3258" spans="2:5" x14ac:dyDescent="0.4">
      <c r="B3258" s="17"/>
      <c r="C3258" s="15"/>
      <c r="D3258" s="15"/>
      <c r="E3258" s="18"/>
    </row>
    <row r="3259" spans="2:5" x14ac:dyDescent="0.4">
      <c r="B3259" s="17"/>
      <c r="C3259" s="15"/>
      <c r="D3259" s="15"/>
      <c r="E3259" s="18"/>
    </row>
    <row r="3260" spans="2:5" x14ac:dyDescent="0.4">
      <c r="B3260" s="17"/>
      <c r="C3260" s="15"/>
      <c r="D3260" s="15"/>
      <c r="E3260" s="18"/>
    </row>
    <row r="3261" spans="2:5" x14ac:dyDescent="0.4">
      <c r="B3261" s="17"/>
      <c r="C3261" s="15"/>
      <c r="D3261" s="15"/>
      <c r="E3261" s="18"/>
    </row>
    <row r="3262" spans="2:5" x14ac:dyDescent="0.4">
      <c r="B3262" s="17"/>
      <c r="C3262" s="15"/>
      <c r="D3262" s="15"/>
      <c r="E3262" s="18"/>
    </row>
    <row r="3263" spans="2:5" x14ac:dyDescent="0.4">
      <c r="B3263" s="17"/>
      <c r="C3263" s="15"/>
      <c r="D3263" s="15"/>
      <c r="E3263" s="18"/>
    </row>
    <row r="3264" spans="2:5" x14ac:dyDescent="0.4">
      <c r="B3264" s="17"/>
      <c r="C3264" s="15"/>
      <c r="D3264" s="15"/>
      <c r="E3264" s="18"/>
    </row>
    <row r="3265" spans="2:5" x14ac:dyDescent="0.4">
      <c r="B3265" s="17"/>
      <c r="C3265" s="15"/>
      <c r="D3265" s="15"/>
      <c r="E3265" s="18"/>
    </row>
    <row r="3266" spans="2:5" x14ac:dyDescent="0.4">
      <c r="B3266" s="17"/>
      <c r="C3266" s="15"/>
      <c r="D3266" s="15"/>
      <c r="E3266" s="18"/>
    </row>
    <row r="3267" spans="2:5" x14ac:dyDescent="0.4">
      <c r="B3267" s="17"/>
      <c r="C3267" s="15"/>
      <c r="D3267" s="15"/>
      <c r="E3267" s="18"/>
    </row>
    <row r="3268" spans="2:5" x14ac:dyDescent="0.4">
      <c r="B3268" s="17"/>
      <c r="C3268" s="15"/>
      <c r="D3268" s="15"/>
      <c r="E3268" s="18"/>
    </row>
    <row r="3269" spans="2:5" x14ac:dyDescent="0.4">
      <c r="B3269" s="17"/>
      <c r="C3269" s="15"/>
      <c r="D3269" s="15"/>
      <c r="E3269" s="18"/>
    </row>
    <row r="3270" spans="2:5" x14ac:dyDescent="0.4">
      <c r="B3270" s="17"/>
      <c r="C3270" s="15"/>
      <c r="D3270" s="15"/>
      <c r="E3270" s="18"/>
    </row>
    <row r="3271" spans="2:5" x14ac:dyDescent="0.4">
      <c r="B3271" s="17"/>
      <c r="C3271" s="15"/>
      <c r="D3271" s="15"/>
      <c r="E3271" s="18"/>
    </row>
    <row r="3272" spans="2:5" x14ac:dyDescent="0.4">
      <c r="B3272" s="17"/>
      <c r="C3272" s="15"/>
      <c r="D3272" s="15"/>
      <c r="E3272" s="18"/>
    </row>
    <row r="3273" spans="2:5" x14ac:dyDescent="0.4">
      <c r="B3273" s="17"/>
      <c r="C3273" s="15"/>
      <c r="D3273" s="15"/>
      <c r="E3273" s="18"/>
    </row>
    <row r="3274" spans="2:5" x14ac:dyDescent="0.4">
      <c r="B3274" s="17"/>
      <c r="C3274" s="15"/>
      <c r="D3274" s="15"/>
      <c r="E3274" s="18"/>
    </row>
    <row r="3275" spans="2:5" x14ac:dyDescent="0.4">
      <c r="B3275" s="17"/>
      <c r="C3275" s="15"/>
      <c r="D3275" s="15"/>
      <c r="E3275" s="18"/>
    </row>
    <row r="3276" spans="2:5" x14ac:dyDescent="0.4">
      <c r="B3276" s="17"/>
      <c r="C3276" s="15"/>
      <c r="D3276" s="15"/>
      <c r="E3276" s="18"/>
    </row>
    <row r="3277" spans="2:5" x14ac:dyDescent="0.4">
      <c r="B3277" s="17"/>
      <c r="C3277" s="15"/>
      <c r="D3277" s="15"/>
      <c r="E3277" s="18"/>
    </row>
    <row r="3278" spans="2:5" x14ac:dyDescent="0.4">
      <c r="B3278" s="17"/>
      <c r="C3278" s="15"/>
      <c r="D3278" s="15"/>
      <c r="E3278" s="18"/>
    </row>
    <row r="3279" spans="2:5" x14ac:dyDescent="0.4">
      <c r="B3279" s="17"/>
      <c r="C3279" s="15"/>
      <c r="D3279" s="15"/>
      <c r="E3279" s="18"/>
    </row>
    <row r="3280" spans="2:5" x14ac:dyDescent="0.4">
      <c r="B3280" s="17"/>
      <c r="C3280" s="15"/>
      <c r="D3280" s="15"/>
      <c r="E3280" s="18"/>
    </row>
    <row r="3281" spans="2:5" x14ac:dyDescent="0.4">
      <c r="B3281" s="17"/>
      <c r="C3281" s="15"/>
      <c r="D3281" s="15"/>
      <c r="E3281" s="18"/>
    </row>
    <row r="3282" spans="2:5" x14ac:dyDescent="0.4">
      <c r="B3282" s="17"/>
      <c r="C3282" s="15"/>
      <c r="D3282" s="15"/>
      <c r="E3282" s="18"/>
    </row>
    <row r="3283" spans="2:5" x14ac:dyDescent="0.4">
      <c r="B3283" s="17"/>
      <c r="C3283" s="15"/>
      <c r="D3283" s="15"/>
      <c r="E3283" s="18"/>
    </row>
    <row r="3284" spans="2:5" x14ac:dyDescent="0.4">
      <c r="B3284" s="17"/>
      <c r="C3284" s="15"/>
      <c r="D3284" s="15"/>
      <c r="E3284" s="18"/>
    </row>
    <row r="3285" spans="2:5" x14ac:dyDescent="0.4">
      <c r="B3285" s="17"/>
      <c r="C3285" s="15"/>
      <c r="D3285" s="15"/>
      <c r="E3285" s="18"/>
    </row>
    <row r="3286" spans="2:5" x14ac:dyDescent="0.4">
      <c r="B3286" s="17"/>
      <c r="C3286" s="15"/>
      <c r="D3286" s="15"/>
      <c r="E3286" s="18"/>
    </row>
    <row r="3287" spans="2:5" x14ac:dyDescent="0.4">
      <c r="B3287" s="17"/>
      <c r="C3287" s="15"/>
      <c r="D3287" s="15"/>
      <c r="E3287" s="18"/>
    </row>
    <row r="3288" spans="2:5" x14ac:dyDescent="0.4">
      <c r="B3288" s="17"/>
      <c r="C3288" s="15"/>
      <c r="D3288" s="15"/>
      <c r="E3288" s="18"/>
    </row>
    <row r="3289" spans="2:5" x14ac:dyDescent="0.4">
      <c r="B3289" s="17"/>
      <c r="C3289" s="15"/>
      <c r="D3289" s="15"/>
      <c r="E3289" s="18"/>
    </row>
    <row r="3290" spans="2:5" x14ac:dyDescent="0.4">
      <c r="B3290" s="17"/>
      <c r="C3290" s="15"/>
      <c r="D3290" s="15"/>
      <c r="E3290" s="18"/>
    </row>
    <row r="3291" spans="2:5" x14ac:dyDescent="0.4">
      <c r="B3291" s="17"/>
      <c r="C3291" s="15"/>
      <c r="D3291" s="15"/>
      <c r="E3291" s="18"/>
    </row>
    <row r="3292" spans="2:5" x14ac:dyDescent="0.4">
      <c r="B3292" s="17"/>
      <c r="C3292" s="15"/>
      <c r="D3292" s="15"/>
      <c r="E3292" s="18"/>
    </row>
    <row r="3293" spans="2:5" x14ac:dyDescent="0.4">
      <c r="B3293" s="17"/>
      <c r="C3293" s="15"/>
      <c r="D3293" s="15"/>
      <c r="E3293" s="18"/>
    </row>
    <row r="3294" spans="2:5" x14ac:dyDescent="0.4">
      <c r="B3294" s="17"/>
      <c r="C3294" s="15"/>
      <c r="D3294" s="15"/>
      <c r="E3294" s="18"/>
    </row>
    <row r="3295" spans="2:5" x14ac:dyDescent="0.4">
      <c r="B3295" s="17"/>
      <c r="C3295" s="15"/>
      <c r="D3295" s="15"/>
      <c r="E3295" s="18"/>
    </row>
    <row r="3296" spans="2:5" x14ac:dyDescent="0.4">
      <c r="B3296" s="17"/>
      <c r="C3296" s="15"/>
      <c r="D3296" s="15"/>
      <c r="E3296" s="18"/>
    </row>
    <row r="3297" spans="2:5" x14ac:dyDescent="0.4">
      <c r="B3297" s="17"/>
      <c r="C3297" s="15"/>
      <c r="D3297" s="15"/>
      <c r="E3297" s="18"/>
    </row>
    <row r="3298" spans="2:5" x14ac:dyDescent="0.4">
      <c r="B3298" s="17"/>
      <c r="C3298" s="15"/>
      <c r="D3298" s="15"/>
      <c r="E3298" s="18"/>
    </row>
    <row r="3299" spans="2:5" x14ac:dyDescent="0.4">
      <c r="B3299" s="17"/>
      <c r="C3299" s="15"/>
      <c r="D3299" s="15"/>
      <c r="E3299" s="18"/>
    </row>
    <row r="3300" spans="2:5" x14ac:dyDescent="0.4">
      <c r="B3300" s="17"/>
      <c r="C3300" s="15"/>
      <c r="D3300" s="15"/>
      <c r="E3300" s="18"/>
    </row>
    <row r="3301" spans="2:5" x14ac:dyDescent="0.4">
      <c r="B3301" s="17"/>
      <c r="C3301" s="15"/>
      <c r="D3301" s="15"/>
      <c r="E3301" s="18"/>
    </row>
    <row r="3302" spans="2:5" x14ac:dyDescent="0.4">
      <c r="B3302" s="17"/>
      <c r="C3302" s="15"/>
      <c r="D3302" s="15"/>
      <c r="E3302" s="18"/>
    </row>
    <row r="3303" spans="2:5" x14ac:dyDescent="0.4">
      <c r="B3303" s="17"/>
      <c r="C3303" s="15"/>
      <c r="D3303" s="15"/>
      <c r="E3303" s="18"/>
    </row>
    <row r="3304" spans="2:5" x14ac:dyDescent="0.4">
      <c r="B3304" s="17"/>
      <c r="C3304" s="15"/>
      <c r="D3304" s="15"/>
      <c r="E3304" s="18"/>
    </row>
    <row r="3305" spans="2:5" x14ac:dyDescent="0.4">
      <c r="B3305" s="17"/>
      <c r="C3305" s="15"/>
      <c r="D3305" s="15"/>
      <c r="E3305" s="18"/>
    </row>
    <row r="3306" spans="2:5" x14ac:dyDescent="0.4">
      <c r="B3306" s="17"/>
      <c r="C3306" s="15"/>
      <c r="D3306" s="15"/>
      <c r="E3306" s="18"/>
    </row>
    <row r="3307" spans="2:5" x14ac:dyDescent="0.4">
      <c r="B3307" s="17"/>
      <c r="C3307" s="15"/>
      <c r="D3307" s="15"/>
      <c r="E3307" s="18"/>
    </row>
    <row r="3308" spans="2:5" x14ac:dyDescent="0.4">
      <c r="B3308" s="17"/>
      <c r="C3308" s="15"/>
      <c r="D3308" s="15"/>
      <c r="E3308" s="18"/>
    </row>
    <row r="3309" spans="2:5" x14ac:dyDescent="0.4">
      <c r="B3309" s="17"/>
      <c r="C3309" s="15"/>
      <c r="D3309" s="15"/>
      <c r="E3309" s="18"/>
    </row>
    <row r="3310" spans="2:5" x14ac:dyDescent="0.4">
      <c r="B3310" s="17"/>
      <c r="C3310" s="15"/>
      <c r="D3310" s="15"/>
      <c r="E3310" s="18"/>
    </row>
    <row r="3311" spans="2:5" x14ac:dyDescent="0.4">
      <c r="B3311" s="17"/>
      <c r="C3311" s="15"/>
      <c r="D3311" s="15"/>
      <c r="E3311" s="18"/>
    </row>
    <row r="3312" spans="2:5" x14ac:dyDescent="0.4">
      <c r="B3312" s="17"/>
      <c r="C3312" s="15"/>
      <c r="D3312" s="15"/>
      <c r="E3312" s="18"/>
    </row>
    <row r="3313" spans="2:5" x14ac:dyDescent="0.4">
      <c r="B3313" s="17"/>
      <c r="C3313" s="15"/>
      <c r="D3313" s="15"/>
      <c r="E3313" s="18"/>
    </row>
    <row r="3314" spans="2:5" x14ac:dyDescent="0.4">
      <c r="B3314" s="17"/>
      <c r="C3314" s="15"/>
      <c r="D3314" s="15"/>
      <c r="E3314" s="18"/>
    </row>
    <row r="3315" spans="2:5" x14ac:dyDescent="0.4">
      <c r="B3315" s="17"/>
      <c r="C3315" s="15"/>
      <c r="D3315" s="15"/>
      <c r="E3315" s="18"/>
    </row>
    <row r="3316" spans="2:5" x14ac:dyDescent="0.4">
      <c r="B3316" s="17"/>
      <c r="C3316" s="15"/>
      <c r="D3316" s="15"/>
      <c r="E3316" s="18"/>
    </row>
    <row r="3317" spans="2:5" x14ac:dyDescent="0.4">
      <c r="B3317" s="17"/>
      <c r="C3317" s="15"/>
      <c r="D3317" s="15"/>
      <c r="E3317" s="18"/>
    </row>
    <row r="3318" spans="2:5" x14ac:dyDescent="0.4">
      <c r="B3318" s="17"/>
      <c r="C3318" s="15"/>
      <c r="D3318" s="15"/>
      <c r="E3318" s="18"/>
    </row>
    <row r="3319" spans="2:5" x14ac:dyDescent="0.4">
      <c r="B3319" s="17"/>
      <c r="C3319" s="15"/>
      <c r="D3319" s="15"/>
      <c r="E3319" s="18"/>
    </row>
    <row r="3320" spans="2:5" x14ac:dyDescent="0.4">
      <c r="B3320" s="17"/>
      <c r="C3320" s="15"/>
      <c r="D3320" s="15"/>
      <c r="E3320" s="18"/>
    </row>
    <row r="3321" spans="2:5" x14ac:dyDescent="0.4">
      <c r="B3321" s="17"/>
      <c r="C3321" s="15"/>
      <c r="D3321" s="15"/>
      <c r="E3321" s="18"/>
    </row>
    <row r="3322" spans="2:5" x14ac:dyDescent="0.4">
      <c r="B3322" s="17"/>
      <c r="C3322" s="15"/>
      <c r="D3322" s="15"/>
      <c r="E3322" s="18"/>
    </row>
    <row r="3323" spans="2:5" x14ac:dyDescent="0.4">
      <c r="B3323" s="17"/>
      <c r="C3323" s="15"/>
      <c r="D3323" s="15"/>
      <c r="E3323" s="18"/>
    </row>
    <row r="3324" spans="2:5" x14ac:dyDescent="0.4">
      <c r="B3324" s="17"/>
      <c r="C3324" s="15"/>
      <c r="D3324" s="15"/>
      <c r="E3324" s="18"/>
    </row>
    <row r="3325" spans="2:5" x14ac:dyDescent="0.4">
      <c r="B3325" s="17"/>
      <c r="C3325" s="15"/>
      <c r="D3325" s="15"/>
      <c r="E3325" s="18"/>
    </row>
    <row r="3326" spans="2:5" x14ac:dyDescent="0.4">
      <c r="B3326" s="17"/>
      <c r="C3326" s="15"/>
      <c r="D3326" s="15"/>
      <c r="E3326" s="18"/>
    </row>
    <row r="3327" spans="2:5" x14ac:dyDescent="0.4">
      <c r="B3327" s="17"/>
      <c r="C3327" s="15"/>
      <c r="D3327" s="15"/>
      <c r="E3327" s="18"/>
    </row>
    <row r="3328" spans="2:5" x14ac:dyDescent="0.4">
      <c r="B3328" s="17"/>
      <c r="C3328" s="15"/>
      <c r="D3328" s="15"/>
      <c r="E3328" s="18"/>
    </row>
    <row r="3329" spans="2:5" x14ac:dyDescent="0.4">
      <c r="B3329" s="17"/>
      <c r="C3329" s="15"/>
      <c r="D3329" s="15"/>
      <c r="E3329" s="18"/>
    </row>
    <row r="3330" spans="2:5" x14ac:dyDescent="0.4">
      <c r="B3330" s="17"/>
      <c r="C3330" s="15"/>
      <c r="D3330" s="15"/>
      <c r="E3330" s="18"/>
    </row>
    <row r="3331" spans="2:5" x14ac:dyDescent="0.4">
      <c r="B3331" s="17"/>
      <c r="C3331" s="15"/>
      <c r="D3331" s="15"/>
      <c r="E3331" s="18"/>
    </row>
    <row r="3332" spans="2:5" x14ac:dyDescent="0.4">
      <c r="B3332" s="17"/>
      <c r="C3332" s="15"/>
      <c r="D3332" s="15"/>
      <c r="E3332" s="18"/>
    </row>
    <row r="3333" spans="2:5" x14ac:dyDescent="0.4">
      <c r="B3333" s="17"/>
      <c r="C3333" s="15"/>
      <c r="D3333" s="15"/>
      <c r="E3333" s="18"/>
    </row>
    <row r="3334" spans="2:5" x14ac:dyDescent="0.4">
      <c r="B3334" s="17"/>
      <c r="C3334" s="15"/>
      <c r="D3334" s="15"/>
      <c r="E3334" s="18"/>
    </row>
    <row r="3335" spans="2:5" x14ac:dyDescent="0.4">
      <c r="B3335" s="17"/>
      <c r="C3335" s="15"/>
      <c r="D3335" s="15"/>
      <c r="E3335" s="18"/>
    </row>
    <row r="3336" spans="2:5" x14ac:dyDescent="0.4">
      <c r="B3336" s="17"/>
      <c r="C3336" s="15"/>
      <c r="D3336" s="15"/>
      <c r="E3336" s="18"/>
    </row>
    <row r="3337" spans="2:5" x14ac:dyDescent="0.4">
      <c r="B3337" s="17"/>
      <c r="C3337" s="15"/>
      <c r="D3337" s="15"/>
      <c r="E3337" s="18"/>
    </row>
    <row r="3338" spans="2:5" x14ac:dyDescent="0.4">
      <c r="B3338" s="17"/>
      <c r="C3338" s="15"/>
      <c r="D3338" s="15"/>
      <c r="E3338" s="18"/>
    </row>
    <row r="3339" spans="2:5" x14ac:dyDescent="0.4">
      <c r="B3339" s="17"/>
      <c r="C3339" s="15"/>
      <c r="D3339" s="15"/>
      <c r="E3339" s="18"/>
    </row>
    <row r="3340" spans="2:5" x14ac:dyDescent="0.4">
      <c r="B3340" s="17"/>
      <c r="C3340" s="15"/>
      <c r="D3340" s="15"/>
      <c r="E3340" s="18"/>
    </row>
    <row r="3341" spans="2:5" x14ac:dyDescent="0.4">
      <c r="B3341" s="17"/>
      <c r="C3341" s="15"/>
      <c r="D3341" s="15"/>
      <c r="E3341" s="18"/>
    </row>
    <row r="3342" spans="2:5" x14ac:dyDescent="0.4">
      <c r="B3342" s="17"/>
      <c r="C3342" s="15"/>
      <c r="D3342" s="15"/>
      <c r="E3342" s="18"/>
    </row>
    <row r="3343" spans="2:5" x14ac:dyDescent="0.4">
      <c r="B3343" s="17"/>
      <c r="C3343" s="15"/>
      <c r="D3343" s="15"/>
      <c r="E3343" s="18"/>
    </row>
    <row r="3344" spans="2:5" x14ac:dyDescent="0.4">
      <c r="B3344" s="17"/>
      <c r="C3344" s="15"/>
      <c r="D3344" s="15"/>
      <c r="E3344" s="18"/>
    </row>
    <row r="3345" spans="2:5" x14ac:dyDescent="0.4">
      <c r="B3345" s="17"/>
      <c r="C3345" s="15"/>
      <c r="D3345" s="15"/>
      <c r="E3345" s="18"/>
    </row>
    <row r="3346" spans="2:5" x14ac:dyDescent="0.4">
      <c r="B3346" s="17"/>
      <c r="C3346" s="15"/>
      <c r="D3346" s="15"/>
      <c r="E3346" s="18"/>
    </row>
    <row r="3347" spans="2:5" x14ac:dyDescent="0.4">
      <c r="B3347" s="17"/>
      <c r="C3347" s="15"/>
      <c r="D3347" s="15"/>
      <c r="E3347" s="18"/>
    </row>
    <row r="3348" spans="2:5" x14ac:dyDescent="0.4">
      <c r="B3348" s="17"/>
      <c r="C3348" s="15"/>
      <c r="D3348" s="15"/>
      <c r="E3348" s="18"/>
    </row>
    <row r="3349" spans="2:5" x14ac:dyDescent="0.4">
      <c r="B3349" s="17"/>
      <c r="C3349" s="15"/>
      <c r="D3349" s="15"/>
      <c r="E3349" s="18"/>
    </row>
    <row r="3350" spans="2:5" x14ac:dyDescent="0.4">
      <c r="B3350" s="17"/>
      <c r="C3350" s="15"/>
      <c r="D3350" s="15"/>
      <c r="E3350" s="18"/>
    </row>
    <row r="3351" spans="2:5" x14ac:dyDescent="0.4">
      <c r="B3351" s="17"/>
      <c r="C3351" s="15"/>
      <c r="D3351" s="15"/>
      <c r="E3351" s="18"/>
    </row>
    <row r="3352" spans="2:5" x14ac:dyDescent="0.4">
      <c r="B3352" s="17"/>
      <c r="C3352" s="15"/>
      <c r="D3352" s="15"/>
      <c r="E3352" s="18"/>
    </row>
    <row r="3353" spans="2:5" x14ac:dyDescent="0.4">
      <c r="B3353" s="17"/>
      <c r="C3353" s="15"/>
      <c r="D3353" s="15"/>
      <c r="E3353" s="18"/>
    </row>
    <row r="3354" spans="2:5" x14ac:dyDescent="0.4">
      <c r="B3354" s="17"/>
      <c r="C3354" s="15"/>
      <c r="D3354" s="15"/>
      <c r="E3354" s="18"/>
    </row>
    <row r="3355" spans="2:5" x14ac:dyDescent="0.4">
      <c r="B3355" s="17"/>
      <c r="C3355" s="15"/>
      <c r="D3355" s="15"/>
      <c r="E3355" s="18"/>
    </row>
    <row r="3356" spans="2:5" x14ac:dyDescent="0.4">
      <c r="B3356" s="17"/>
      <c r="C3356" s="15"/>
      <c r="D3356" s="15"/>
      <c r="E3356" s="18"/>
    </row>
    <row r="3357" spans="2:5" x14ac:dyDescent="0.4">
      <c r="B3357" s="17"/>
      <c r="C3357" s="15"/>
      <c r="D3357" s="15"/>
      <c r="E3357" s="18"/>
    </row>
    <row r="3358" spans="2:5" x14ac:dyDescent="0.4">
      <c r="B3358" s="17"/>
      <c r="C3358" s="15"/>
      <c r="D3358" s="15"/>
      <c r="E3358" s="18"/>
    </row>
    <row r="3359" spans="2:5" x14ac:dyDescent="0.4">
      <c r="B3359" s="17"/>
      <c r="C3359" s="15"/>
      <c r="D3359" s="15"/>
      <c r="E3359" s="18"/>
    </row>
    <row r="3360" spans="2:5" x14ac:dyDescent="0.4">
      <c r="B3360" s="17"/>
      <c r="C3360" s="15"/>
      <c r="D3360" s="15"/>
      <c r="E3360" s="18"/>
    </row>
    <row r="3361" spans="2:5" x14ac:dyDescent="0.4">
      <c r="B3361" s="17"/>
      <c r="C3361" s="15"/>
      <c r="D3361" s="15"/>
      <c r="E3361" s="18"/>
    </row>
    <row r="3362" spans="2:5" x14ac:dyDescent="0.4">
      <c r="B3362" s="17"/>
      <c r="C3362" s="15"/>
      <c r="D3362" s="15"/>
      <c r="E3362" s="18"/>
    </row>
    <row r="3363" spans="2:5" x14ac:dyDescent="0.4">
      <c r="B3363" s="17"/>
      <c r="C3363" s="15"/>
      <c r="D3363" s="15"/>
      <c r="E3363" s="18"/>
    </row>
    <row r="3364" spans="2:5" x14ac:dyDescent="0.4">
      <c r="B3364" s="17"/>
      <c r="C3364" s="15"/>
      <c r="D3364" s="15"/>
      <c r="E3364" s="18"/>
    </row>
    <row r="3365" spans="2:5" x14ac:dyDescent="0.4">
      <c r="B3365" s="17"/>
      <c r="C3365" s="15"/>
      <c r="D3365" s="15"/>
      <c r="E3365" s="18"/>
    </row>
    <row r="3366" spans="2:5" x14ac:dyDescent="0.4">
      <c r="B3366" s="17"/>
      <c r="C3366" s="15"/>
      <c r="D3366" s="15"/>
      <c r="E3366" s="18"/>
    </row>
    <row r="3367" spans="2:5" x14ac:dyDescent="0.4">
      <c r="B3367" s="17"/>
      <c r="C3367" s="15"/>
      <c r="D3367" s="15"/>
      <c r="E3367" s="18"/>
    </row>
    <row r="3368" spans="2:5" x14ac:dyDescent="0.4">
      <c r="B3368" s="17"/>
      <c r="C3368" s="15"/>
      <c r="D3368" s="15"/>
      <c r="E3368" s="18"/>
    </row>
    <row r="3369" spans="2:5" x14ac:dyDescent="0.4">
      <c r="B3369" s="17"/>
      <c r="C3369" s="15"/>
      <c r="D3369" s="15"/>
      <c r="E3369" s="18"/>
    </row>
    <row r="3370" spans="2:5" x14ac:dyDescent="0.4">
      <c r="B3370" s="17"/>
      <c r="C3370" s="15"/>
      <c r="D3370" s="15"/>
      <c r="E3370" s="18"/>
    </row>
    <row r="3371" spans="2:5" x14ac:dyDescent="0.4">
      <c r="B3371" s="17"/>
      <c r="C3371" s="15"/>
      <c r="D3371" s="15"/>
      <c r="E3371" s="18"/>
    </row>
    <row r="3372" spans="2:5" x14ac:dyDescent="0.4">
      <c r="B3372" s="17"/>
      <c r="C3372" s="15"/>
      <c r="D3372" s="15"/>
      <c r="E3372" s="18"/>
    </row>
    <row r="3373" spans="2:5" x14ac:dyDescent="0.4">
      <c r="B3373" s="17"/>
      <c r="C3373" s="15"/>
      <c r="D3373" s="15"/>
      <c r="E3373" s="18"/>
    </row>
    <row r="3374" spans="2:5" x14ac:dyDescent="0.4">
      <c r="B3374" s="17"/>
      <c r="C3374" s="15"/>
      <c r="D3374" s="15"/>
      <c r="E3374" s="18"/>
    </row>
    <row r="3375" spans="2:5" x14ac:dyDescent="0.4">
      <c r="B3375" s="17"/>
      <c r="C3375" s="15"/>
      <c r="D3375" s="15"/>
      <c r="E3375" s="18"/>
    </row>
    <row r="3376" spans="2:5" x14ac:dyDescent="0.4">
      <c r="B3376" s="17"/>
      <c r="C3376" s="15"/>
      <c r="D3376" s="15"/>
      <c r="E3376" s="18"/>
    </row>
    <row r="3377" spans="2:5" x14ac:dyDescent="0.4">
      <c r="B3377" s="17"/>
      <c r="C3377" s="15"/>
      <c r="D3377" s="15"/>
      <c r="E3377" s="18"/>
    </row>
    <row r="3378" spans="2:5" x14ac:dyDescent="0.4">
      <c r="B3378" s="17"/>
      <c r="C3378" s="15"/>
      <c r="D3378" s="15"/>
      <c r="E3378" s="18"/>
    </row>
    <row r="3379" spans="2:5" x14ac:dyDescent="0.4">
      <c r="B3379" s="17"/>
      <c r="C3379" s="15"/>
      <c r="D3379" s="15"/>
      <c r="E3379" s="18"/>
    </row>
    <row r="3380" spans="2:5" x14ac:dyDescent="0.4">
      <c r="B3380" s="17"/>
      <c r="C3380" s="15"/>
      <c r="D3380" s="15"/>
      <c r="E3380" s="18"/>
    </row>
    <row r="3381" spans="2:5" x14ac:dyDescent="0.4">
      <c r="B3381" s="17"/>
      <c r="C3381" s="15"/>
      <c r="D3381" s="15"/>
      <c r="E3381" s="18"/>
    </row>
    <row r="3382" spans="2:5" x14ac:dyDescent="0.4">
      <c r="B3382" s="17"/>
      <c r="C3382" s="15"/>
      <c r="D3382" s="15"/>
      <c r="E3382" s="18"/>
    </row>
    <row r="3383" spans="2:5" x14ac:dyDescent="0.4">
      <c r="B3383" s="17"/>
      <c r="C3383" s="15"/>
      <c r="D3383" s="15"/>
      <c r="E3383" s="18"/>
    </row>
    <row r="3384" spans="2:5" x14ac:dyDescent="0.4">
      <c r="B3384" s="17"/>
      <c r="C3384" s="15"/>
      <c r="D3384" s="15"/>
      <c r="E3384" s="18"/>
    </row>
    <row r="3385" spans="2:5" x14ac:dyDescent="0.4">
      <c r="B3385" s="17"/>
      <c r="C3385" s="15"/>
      <c r="D3385" s="15"/>
      <c r="E3385" s="18"/>
    </row>
    <row r="3386" spans="2:5" x14ac:dyDescent="0.4">
      <c r="B3386" s="17"/>
      <c r="C3386" s="15"/>
      <c r="D3386" s="15"/>
      <c r="E3386" s="18"/>
    </row>
    <row r="3387" spans="2:5" x14ac:dyDescent="0.4">
      <c r="B3387" s="17"/>
      <c r="C3387" s="15"/>
      <c r="D3387" s="15"/>
      <c r="E3387" s="18"/>
    </row>
    <row r="3388" spans="2:5" x14ac:dyDescent="0.4">
      <c r="B3388" s="17"/>
      <c r="C3388" s="15"/>
      <c r="D3388" s="15"/>
      <c r="E3388" s="18"/>
    </row>
    <row r="3389" spans="2:5" x14ac:dyDescent="0.4">
      <c r="B3389" s="17"/>
      <c r="C3389" s="15"/>
      <c r="D3389" s="15"/>
      <c r="E3389" s="18"/>
    </row>
    <row r="3390" spans="2:5" x14ac:dyDescent="0.4">
      <c r="B3390" s="17"/>
      <c r="C3390" s="15"/>
      <c r="D3390" s="15"/>
      <c r="E3390" s="18"/>
    </row>
    <row r="3391" spans="2:5" x14ac:dyDescent="0.4">
      <c r="B3391" s="17"/>
      <c r="C3391" s="15"/>
      <c r="D3391" s="15"/>
      <c r="E3391" s="18"/>
    </row>
    <row r="3392" spans="2:5" x14ac:dyDescent="0.4">
      <c r="B3392" s="17"/>
      <c r="C3392" s="15"/>
      <c r="D3392" s="15"/>
      <c r="E3392" s="18"/>
    </row>
    <row r="3393" spans="2:5" x14ac:dyDescent="0.4">
      <c r="B3393" s="17"/>
      <c r="C3393" s="15"/>
      <c r="D3393" s="15"/>
      <c r="E3393" s="18"/>
    </row>
    <row r="3394" spans="2:5" x14ac:dyDescent="0.4">
      <c r="B3394" s="17"/>
      <c r="C3394" s="15"/>
      <c r="D3394" s="15"/>
      <c r="E3394" s="18"/>
    </row>
    <row r="3395" spans="2:5" x14ac:dyDescent="0.4">
      <c r="B3395" s="17"/>
      <c r="C3395" s="15"/>
      <c r="D3395" s="15"/>
      <c r="E3395" s="18"/>
    </row>
    <row r="3396" spans="2:5" x14ac:dyDescent="0.4">
      <c r="B3396" s="17"/>
      <c r="C3396" s="15"/>
      <c r="D3396" s="15"/>
      <c r="E3396" s="18"/>
    </row>
    <row r="3397" spans="2:5" x14ac:dyDescent="0.4">
      <c r="B3397" s="17"/>
      <c r="C3397" s="15"/>
      <c r="D3397" s="15"/>
      <c r="E3397" s="18"/>
    </row>
    <row r="3398" spans="2:5" x14ac:dyDescent="0.4">
      <c r="B3398" s="17"/>
      <c r="C3398" s="15"/>
      <c r="D3398" s="15"/>
      <c r="E3398" s="18"/>
    </row>
    <row r="3399" spans="2:5" x14ac:dyDescent="0.4">
      <c r="B3399" s="17"/>
      <c r="C3399" s="15"/>
      <c r="D3399" s="15"/>
      <c r="E3399" s="18"/>
    </row>
    <row r="3400" spans="2:5" x14ac:dyDescent="0.4">
      <c r="B3400" s="17"/>
      <c r="C3400" s="15"/>
      <c r="D3400" s="15"/>
      <c r="E3400" s="18"/>
    </row>
    <row r="3401" spans="2:5" x14ac:dyDescent="0.4">
      <c r="B3401" s="17"/>
      <c r="C3401" s="15"/>
      <c r="D3401" s="15"/>
      <c r="E3401" s="18"/>
    </row>
    <row r="3402" spans="2:5" x14ac:dyDescent="0.4">
      <c r="B3402" s="17"/>
      <c r="C3402" s="15"/>
      <c r="D3402" s="15"/>
      <c r="E3402" s="18"/>
    </row>
    <row r="3403" spans="2:5" x14ac:dyDescent="0.4">
      <c r="B3403" s="17"/>
      <c r="C3403" s="15"/>
      <c r="D3403" s="15"/>
      <c r="E3403" s="18"/>
    </row>
    <row r="3404" spans="2:5" x14ac:dyDescent="0.4">
      <c r="B3404" s="17"/>
      <c r="C3404" s="15"/>
      <c r="D3404" s="15"/>
      <c r="E3404" s="18"/>
    </row>
    <row r="3405" spans="2:5" x14ac:dyDescent="0.4">
      <c r="B3405" s="17"/>
      <c r="C3405" s="15"/>
      <c r="D3405" s="15"/>
      <c r="E3405" s="18"/>
    </row>
    <row r="3406" spans="2:5" x14ac:dyDescent="0.4">
      <c r="B3406" s="17"/>
      <c r="C3406" s="15"/>
      <c r="D3406" s="15"/>
      <c r="E3406" s="18"/>
    </row>
    <row r="3407" spans="2:5" x14ac:dyDescent="0.4">
      <c r="B3407" s="17"/>
      <c r="C3407" s="15"/>
      <c r="D3407" s="15"/>
      <c r="E3407" s="18"/>
    </row>
    <row r="3408" spans="2:5" x14ac:dyDescent="0.4">
      <c r="B3408" s="17"/>
      <c r="C3408" s="15"/>
      <c r="D3408" s="15"/>
      <c r="E3408" s="18"/>
    </row>
    <row r="3409" spans="2:5" x14ac:dyDescent="0.4">
      <c r="B3409" s="17"/>
      <c r="C3409" s="15"/>
      <c r="D3409" s="15"/>
      <c r="E3409" s="18"/>
    </row>
    <row r="3410" spans="2:5" x14ac:dyDescent="0.4">
      <c r="B3410" s="17"/>
      <c r="C3410" s="15"/>
      <c r="D3410" s="15"/>
      <c r="E3410" s="18"/>
    </row>
    <row r="3411" spans="2:5" x14ac:dyDescent="0.4">
      <c r="B3411" s="17"/>
      <c r="C3411" s="15"/>
      <c r="D3411" s="15"/>
      <c r="E3411" s="18"/>
    </row>
    <row r="3412" spans="2:5" x14ac:dyDescent="0.4">
      <c r="B3412" s="17"/>
      <c r="C3412" s="15"/>
      <c r="D3412" s="15"/>
      <c r="E3412" s="18"/>
    </row>
    <row r="3413" spans="2:5" x14ac:dyDescent="0.4">
      <c r="B3413" s="17"/>
      <c r="C3413" s="15"/>
      <c r="D3413" s="15"/>
      <c r="E3413" s="18"/>
    </row>
    <row r="3414" spans="2:5" x14ac:dyDescent="0.4">
      <c r="B3414" s="17"/>
      <c r="C3414" s="15"/>
      <c r="D3414" s="15"/>
      <c r="E3414" s="18"/>
    </row>
    <row r="3415" spans="2:5" x14ac:dyDescent="0.4">
      <c r="B3415" s="17"/>
      <c r="C3415" s="15"/>
      <c r="D3415" s="15"/>
      <c r="E3415" s="18"/>
    </row>
    <row r="3416" spans="2:5" x14ac:dyDescent="0.4">
      <c r="B3416" s="17"/>
      <c r="C3416" s="15"/>
      <c r="D3416" s="15"/>
      <c r="E3416" s="18"/>
    </row>
    <row r="3417" spans="2:5" x14ac:dyDescent="0.4">
      <c r="B3417" s="17"/>
      <c r="C3417" s="15"/>
      <c r="D3417" s="15"/>
      <c r="E3417" s="18"/>
    </row>
    <row r="3418" spans="2:5" x14ac:dyDescent="0.4">
      <c r="B3418" s="17"/>
      <c r="C3418" s="15"/>
      <c r="D3418" s="15"/>
      <c r="E3418" s="18"/>
    </row>
    <row r="3419" spans="2:5" x14ac:dyDescent="0.4">
      <c r="B3419" s="17"/>
      <c r="C3419" s="15"/>
      <c r="D3419" s="15"/>
      <c r="E3419" s="18"/>
    </row>
    <row r="3420" spans="2:5" x14ac:dyDescent="0.4">
      <c r="B3420" s="17"/>
      <c r="C3420" s="15"/>
      <c r="D3420" s="15"/>
      <c r="E3420" s="18"/>
    </row>
    <row r="3421" spans="2:5" x14ac:dyDescent="0.4">
      <c r="B3421" s="17"/>
      <c r="C3421" s="15"/>
      <c r="D3421" s="15"/>
      <c r="E3421" s="18"/>
    </row>
    <row r="3422" spans="2:5" x14ac:dyDescent="0.4">
      <c r="B3422" s="17"/>
      <c r="C3422" s="15"/>
      <c r="D3422" s="15"/>
      <c r="E3422" s="18"/>
    </row>
    <row r="3423" spans="2:5" x14ac:dyDescent="0.4">
      <c r="B3423" s="17"/>
      <c r="C3423" s="15"/>
      <c r="D3423" s="15"/>
      <c r="E3423" s="18"/>
    </row>
    <row r="3424" spans="2:5" x14ac:dyDescent="0.4">
      <c r="B3424" s="17"/>
      <c r="C3424" s="15"/>
      <c r="D3424" s="15"/>
      <c r="E3424" s="18"/>
    </row>
    <row r="3425" spans="2:5" x14ac:dyDescent="0.4">
      <c r="B3425" s="17"/>
      <c r="C3425" s="15"/>
      <c r="D3425" s="15"/>
      <c r="E3425" s="18"/>
    </row>
    <row r="3426" spans="2:5" x14ac:dyDescent="0.4">
      <c r="B3426" s="17"/>
      <c r="C3426" s="15"/>
      <c r="D3426" s="15"/>
      <c r="E3426" s="18"/>
    </row>
    <row r="3427" spans="2:5" x14ac:dyDescent="0.4">
      <c r="B3427" s="17"/>
      <c r="C3427" s="15"/>
      <c r="D3427" s="15"/>
      <c r="E3427" s="18"/>
    </row>
    <row r="3428" spans="2:5" x14ac:dyDescent="0.4">
      <c r="B3428" s="17"/>
      <c r="C3428" s="15"/>
      <c r="D3428" s="15"/>
      <c r="E3428" s="18"/>
    </row>
    <row r="3429" spans="2:5" x14ac:dyDescent="0.4">
      <c r="B3429" s="17"/>
      <c r="C3429" s="15"/>
      <c r="D3429" s="15"/>
      <c r="E3429" s="18"/>
    </row>
    <row r="3430" spans="2:5" x14ac:dyDescent="0.4">
      <c r="B3430" s="17"/>
      <c r="C3430" s="15"/>
      <c r="D3430" s="15"/>
      <c r="E3430" s="18"/>
    </row>
    <row r="3431" spans="2:5" x14ac:dyDescent="0.4">
      <c r="B3431" s="17"/>
      <c r="C3431" s="15"/>
      <c r="D3431" s="15"/>
      <c r="E3431" s="18"/>
    </row>
    <row r="3432" spans="2:5" x14ac:dyDescent="0.4">
      <c r="B3432" s="17"/>
      <c r="C3432" s="15"/>
      <c r="D3432" s="15"/>
      <c r="E3432" s="18"/>
    </row>
    <row r="3433" spans="2:5" x14ac:dyDescent="0.4">
      <c r="B3433" s="17"/>
      <c r="C3433" s="15"/>
      <c r="D3433" s="15"/>
      <c r="E3433" s="18"/>
    </row>
    <row r="3434" spans="2:5" x14ac:dyDescent="0.4">
      <c r="B3434" s="17"/>
      <c r="C3434" s="15"/>
      <c r="D3434" s="15"/>
      <c r="E3434" s="18"/>
    </row>
    <row r="3435" spans="2:5" x14ac:dyDescent="0.4">
      <c r="B3435" s="17"/>
      <c r="C3435" s="15"/>
      <c r="D3435" s="15"/>
      <c r="E3435" s="18"/>
    </row>
    <row r="3436" spans="2:5" x14ac:dyDescent="0.4">
      <c r="B3436" s="17"/>
      <c r="C3436" s="15"/>
      <c r="D3436" s="15"/>
      <c r="E3436" s="18"/>
    </row>
    <row r="3437" spans="2:5" x14ac:dyDescent="0.4">
      <c r="B3437" s="17"/>
      <c r="C3437" s="15"/>
      <c r="D3437" s="15"/>
      <c r="E3437" s="18"/>
    </row>
    <row r="3438" spans="2:5" x14ac:dyDescent="0.4">
      <c r="B3438" s="17"/>
      <c r="C3438" s="15"/>
      <c r="D3438" s="15"/>
      <c r="E3438" s="18"/>
    </row>
    <row r="3439" spans="2:5" x14ac:dyDescent="0.4">
      <c r="B3439" s="17"/>
      <c r="C3439" s="15"/>
      <c r="D3439" s="15"/>
      <c r="E3439" s="18"/>
    </row>
    <row r="3440" spans="2:5" x14ac:dyDescent="0.4">
      <c r="B3440" s="17"/>
      <c r="C3440" s="15"/>
      <c r="D3440" s="15"/>
      <c r="E3440" s="18"/>
    </row>
    <row r="3441" spans="2:5" x14ac:dyDescent="0.4">
      <c r="B3441" s="17"/>
      <c r="C3441" s="15"/>
      <c r="D3441" s="15"/>
      <c r="E3441" s="18"/>
    </row>
    <row r="3442" spans="2:5" x14ac:dyDescent="0.4">
      <c r="B3442" s="17"/>
      <c r="C3442" s="15"/>
      <c r="D3442" s="15"/>
      <c r="E3442" s="18"/>
    </row>
    <row r="3443" spans="2:5" x14ac:dyDescent="0.4">
      <c r="B3443" s="17"/>
      <c r="C3443" s="15"/>
      <c r="D3443" s="15"/>
      <c r="E3443" s="18"/>
    </row>
    <row r="3444" spans="2:5" x14ac:dyDescent="0.4">
      <c r="B3444" s="17"/>
      <c r="C3444" s="15"/>
      <c r="D3444" s="15"/>
      <c r="E3444" s="18"/>
    </row>
    <row r="3445" spans="2:5" x14ac:dyDescent="0.4">
      <c r="B3445" s="17"/>
      <c r="C3445" s="15"/>
      <c r="D3445" s="15"/>
      <c r="E3445" s="18"/>
    </row>
    <row r="3446" spans="2:5" x14ac:dyDescent="0.4">
      <c r="B3446" s="17"/>
      <c r="C3446" s="15"/>
      <c r="D3446" s="15"/>
      <c r="E3446" s="18"/>
    </row>
    <row r="3447" spans="2:5" x14ac:dyDescent="0.4">
      <c r="B3447" s="17"/>
      <c r="C3447" s="15"/>
      <c r="D3447" s="15"/>
      <c r="E3447" s="18"/>
    </row>
    <row r="3448" spans="2:5" x14ac:dyDescent="0.4">
      <c r="B3448" s="17"/>
      <c r="C3448" s="15"/>
      <c r="D3448" s="15"/>
      <c r="E3448" s="18"/>
    </row>
    <row r="3449" spans="2:5" x14ac:dyDescent="0.4">
      <c r="B3449" s="17"/>
      <c r="C3449" s="15"/>
      <c r="D3449" s="15"/>
      <c r="E3449" s="18"/>
    </row>
    <row r="3450" spans="2:5" x14ac:dyDescent="0.4">
      <c r="B3450" s="17"/>
      <c r="C3450" s="15"/>
      <c r="D3450" s="15"/>
      <c r="E3450" s="18"/>
    </row>
    <row r="3451" spans="2:5" x14ac:dyDescent="0.4">
      <c r="B3451" s="17"/>
      <c r="C3451" s="15"/>
      <c r="D3451" s="15"/>
      <c r="E3451" s="18"/>
    </row>
    <row r="3452" spans="2:5" x14ac:dyDescent="0.4">
      <c r="B3452" s="17"/>
      <c r="C3452" s="15"/>
      <c r="D3452" s="15"/>
      <c r="E3452" s="18"/>
    </row>
    <row r="3453" spans="2:5" x14ac:dyDescent="0.4">
      <c r="B3453" s="17"/>
      <c r="C3453" s="15"/>
      <c r="D3453" s="15"/>
      <c r="E3453" s="18"/>
    </row>
    <row r="3454" spans="2:5" x14ac:dyDescent="0.4">
      <c r="B3454" s="17"/>
      <c r="C3454" s="15"/>
      <c r="D3454" s="15"/>
      <c r="E3454" s="18"/>
    </row>
    <row r="3455" spans="2:5" x14ac:dyDescent="0.4">
      <c r="B3455" s="17"/>
      <c r="C3455" s="15"/>
      <c r="D3455" s="15"/>
      <c r="E3455" s="18"/>
    </row>
    <row r="3456" spans="2:5" x14ac:dyDescent="0.4">
      <c r="B3456" s="17"/>
      <c r="C3456" s="15"/>
      <c r="D3456" s="15"/>
      <c r="E3456" s="18"/>
    </row>
    <row r="3457" spans="2:5" x14ac:dyDescent="0.4">
      <c r="B3457" s="17"/>
      <c r="C3457" s="15"/>
      <c r="D3457" s="15"/>
      <c r="E3457" s="18"/>
    </row>
    <row r="3458" spans="2:5" x14ac:dyDescent="0.4">
      <c r="B3458" s="17"/>
      <c r="C3458" s="15"/>
      <c r="D3458" s="15"/>
      <c r="E3458" s="18"/>
    </row>
    <row r="3459" spans="2:5" x14ac:dyDescent="0.4">
      <c r="B3459" s="17"/>
      <c r="C3459" s="15"/>
      <c r="D3459" s="15"/>
      <c r="E3459" s="18"/>
    </row>
    <row r="3460" spans="2:5" x14ac:dyDescent="0.4">
      <c r="B3460" s="17"/>
      <c r="C3460" s="15"/>
      <c r="D3460" s="15"/>
      <c r="E3460" s="18"/>
    </row>
    <row r="3461" spans="2:5" x14ac:dyDescent="0.4">
      <c r="B3461" s="17"/>
      <c r="C3461" s="15"/>
      <c r="D3461" s="15"/>
      <c r="E3461" s="18"/>
    </row>
    <row r="3462" spans="2:5" x14ac:dyDescent="0.4">
      <c r="B3462" s="17"/>
      <c r="C3462" s="15"/>
      <c r="D3462" s="15"/>
      <c r="E3462" s="18"/>
    </row>
    <row r="3463" spans="2:5" x14ac:dyDescent="0.4">
      <c r="B3463" s="17"/>
      <c r="C3463" s="15"/>
      <c r="D3463" s="15"/>
      <c r="E3463" s="18"/>
    </row>
    <row r="3464" spans="2:5" x14ac:dyDescent="0.4">
      <c r="B3464" s="17"/>
      <c r="C3464" s="15"/>
      <c r="D3464" s="15"/>
      <c r="E3464" s="18"/>
    </row>
    <row r="3465" spans="2:5" x14ac:dyDescent="0.4">
      <c r="B3465" s="17"/>
      <c r="C3465" s="15"/>
      <c r="D3465" s="15"/>
      <c r="E3465" s="18"/>
    </row>
    <row r="3466" spans="2:5" x14ac:dyDescent="0.4">
      <c r="B3466" s="17"/>
      <c r="C3466" s="15"/>
      <c r="D3466" s="15"/>
      <c r="E3466" s="18"/>
    </row>
    <row r="3467" spans="2:5" x14ac:dyDescent="0.4">
      <c r="B3467" s="17"/>
      <c r="C3467" s="15"/>
      <c r="D3467" s="15"/>
      <c r="E3467" s="18"/>
    </row>
    <row r="3468" spans="2:5" x14ac:dyDescent="0.4">
      <c r="B3468" s="17"/>
      <c r="C3468" s="15"/>
      <c r="D3468" s="15"/>
      <c r="E3468" s="18"/>
    </row>
    <row r="3469" spans="2:5" x14ac:dyDescent="0.4">
      <c r="B3469" s="17"/>
      <c r="C3469" s="15"/>
      <c r="D3469" s="15"/>
      <c r="E3469" s="18"/>
    </row>
    <row r="3470" spans="2:5" x14ac:dyDescent="0.4">
      <c r="B3470" s="17"/>
      <c r="C3470" s="15"/>
      <c r="D3470" s="15"/>
      <c r="E3470" s="18"/>
    </row>
    <row r="3471" spans="2:5" x14ac:dyDescent="0.4">
      <c r="B3471" s="17"/>
      <c r="C3471" s="15"/>
      <c r="D3471" s="15"/>
      <c r="E3471" s="18"/>
    </row>
    <row r="3472" spans="2:5" x14ac:dyDescent="0.4">
      <c r="B3472" s="17"/>
      <c r="C3472" s="15"/>
      <c r="D3472" s="15"/>
      <c r="E3472" s="18"/>
    </row>
    <row r="3473" spans="2:5" x14ac:dyDescent="0.4">
      <c r="B3473" s="17"/>
      <c r="C3473" s="15"/>
      <c r="D3473" s="15"/>
      <c r="E3473" s="18"/>
    </row>
    <row r="3474" spans="2:5" x14ac:dyDescent="0.4">
      <c r="B3474" s="17"/>
      <c r="C3474" s="15"/>
      <c r="D3474" s="15"/>
      <c r="E3474" s="18"/>
    </row>
    <row r="3475" spans="2:5" x14ac:dyDescent="0.4">
      <c r="B3475" s="17"/>
      <c r="C3475" s="15"/>
      <c r="D3475" s="15"/>
      <c r="E3475" s="18"/>
    </row>
    <row r="3476" spans="2:5" x14ac:dyDescent="0.4">
      <c r="B3476" s="17"/>
      <c r="C3476" s="15"/>
      <c r="D3476" s="15"/>
      <c r="E3476" s="18"/>
    </row>
    <row r="3477" spans="2:5" x14ac:dyDescent="0.4">
      <c r="B3477" s="17"/>
      <c r="C3477" s="15"/>
      <c r="D3477" s="15"/>
      <c r="E3477" s="18"/>
    </row>
    <row r="3478" spans="2:5" x14ac:dyDescent="0.4">
      <c r="B3478" s="17"/>
      <c r="C3478" s="15"/>
      <c r="D3478" s="15"/>
      <c r="E3478" s="18"/>
    </row>
    <row r="3479" spans="2:5" x14ac:dyDescent="0.4">
      <c r="B3479" s="17"/>
      <c r="C3479" s="15"/>
      <c r="D3479" s="15"/>
      <c r="E3479" s="18"/>
    </row>
    <row r="3480" spans="2:5" x14ac:dyDescent="0.4">
      <c r="B3480" s="17"/>
      <c r="C3480" s="15"/>
      <c r="D3480" s="15"/>
      <c r="E3480" s="18"/>
    </row>
    <row r="3481" spans="2:5" x14ac:dyDescent="0.4">
      <c r="B3481" s="17"/>
      <c r="C3481" s="15"/>
      <c r="D3481" s="15"/>
      <c r="E3481" s="18"/>
    </row>
    <row r="3482" spans="2:5" x14ac:dyDescent="0.4">
      <c r="B3482" s="17"/>
      <c r="C3482" s="15"/>
      <c r="D3482" s="15"/>
      <c r="E3482" s="18"/>
    </row>
    <row r="3483" spans="2:5" x14ac:dyDescent="0.4">
      <c r="B3483" s="17"/>
      <c r="C3483" s="15"/>
      <c r="D3483" s="15"/>
      <c r="E3483" s="18"/>
    </row>
    <row r="3484" spans="2:5" x14ac:dyDescent="0.4">
      <c r="B3484" s="17"/>
      <c r="C3484" s="15"/>
      <c r="D3484" s="15"/>
      <c r="E3484" s="18"/>
    </row>
    <row r="3485" spans="2:5" x14ac:dyDescent="0.4">
      <c r="B3485" s="17"/>
      <c r="C3485" s="15"/>
      <c r="D3485" s="15"/>
      <c r="E3485" s="18"/>
    </row>
    <row r="3486" spans="2:5" x14ac:dyDescent="0.4">
      <c r="B3486" s="17"/>
      <c r="C3486" s="15"/>
      <c r="D3486" s="15"/>
      <c r="E3486" s="18"/>
    </row>
    <row r="3487" spans="2:5" x14ac:dyDescent="0.4">
      <c r="B3487" s="17"/>
      <c r="C3487" s="15"/>
      <c r="D3487" s="15"/>
      <c r="E3487" s="18"/>
    </row>
    <row r="3488" spans="2:5" x14ac:dyDescent="0.4">
      <c r="B3488" s="17"/>
      <c r="C3488" s="15"/>
      <c r="D3488" s="15"/>
      <c r="E3488" s="18"/>
    </row>
    <row r="3489" spans="2:5" x14ac:dyDescent="0.4">
      <c r="B3489" s="17"/>
      <c r="C3489" s="15"/>
      <c r="D3489" s="15"/>
      <c r="E3489" s="18"/>
    </row>
    <row r="3490" spans="2:5" x14ac:dyDescent="0.4">
      <c r="B3490" s="17"/>
      <c r="C3490" s="15"/>
      <c r="D3490" s="15"/>
      <c r="E3490" s="18"/>
    </row>
    <row r="3491" spans="2:5" x14ac:dyDescent="0.4">
      <c r="B3491" s="17"/>
      <c r="C3491" s="15"/>
      <c r="D3491" s="15"/>
      <c r="E3491" s="18"/>
    </row>
    <row r="3492" spans="2:5" x14ac:dyDescent="0.4">
      <c r="B3492" s="17"/>
      <c r="C3492" s="15"/>
      <c r="D3492" s="15"/>
      <c r="E3492" s="18"/>
    </row>
    <row r="3493" spans="2:5" x14ac:dyDescent="0.4">
      <c r="B3493" s="17"/>
      <c r="C3493" s="15"/>
      <c r="D3493" s="15"/>
      <c r="E3493" s="18"/>
    </row>
    <row r="3494" spans="2:5" x14ac:dyDescent="0.4">
      <c r="B3494" s="17"/>
      <c r="C3494" s="15"/>
      <c r="D3494" s="15"/>
      <c r="E3494" s="18"/>
    </row>
    <row r="3495" spans="2:5" x14ac:dyDescent="0.4">
      <c r="B3495" s="17"/>
      <c r="C3495" s="15"/>
      <c r="D3495" s="15"/>
      <c r="E3495" s="18"/>
    </row>
    <row r="3496" spans="2:5" x14ac:dyDescent="0.4">
      <c r="B3496" s="17"/>
      <c r="C3496" s="15"/>
      <c r="D3496" s="15"/>
      <c r="E3496" s="18"/>
    </row>
    <row r="3497" spans="2:5" x14ac:dyDescent="0.4">
      <c r="B3497" s="17"/>
      <c r="C3497" s="15"/>
      <c r="D3497" s="15"/>
      <c r="E3497" s="18"/>
    </row>
    <row r="3498" spans="2:5" x14ac:dyDescent="0.4">
      <c r="B3498" s="17"/>
      <c r="C3498" s="15"/>
      <c r="D3498" s="15"/>
      <c r="E3498" s="18"/>
    </row>
    <row r="3499" spans="2:5" x14ac:dyDescent="0.4">
      <c r="B3499" s="17"/>
      <c r="C3499" s="15"/>
      <c r="D3499" s="15"/>
      <c r="E3499" s="18"/>
    </row>
    <row r="3500" spans="2:5" x14ac:dyDescent="0.4">
      <c r="B3500" s="17"/>
      <c r="C3500" s="15"/>
      <c r="D3500" s="15"/>
      <c r="E3500" s="18"/>
    </row>
    <row r="3501" spans="2:5" x14ac:dyDescent="0.4">
      <c r="B3501" s="17"/>
      <c r="C3501" s="15"/>
      <c r="D3501" s="15"/>
      <c r="E3501" s="18"/>
    </row>
    <row r="3502" spans="2:5" x14ac:dyDescent="0.4">
      <c r="B3502" s="17"/>
      <c r="C3502" s="15"/>
      <c r="D3502" s="15"/>
      <c r="E3502" s="18"/>
    </row>
    <row r="3503" spans="2:5" x14ac:dyDescent="0.4">
      <c r="B3503" s="17"/>
      <c r="C3503" s="15"/>
      <c r="D3503" s="15"/>
      <c r="E3503" s="18"/>
    </row>
    <row r="3504" spans="2:5" x14ac:dyDescent="0.4">
      <c r="B3504" s="17"/>
      <c r="C3504" s="15"/>
      <c r="D3504" s="15"/>
      <c r="E3504" s="18"/>
    </row>
    <row r="3505" spans="2:5" x14ac:dyDescent="0.4">
      <c r="B3505" s="17"/>
      <c r="C3505" s="15"/>
      <c r="D3505" s="15"/>
      <c r="E3505" s="18"/>
    </row>
    <row r="3506" spans="2:5" x14ac:dyDescent="0.4">
      <c r="B3506" s="17"/>
      <c r="C3506" s="15"/>
      <c r="D3506" s="15"/>
      <c r="E3506" s="18"/>
    </row>
    <row r="3507" spans="2:5" x14ac:dyDescent="0.4">
      <c r="B3507" s="17"/>
      <c r="C3507" s="15"/>
      <c r="D3507" s="15"/>
      <c r="E3507" s="18"/>
    </row>
    <row r="3508" spans="2:5" x14ac:dyDescent="0.4">
      <c r="B3508" s="17"/>
      <c r="C3508" s="15"/>
      <c r="D3508" s="15"/>
      <c r="E3508" s="18"/>
    </row>
    <row r="3509" spans="2:5" x14ac:dyDescent="0.4">
      <c r="B3509" s="17"/>
      <c r="C3509" s="15"/>
      <c r="D3509" s="15"/>
      <c r="E3509" s="18"/>
    </row>
    <row r="3510" spans="2:5" x14ac:dyDescent="0.4">
      <c r="B3510" s="17"/>
      <c r="C3510" s="15"/>
      <c r="D3510" s="15"/>
      <c r="E3510" s="18"/>
    </row>
    <row r="3511" spans="2:5" x14ac:dyDescent="0.4">
      <c r="B3511" s="17"/>
      <c r="C3511" s="15"/>
      <c r="D3511" s="15"/>
      <c r="E3511" s="18"/>
    </row>
    <row r="3512" spans="2:5" x14ac:dyDescent="0.4">
      <c r="B3512" s="17"/>
      <c r="C3512" s="15"/>
      <c r="D3512" s="15"/>
      <c r="E3512" s="18"/>
    </row>
    <row r="3513" spans="2:5" x14ac:dyDescent="0.4">
      <c r="B3513" s="17"/>
      <c r="C3513" s="15"/>
      <c r="D3513" s="15"/>
      <c r="E3513" s="18"/>
    </row>
    <row r="3514" spans="2:5" x14ac:dyDescent="0.4">
      <c r="B3514" s="17"/>
      <c r="C3514" s="15"/>
      <c r="D3514" s="15"/>
      <c r="E3514" s="18"/>
    </row>
    <row r="3515" spans="2:5" x14ac:dyDescent="0.4">
      <c r="B3515" s="17"/>
      <c r="C3515" s="15"/>
      <c r="D3515" s="15"/>
      <c r="E3515" s="18"/>
    </row>
    <row r="3516" spans="2:5" x14ac:dyDescent="0.4">
      <c r="B3516" s="17"/>
      <c r="C3516" s="15"/>
      <c r="D3516" s="15"/>
      <c r="E3516" s="18"/>
    </row>
    <row r="3517" spans="2:5" x14ac:dyDescent="0.4">
      <c r="B3517" s="17"/>
      <c r="C3517" s="15"/>
      <c r="D3517" s="15"/>
      <c r="E3517" s="18"/>
    </row>
    <row r="3518" spans="2:5" x14ac:dyDescent="0.4">
      <c r="B3518" s="17"/>
      <c r="C3518" s="15"/>
      <c r="D3518" s="15"/>
      <c r="E3518" s="18"/>
    </row>
    <row r="3519" spans="2:5" x14ac:dyDescent="0.4">
      <c r="B3519" s="17"/>
      <c r="C3519" s="15"/>
      <c r="D3519" s="15"/>
      <c r="E3519" s="18"/>
    </row>
    <row r="3520" spans="2:5" x14ac:dyDescent="0.4">
      <c r="B3520" s="17"/>
      <c r="C3520" s="15"/>
      <c r="D3520" s="15"/>
      <c r="E3520" s="18"/>
    </row>
    <row r="3521" spans="2:5" x14ac:dyDescent="0.4">
      <c r="B3521" s="17"/>
      <c r="C3521" s="15"/>
      <c r="D3521" s="15"/>
      <c r="E3521" s="18"/>
    </row>
    <row r="3522" spans="2:5" x14ac:dyDescent="0.4">
      <c r="B3522" s="17"/>
      <c r="C3522" s="15"/>
      <c r="D3522" s="15"/>
      <c r="E3522" s="18"/>
    </row>
    <row r="3523" spans="2:5" x14ac:dyDescent="0.4">
      <c r="B3523" s="17"/>
      <c r="C3523" s="15"/>
      <c r="D3523" s="15"/>
      <c r="E3523" s="18"/>
    </row>
    <row r="3524" spans="2:5" x14ac:dyDescent="0.4">
      <c r="B3524" s="17"/>
      <c r="C3524" s="15"/>
      <c r="D3524" s="15"/>
      <c r="E3524" s="18"/>
    </row>
    <row r="3525" spans="2:5" x14ac:dyDescent="0.4">
      <c r="B3525" s="17"/>
      <c r="C3525" s="15"/>
      <c r="D3525" s="15"/>
      <c r="E3525" s="18"/>
    </row>
    <row r="3526" spans="2:5" x14ac:dyDescent="0.4">
      <c r="B3526" s="17"/>
      <c r="C3526" s="15"/>
      <c r="D3526" s="15"/>
      <c r="E3526" s="18"/>
    </row>
    <row r="3527" spans="2:5" x14ac:dyDescent="0.4">
      <c r="B3527" s="17"/>
      <c r="C3527" s="15"/>
      <c r="D3527" s="15"/>
      <c r="E3527" s="18"/>
    </row>
    <row r="3528" spans="2:5" x14ac:dyDescent="0.4">
      <c r="B3528" s="17"/>
      <c r="C3528" s="15"/>
      <c r="D3528" s="15"/>
      <c r="E3528" s="18"/>
    </row>
    <row r="3529" spans="2:5" x14ac:dyDescent="0.4">
      <c r="B3529" s="17"/>
      <c r="C3529" s="15"/>
      <c r="D3529" s="15"/>
      <c r="E3529" s="18"/>
    </row>
    <row r="3530" spans="2:5" x14ac:dyDescent="0.4">
      <c r="B3530" s="17"/>
      <c r="C3530" s="15"/>
      <c r="D3530" s="15"/>
      <c r="E3530" s="18"/>
    </row>
    <row r="3531" spans="2:5" x14ac:dyDescent="0.4">
      <c r="B3531" s="17"/>
      <c r="C3531" s="15"/>
      <c r="D3531" s="15"/>
      <c r="E3531" s="18"/>
    </row>
    <row r="3532" spans="2:5" x14ac:dyDescent="0.4">
      <c r="B3532" s="17"/>
      <c r="C3532" s="15"/>
      <c r="D3532" s="15"/>
      <c r="E3532" s="18"/>
    </row>
    <row r="3533" spans="2:5" x14ac:dyDescent="0.4">
      <c r="B3533" s="17"/>
      <c r="C3533" s="15"/>
      <c r="D3533" s="15"/>
      <c r="E3533" s="18"/>
    </row>
    <row r="3534" spans="2:5" x14ac:dyDescent="0.4">
      <c r="B3534" s="17"/>
      <c r="C3534" s="15"/>
      <c r="D3534" s="15"/>
      <c r="E3534" s="18"/>
    </row>
    <row r="3535" spans="2:5" x14ac:dyDescent="0.4">
      <c r="B3535" s="17"/>
      <c r="C3535" s="15"/>
      <c r="D3535" s="15"/>
      <c r="E3535" s="18"/>
    </row>
    <row r="3536" spans="2:5" x14ac:dyDescent="0.4">
      <c r="B3536" s="17"/>
      <c r="C3536" s="15"/>
      <c r="D3536" s="15"/>
      <c r="E3536" s="18"/>
    </row>
    <row r="3537" spans="2:5" x14ac:dyDescent="0.4">
      <c r="B3537" s="17"/>
      <c r="C3537" s="15"/>
      <c r="D3537" s="15"/>
      <c r="E3537" s="18"/>
    </row>
    <row r="3538" spans="2:5" x14ac:dyDescent="0.4">
      <c r="B3538" s="17"/>
      <c r="C3538" s="15"/>
      <c r="D3538" s="15"/>
      <c r="E3538" s="18"/>
    </row>
    <row r="3539" spans="2:5" x14ac:dyDescent="0.4">
      <c r="B3539" s="17"/>
      <c r="C3539" s="15"/>
      <c r="D3539" s="15"/>
      <c r="E3539" s="18"/>
    </row>
    <row r="3540" spans="2:5" x14ac:dyDescent="0.4">
      <c r="B3540" s="17"/>
      <c r="C3540" s="15"/>
      <c r="D3540" s="15"/>
      <c r="E3540" s="18"/>
    </row>
    <row r="3541" spans="2:5" x14ac:dyDescent="0.4">
      <c r="B3541" s="17"/>
      <c r="C3541" s="15"/>
      <c r="D3541" s="15"/>
      <c r="E3541" s="18"/>
    </row>
    <row r="3542" spans="2:5" x14ac:dyDescent="0.4">
      <c r="B3542" s="17"/>
      <c r="C3542" s="15"/>
      <c r="D3542" s="15"/>
      <c r="E3542" s="18"/>
    </row>
    <row r="3543" spans="2:5" x14ac:dyDescent="0.4">
      <c r="B3543" s="17"/>
      <c r="C3543" s="15"/>
      <c r="D3543" s="15"/>
      <c r="E3543" s="18"/>
    </row>
    <row r="3544" spans="2:5" x14ac:dyDescent="0.4">
      <c r="B3544" s="17"/>
      <c r="C3544" s="15"/>
      <c r="D3544" s="15"/>
      <c r="E3544" s="18"/>
    </row>
    <row r="3545" spans="2:5" x14ac:dyDescent="0.4">
      <c r="B3545" s="17"/>
      <c r="C3545" s="15"/>
      <c r="D3545" s="15"/>
      <c r="E3545" s="18"/>
    </row>
    <row r="3546" spans="2:5" x14ac:dyDescent="0.4">
      <c r="B3546" s="17"/>
      <c r="C3546" s="15"/>
      <c r="D3546" s="15"/>
      <c r="E3546" s="18"/>
    </row>
    <row r="3547" spans="2:5" x14ac:dyDescent="0.4">
      <c r="B3547" s="17"/>
      <c r="C3547" s="15"/>
      <c r="D3547" s="15"/>
      <c r="E3547" s="18"/>
    </row>
    <row r="3548" spans="2:5" x14ac:dyDescent="0.4">
      <c r="B3548" s="17"/>
      <c r="C3548" s="15"/>
      <c r="D3548" s="15"/>
      <c r="E3548" s="18"/>
    </row>
    <row r="3549" spans="2:5" x14ac:dyDescent="0.4">
      <c r="B3549" s="17"/>
      <c r="C3549" s="15"/>
      <c r="D3549" s="15"/>
      <c r="E3549" s="18"/>
    </row>
    <row r="3550" spans="2:5" x14ac:dyDescent="0.4">
      <c r="B3550" s="17"/>
      <c r="C3550" s="15"/>
      <c r="D3550" s="15"/>
      <c r="E3550" s="18"/>
    </row>
    <row r="3551" spans="2:5" x14ac:dyDescent="0.4">
      <c r="B3551" s="17"/>
      <c r="C3551" s="15"/>
      <c r="D3551" s="15"/>
      <c r="E3551" s="18"/>
    </row>
    <row r="3552" spans="2:5" x14ac:dyDescent="0.4">
      <c r="B3552" s="17"/>
      <c r="C3552" s="15"/>
      <c r="D3552" s="15"/>
      <c r="E3552" s="18"/>
    </row>
    <row r="3553" spans="2:5" x14ac:dyDescent="0.4">
      <c r="B3553" s="17"/>
      <c r="C3553" s="15"/>
      <c r="D3553" s="15"/>
      <c r="E3553" s="18"/>
    </row>
    <row r="3554" spans="2:5" x14ac:dyDescent="0.4">
      <c r="B3554" s="17"/>
      <c r="C3554" s="15"/>
      <c r="D3554" s="15"/>
      <c r="E3554" s="18"/>
    </row>
    <row r="3555" spans="2:5" x14ac:dyDescent="0.4">
      <c r="B3555" s="17"/>
      <c r="C3555" s="15"/>
      <c r="D3555" s="15"/>
      <c r="E3555" s="18"/>
    </row>
    <row r="3556" spans="2:5" x14ac:dyDescent="0.4">
      <c r="B3556" s="17"/>
      <c r="C3556" s="15"/>
      <c r="D3556" s="15"/>
      <c r="E3556" s="18"/>
    </row>
    <row r="3557" spans="2:5" x14ac:dyDescent="0.4">
      <c r="B3557" s="17"/>
      <c r="C3557" s="15"/>
      <c r="D3557" s="15"/>
      <c r="E3557" s="18"/>
    </row>
    <row r="3558" spans="2:5" x14ac:dyDescent="0.4">
      <c r="B3558" s="17"/>
      <c r="C3558" s="15"/>
      <c r="D3558" s="15"/>
      <c r="E3558" s="18"/>
    </row>
    <row r="3559" spans="2:5" x14ac:dyDescent="0.4">
      <c r="B3559" s="17"/>
      <c r="C3559" s="15"/>
      <c r="D3559" s="15"/>
      <c r="E3559" s="18"/>
    </row>
    <row r="3560" spans="2:5" x14ac:dyDescent="0.4">
      <c r="B3560" s="17"/>
      <c r="C3560" s="15"/>
      <c r="D3560" s="15"/>
      <c r="E3560" s="18"/>
    </row>
    <row r="3561" spans="2:5" x14ac:dyDescent="0.4">
      <c r="B3561" s="17"/>
      <c r="C3561" s="15"/>
      <c r="D3561" s="15"/>
      <c r="E3561" s="18"/>
    </row>
    <row r="3562" spans="2:5" x14ac:dyDescent="0.4">
      <c r="B3562" s="17"/>
      <c r="C3562" s="15"/>
      <c r="D3562" s="15"/>
      <c r="E3562" s="18"/>
    </row>
    <row r="3563" spans="2:5" x14ac:dyDescent="0.4">
      <c r="B3563" s="17"/>
      <c r="C3563" s="15"/>
      <c r="D3563" s="15"/>
      <c r="E3563" s="18"/>
    </row>
    <row r="3564" spans="2:5" x14ac:dyDescent="0.4">
      <c r="B3564" s="17"/>
      <c r="C3564" s="15"/>
      <c r="D3564" s="15"/>
      <c r="E3564" s="18"/>
    </row>
    <row r="3565" spans="2:5" x14ac:dyDescent="0.4">
      <c r="B3565" s="17"/>
      <c r="C3565" s="15"/>
      <c r="D3565" s="15"/>
      <c r="E3565" s="18"/>
    </row>
    <row r="3566" spans="2:5" x14ac:dyDescent="0.4">
      <c r="B3566" s="17"/>
      <c r="C3566" s="15"/>
      <c r="D3566" s="15"/>
      <c r="E3566" s="18"/>
    </row>
    <row r="3567" spans="2:5" x14ac:dyDescent="0.4">
      <c r="B3567" s="17"/>
      <c r="C3567" s="15"/>
      <c r="D3567" s="15"/>
      <c r="E3567" s="18"/>
    </row>
    <row r="3568" spans="2:5" x14ac:dyDescent="0.4">
      <c r="B3568" s="17"/>
      <c r="C3568" s="15"/>
      <c r="D3568" s="15"/>
      <c r="E3568" s="18"/>
    </row>
    <row r="3569" spans="2:5" x14ac:dyDescent="0.4">
      <c r="B3569" s="17"/>
      <c r="C3569" s="15"/>
      <c r="D3569" s="15"/>
      <c r="E3569" s="18"/>
    </row>
    <row r="3570" spans="2:5" x14ac:dyDescent="0.4">
      <c r="B3570" s="17"/>
      <c r="C3570" s="15"/>
      <c r="D3570" s="15"/>
      <c r="E3570" s="18"/>
    </row>
    <row r="3571" spans="2:5" x14ac:dyDescent="0.4">
      <c r="B3571" s="17"/>
      <c r="C3571" s="15"/>
      <c r="D3571" s="15"/>
      <c r="E3571" s="18"/>
    </row>
    <row r="3572" spans="2:5" x14ac:dyDescent="0.4">
      <c r="B3572" s="17"/>
      <c r="C3572" s="15"/>
      <c r="D3572" s="15"/>
      <c r="E3572" s="18"/>
    </row>
    <row r="3573" spans="2:5" x14ac:dyDescent="0.4">
      <c r="B3573" s="17"/>
      <c r="C3573" s="15"/>
      <c r="D3573" s="15"/>
      <c r="E3573" s="18"/>
    </row>
    <row r="3574" spans="2:5" x14ac:dyDescent="0.4">
      <c r="B3574" s="17"/>
      <c r="C3574" s="15"/>
      <c r="D3574" s="15"/>
      <c r="E3574" s="18"/>
    </row>
    <row r="3575" spans="2:5" x14ac:dyDescent="0.4">
      <c r="B3575" s="17"/>
      <c r="C3575" s="15"/>
      <c r="D3575" s="15"/>
      <c r="E3575" s="18"/>
    </row>
    <row r="3576" spans="2:5" x14ac:dyDescent="0.4">
      <c r="B3576" s="17"/>
      <c r="C3576" s="15"/>
      <c r="D3576" s="15"/>
      <c r="E3576" s="18"/>
    </row>
    <row r="3577" spans="2:5" x14ac:dyDescent="0.4">
      <c r="B3577" s="17"/>
      <c r="C3577" s="15"/>
      <c r="D3577" s="15"/>
      <c r="E3577" s="18"/>
    </row>
    <row r="3578" spans="2:5" x14ac:dyDescent="0.4">
      <c r="B3578" s="17"/>
      <c r="C3578" s="15"/>
      <c r="D3578" s="15"/>
      <c r="E3578" s="18"/>
    </row>
    <row r="3579" spans="2:5" x14ac:dyDescent="0.4">
      <c r="B3579" s="17"/>
      <c r="C3579" s="15"/>
      <c r="D3579" s="15"/>
      <c r="E3579" s="18"/>
    </row>
    <row r="3580" spans="2:5" x14ac:dyDescent="0.4">
      <c r="B3580" s="17"/>
      <c r="C3580" s="15"/>
      <c r="D3580" s="15"/>
      <c r="E3580" s="18"/>
    </row>
    <row r="3581" spans="2:5" x14ac:dyDescent="0.4">
      <c r="B3581" s="17"/>
      <c r="C3581" s="15"/>
      <c r="D3581" s="15"/>
      <c r="E3581" s="18"/>
    </row>
    <row r="3582" spans="2:5" x14ac:dyDescent="0.4">
      <c r="B3582" s="17"/>
      <c r="C3582" s="15"/>
      <c r="D3582" s="15"/>
      <c r="E3582" s="18"/>
    </row>
    <row r="3583" spans="2:5" x14ac:dyDescent="0.4">
      <c r="B3583" s="17"/>
      <c r="C3583" s="15"/>
      <c r="D3583" s="15"/>
      <c r="E3583" s="18"/>
    </row>
    <row r="3584" spans="2:5" x14ac:dyDescent="0.4">
      <c r="B3584" s="17"/>
      <c r="C3584" s="15"/>
      <c r="D3584" s="15"/>
      <c r="E3584" s="18"/>
    </row>
    <row r="3585" spans="2:5" x14ac:dyDescent="0.4">
      <c r="B3585" s="17"/>
      <c r="C3585" s="15"/>
      <c r="D3585" s="15"/>
      <c r="E3585" s="18"/>
    </row>
    <row r="3586" spans="2:5" x14ac:dyDescent="0.4">
      <c r="B3586" s="17"/>
      <c r="C3586" s="15"/>
      <c r="D3586" s="15"/>
      <c r="E3586" s="18"/>
    </row>
    <row r="3587" spans="2:5" x14ac:dyDescent="0.4">
      <c r="B3587" s="17"/>
      <c r="C3587" s="15"/>
      <c r="D3587" s="15"/>
      <c r="E3587" s="18"/>
    </row>
    <row r="3588" spans="2:5" x14ac:dyDescent="0.4">
      <c r="B3588" s="17"/>
      <c r="C3588" s="15"/>
      <c r="D3588" s="15"/>
      <c r="E3588" s="18"/>
    </row>
    <row r="3589" spans="2:5" x14ac:dyDescent="0.4">
      <c r="B3589" s="17"/>
      <c r="C3589" s="15"/>
      <c r="D3589" s="15"/>
      <c r="E3589" s="18"/>
    </row>
    <row r="3590" spans="2:5" x14ac:dyDescent="0.4">
      <c r="B3590" s="17"/>
      <c r="C3590" s="15"/>
      <c r="D3590" s="15"/>
      <c r="E3590" s="18"/>
    </row>
    <row r="3591" spans="2:5" x14ac:dyDescent="0.4">
      <c r="B3591" s="17"/>
      <c r="C3591" s="15"/>
      <c r="D3591" s="15"/>
      <c r="E3591" s="18"/>
    </row>
    <row r="3592" spans="2:5" x14ac:dyDescent="0.4">
      <c r="B3592" s="17"/>
      <c r="C3592" s="15"/>
      <c r="D3592" s="15"/>
      <c r="E3592" s="18"/>
    </row>
    <row r="3593" spans="2:5" x14ac:dyDescent="0.4">
      <c r="B3593" s="17"/>
      <c r="C3593" s="15"/>
      <c r="D3593" s="15"/>
      <c r="E3593" s="18"/>
    </row>
    <row r="3594" spans="2:5" x14ac:dyDescent="0.4">
      <c r="B3594" s="17"/>
      <c r="C3594" s="15"/>
      <c r="D3594" s="15"/>
      <c r="E3594" s="18"/>
    </row>
    <row r="3595" spans="2:5" x14ac:dyDescent="0.4">
      <c r="B3595" s="17"/>
      <c r="C3595" s="15"/>
      <c r="D3595" s="15"/>
      <c r="E3595" s="18"/>
    </row>
    <row r="3596" spans="2:5" x14ac:dyDescent="0.4">
      <c r="B3596" s="17"/>
      <c r="C3596" s="15"/>
      <c r="D3596" s="15"/>
      <c r="E3596" s="18"/>
    </row>
    <row r="3597" spans="2:5" x14ac:dyDescent="0.4">
      <c r="B3597" s="17"/>
      <c r="C3597" s="15"/>
      <c r="D3597" s="15"/>
      <c r="E3597" s="18"/>
    </row>
    <row r="3598" spans="2:5" x14ac:dyDescent="0.4">
      <c r="B3598" s="17"/>
      <c r="C3598" s="15"/>
      <c r="D3598" s="15"/>
      <c r="E3598" s="18"/>
    </row>
    <row r="3599" spans="2:5" x14ac:dyDescent="0.4">
      <c r="B3599" s="17"/>
      <c r="C3599" s="15"/>
      <c r="D3599" s="15"/>
      <c r="E3599" s="18"/>
    </row>
    <row r="3600" spans="2:5" x14ac:dyDescent="0.4">
      <c r="B3600" s="17"/>
      <c r="C3600" s="15"/>
      <c r="D3600" s="15"/>
      <c r="E3600" s="18"/>
    </row>
    <row r="3601" spans="2:5" x14ac:dyDescent="0.4">
      <c r="B3601" s="17"/>
      <c r="C3601" s="15"/>
      <c r="D3601" s="15"/>
      <c r="E3601" s="18"/>
    </row>
    <row r="3602" spans="2:5" x14ac:dyDescent="0.4">
      <c r="B3602" s="17"/>
      <c r="C3602" s="15"/>
      <c r="D3602" s="15"/>
      <c r="E3602" s="18"/>
    </row>
    <row r="3603" spans="2:5" x14ac:dyDescent="0.4">
      <c r="B3603" s="17"/>
      <c r="C3603" s="15"/>
      <c r="D3603" s="15"/>
      <c r="E3603" s="18"/>
    </row>
    <row r="3604" spans="2:5" x14ac:dyDescent="0.4">
      <c r="B3604" s="17"/>
      <c r="C3604" s="15"/>
      <c r="D3604" s="15"/>
      <c r="E3604" s="18"/>
    </row>
    <row r="3605" spans="2:5" x14ac:dyDescent="0.4">
      <c r="B3605" s="17"/>
      <c r="C3605" s="15"/>
      <c r="D3605" s="15"/>
      <c r="E3605" s="18"/>
    </row>
    <row r="3606" spans="2:5" x14ac:dyDescent="0.4">
      <c r="B3606" s="17"/>
      <c r="C3606" s="15"/>
      <c r="D3606" s="15"/>
      <c r="E3606" s="18"/>
    </row>
    <row r="3607" spans="2:5" x14ac:dyDescent="0.4">
      <c r="B3607" s="17"/>
      <c r="C3607" s="15"/>
      <c r="D3607" s="15"/>
      <c r="E3607" s="18"/>
    </row>
    <row r="3608" spans="2:5" x14ac:dyDescent="0.4">
      <c r="B3608" s="17"/>
      <c r="C3608" s="15"/>
      <c r="D3608" s="15"/>
      <c r="E3608" s="18"/>
    </row>
    <row r="3609" spans="2:5" x14ac:dyDescent="0.4">
      <c r="B3609" s="17"/>
      <c r="C3609" s="15"/>
      <c r="D3609" s="15"/>
      <c r="E3609" s="18"/>
    </row>
    <row r="3610" spans="2:5" x14ac:dyDescent="0.4">
      <c r="B3610" s="17"/>
      <c r="C3610" s="15"/>
      <c r="D3610" s="15"/>
      <c r="E3610" s="18"/>
    </row>
    <row r="3611" spans="2:5" x14ac:dyDescent="0.4">
      <c r="B3611" s="17"/>
      <c r="C3611" s="15"/>
      <c r="D3611" s="15"/>
      <c r="E3611" s="18"/>
    </row>
    <row r="3612" spans="2:5" x14ac:dyDescent="0.4">
      <c r="B3612" s="17"/>
      <c r="C3612" s="15"/>
      <c r="D3612" s="15"/>
      <c r="E3612" s="18"/>
    </row>
    <row r="3613" spans="2:5" x14ac:dyDescent="0.4">
      <c r="B3613" s="17"/>
      <c r="C3613" s="15"/>
      <c r="D3613" s="15"/>
      <c r="E3613" s="18"/>
    </row>
    <row r="3614" spans="2:5" x14ac:dyDescent="0.4">
      <c r="B3614" s="17"/>
      <c r="C3614" s="15"/>
      <c r="D3614" s="15"/>
      <c r="E3614" s="18"/>
    </row>
    <row r="3615" spans="2:5" x14ac:dyDescent="0.4">
      <c r="B3615" s="17"/>
      <c r="C3615" s="15"/>
      <c r="D3615" s="15"/>
      <c r="E3615" s="18"/>
    </row>
    <row r="3616" spans="2:5" x14ac:dyDescent="0.4">
      <c r="B3616" s="17"/>
      <c r="C3616" s="15"/>
      <c r="D3616" s="15"/>
      <c r="E3616" s="18"/>
    </row>
    <row r="3617" spans="2:5" x14ac:dyDescent="0.4">
      <c r="B3617" s="17"/>
      <c r="C3617" s="15"/>
      <c r="D3617" s="15"/>
      <c r="E3617" s="18"/>
    </row>
    <row r="3618" spans="2:5" x14ac:dyDescent="0.4">
      <c r="B3618" s="17"/>
      <c r="C3618" s="15"/>
      <c r="D3618" s="15"/>
      <c r="E3618" s="18"/>
    </row>
    <row r="3619" spans="2:5" x14ac:dyDescent="0.4">
      <c r="B3619" s="17"/>
      <c r="C3619" s="15"/>
      <c r="D3619" s="15"/>
      <c r="E3619" s="18"/>
    </row>
    <row r="3620" spans="2:5" x14ac:dyDescent="0.4">
      <c r="B3620" s="17"/>
      <c r="C3620" s="15"/>
      <c r="D3620" s="15"/>
      <c r="E3620" s="18"/>
    </row>
    <row r="3621" spans="2:5" x14ac:dyDescent="0.4">
      <c r="B3621" s="17"/>
      <c r="C3621" s="15"/>
      <c r="D3621" s="15"/>
      <c r="E3621" s="18"/>
    </row>
    <row r="3622" spans="2:5" x14ac:dyDescent="0.4">
      <c r="B3622" s="17"/>
      <c r="C3622" s="15"/>
      <c r="D3622" s="15"/>
      <c r="E3622" s="18"/>
    </row>
    <row r="3623" spans="2:5" x14ac:dyDescent="0.4">
      <c r="B3623" s="17"/>
      <c r="C3623" s="15"/>
      <c r="D3623" s="15"/>
      <c r="E3623" s="18"/>
    </row>
    <row r="3624" spans="2:5" x14ac:dyDescent="0.4">
      <c r="B3624" s="17"/>
      <c r="C3624" s="15"/>
      <c r="D3624" s="15"/>
      <c r="E3624" s="18"/>
    </row>
    <row r="3625" spans="2:5" x14ac:dyDescent="0.4">
      <c r="B3625" s="17"/>
      <c r="C3625" s="15"/>
      <c r="D3625" s="15"/>
      <c r="E3625" s="18"/>
    </row>
    <row r="3626" spans="2:5" x14ac:dyDescent="0.4">
      <c r="B3626" s="17"/>
      <c r="C3626" s="15"/>
      <c r="D3626" s="15"/>
      <c r="E3626" s="18"/>
    </row>
    <row r="3627" spans="2:5" x14ac:dyDescent="0.4">
      <c r="B3627" s="17"/>
      <c r="C3627" s="15"/>
      <c r="D3627" s="15"/>
      <c r="E3627" s="18"/>
    </row>
    <row r="3628" spans="2:5" x14ac:dyDescent="0.4">
      <c r="B3628" s="17"/>
      <c r="C3628" s="15"/>
      <c r="D3628" s="15"/>
      <c r="E3628" s="18"/>
    </row>
    <row r="3629" spans="2:5" x14ac:dyDescent="0.4">
      <c r="B3629" s="17"/>
      <c r="C3629" s="15"/>
      <c r="D3629" s="15"/>
      <c r="E3629" s="18"/>
    </row>
    <row r="3630" spans="2:5" x14ac:dyDescent="0.4">
      <c r="B3630" s="17"/>
      <c r="C3630" s="15"/>
      <c r="D3630" s="15"/>
      <c r="E3630" s="18"/>
    </row>
    <row r="3631" spans="2:5" x14ac:dyDescent="0.4">
      <c r="B3631" s="17"/>
      <c r="C3631" s="15"/>
      <c r="D3631" s="15"/>
      <c r="E3631" s="18"/>
    </row>
    <row r="3632" spans="2:5" x14ac:dyDescent="0.4">
      <c r="B3632" s="17"/>
      <c r="C3632" s="15"/>
      <c r="D3632" s="15"/>
      <c r="E3632" s="18"/>
    </row>
    <row r="3633" spans="2:5" x14ac:dyDescent="0.4">
      <c r="B3633" s="17"/>
      <c r="C3633" s="15"/>
      <c r="D3633" s="15"/>
      <c r="E3633" s="18"/>
    </row>
    <row r="3634" spans="2:5" x14ac:dyDescent="0.4">
      <c r="B3634" s="17"/>
      <c r="C3634" s="15"/>
      <c r="D3634" s="15"/>
      <c r="E3634" s="18"/>
    </row>
    <row r="3635" spans="2:5" x14ac:dyDescent="0.4">
      <c r="B3635" s="17"/>
      <c r="C3635" s="15"/>
      <c r="D3635" s="15"/>
      <c r="E3635" s="18"/>
    </row>
    <row r="3636" spans="2:5" x14ac:dyDescent="0.4">
      <c r="B3636" s="17"/>
      <c r="C3636" s="15"/>
      <c r="D3636" s="15"/>
      <c r="E3636" s="18"/>
    </row>
    <row r="3637" spans="2:5" x14ac:dyDescent="0.4">
      <c r="B3637" s="17"/>
      <c r="C3637" s="15"/>
      <c r="D3637" s="15"/>
      <c r="E3637" s="18"/>
    </row>
    <row r="3638" spans="2:5" x14ac:dyDescent="0.4">
      <c r="B3638" s="17"/>
      <c r="C3638" s="15"/>
      <c r="D3638" s="15"/>
      <c r="E3638" s="18"/>
    </row>
    <row r="3639" spans="2:5" x14ac:dyDescent="0.4">
      <c r="B3639" s="17"/>
      <c r="C3639" s="15"/>
      <c r="D3639" s="15"/>
      <c r="E3639" s="18"/>
    </row>
    <row r="3640" spans="2:5" x14ac:dyDescent="0.4">
      <c r="B3640" s="17"/>
      <c r="C3640" s="15"/>
      <c r="D3640" s="15"/>
      <c r="E3640" s="18"/>
    </row>
    <row r="3641" spans="2:5" x14ac:dyDescent="0.4">
      <c r="B3641" s="17"/>
      <c r="C3641" s="15"/>
      <c r="D3641" s="15"/>
      <c r="E3641" s="18"/>
    </row>
    <row r="3642" spans="2:5" x14ac:dyDescent="0.4">
      <c r="B3642" s="17"/>
      <c r="C3642" s="15"/>
      <c r="D3642" s="15"/>
      <c r="E3642" s="18"/>
    </row>
    <row r="3643" spans="2:5" x14ac:dyDescent="0.4">
      <c r="B3643" s="17"/>
      <c r="C3643" s="15"/>
      <c r="D3643" s="15"/>
      <c r="E3643" s="18"/>
    </row>
    <row r="3644" spans="2:5" x14ac:dyDescent="0.4">
      <c r="B3644" s="17"/>
      <c r="C3644" s="15"/>
      <c r="D3644" s="15"/>
      <c r="E3644" s="18"/>
    </row>
    <row r="3645" spans="2:5" x14ac:dyDescent="0.4">
      <c r="B3645" s="17"/>
      <c r="C3645" s="15"/>
      <c r="D3645" s="15"/>
      <c r="E3645" s="18"/>
    </row>
    <row r="3646" spans="2:5" x14ac:dyDescent="0.4">
      <c r="B3646" s="17"/>
      <c r="C3646" s="15"/>
      <c r="D3646" s="15"/>
      <c r="E3646" s="18"/>
    </row>
    <row r="3647" spans="2:5" x14ac:dyDescent="0.4">
      <c r="B3647" s="17"/>
      <c r="C3647" s="15"/>
      <c r="D3647" s="15"/>
      <c r="E3647" s="18"/>
    </row>
    <row r="3648" spans="2:5" x14ac:dyDescent="0.4">
      <c r="B3648" s="17"/>
      <c r="C3648" s="15"/>
      <c r="D3648" s="15"/>
      <c r="E3648" s="18"/>
    </row>
    <row r="3649" spans="2:5" x14ac:dyDescent="0.4">
      <c r="B3649" s="17"/>
      <c r="C3649" s="15"/>
      <c r="D3649" s="15"/>
      <c r="E3649" s="18"/>
    </row>
    <row r="3650" spans="2:5" x14ac:dyDescent="0.4">
      <c r="B3650" s="17"/>
      <c r="C3650" s="15"/>
      <c r="D3650" s="15"/>
      <c r="E3650" s="18"/>
    </row>
    <row r="3651" spans="2:5" x14ac:dyDescent="0.4">
      <c r="B3651" s="17"/>
      <c r="C3651" s="15"/>
      <c r="D3651" s="15"/>
      <c r="E3651" s="18"/>
    </row>
    <row r="3652" spans="2:5" x14ac:dyDescent="0.4">
      <c r="B3652" s="17"/>
      <c r="C3652" s="15"/>
      <c r="D3652" s="15"/>
      <c r="E3652" s="18"/>
    </row>
    <row r="3653" spans="2:5" x14ac:dyDescent="0.4">
      <c r="B3653" s="17"/>
      <c r="C3653" s="15"/>
      <c r="D3653" s="15"/>
      <c r="E3653" s="18"/>
    </row>
    <row r="3654" spans="2:5" x14ac:dyDescent="0.4">
      <c r="B3654" s="17"/>
      <c r="C3654" s="15"/>
      <c r="D3654" s="15"/>
      <c r="E3654" s="18"/>
    </row>
    <row r="3655" spans="2:5" x14ac:dyDescent="0.4">
      <c r="B3655" s="17"/>
      <c r="C3655" s="15"/>
      <c r="D3655" s="15"/>
      <c r="E3655" s="18"/>
    </row>
    <row r="3656" spans="2:5" x14ac:dyDescent="0.4">
      <c r="B3656" s="17"/>
      <c r="C3656" s="15"/>
      <c r="D3656" s="15"/>
      <c r="E3656" s="18"/>
    </row>
    <row r="3657" spans="2:5" x14ac:dyDescent="0.4">
      <c r="B3657" s="17"/>
      <c r="C3657" s="15"/>
      <c r="D3657" s="15"/>
      <c r="E3657" s="18"/>
    </row>
    <row r="3658" spans="2:5" x14ac:dyDescent="0.4">
      <c r="B3658" s="17"/>
      <c r="C3658" s="15"/>
      <c r="D3658" s="15"/>
      <c r="E3658" s="18"/>
    </row>
    <row r="3659" spans="2:5" x14ac:dyDescent="0.4">
      <c r="B3659" s="17"/>
      <c r="C3659" s="15"/>
      <c r="D3659" s="15"/>
      <c r="E3659" s="18"/>
    </row>
    <row r="3660" spans="2:5" x14ac:dyDescent="0.4">
      <c r="B3660" s="17"/>
      <c r="C3660" s="15"/>
      <c r="D3660" s="15"/>
      <c r="E3660" s="18"/>
    </row>
    <row r="3661" spans="2:5" x14ac:dyDescent="0.4">
      <c r="B3661" s="17"/>
      <c r="C3661" s="15"/>
      <c r="D3661" s="15"/>
      <c r="E3661" s="18"/>
    </row>
    <row r="3662" spans="2:5" x14ac:dyDescent="0.4">
      <c r="B3662" s="17"/>
      <c r="C3662" s="15"/>
      <c r="D3662" s="15"/>
      <c r="E3662" s="18"/>
    </row>
    <row r="3663" spans="2:5" x14ac:dyDescent="0.4">
      <c r="B3663" s="17"/>
      <c r="C3663" s="15"/>
      <c r="D3663" s="15"/>
      <c r="E3663" s="18"/>
    </row>
    <row r="3664" spans="2:5" x14ac:dyDescent="0.4">
      <c r="B3664" s="17"/>
      <c r="C3664" s="15"/>
      <c r="D3664" s="15"/>
      <c r="E3664" s="18"/>
    </row>
    <row r="3665" spans="2:5" x14ac:dyDescent="0.4">
      <c r="B3665" s="17"/>
      <c r="C3665" s="15"/>
      <c r="D3665" s="15"/>
      <c r="E3665" s="18"/>
    </row>
    <row r="3666" spans="2:5" x14ac:dyDescent="0.4">
      <c r="B3666" s="17"/>
      <c r="C3666" s="15"/>
      <c r="D3666" s="15"/>
      <c r="E3666" s="18"/>
    </row>
    <row r="3667" spans="2:5" x14ac:dyDescent="0.4">
      <c r="B3667" s="17"/>
      <c r="C3667" s="15"/>
      <c r="D3667" s="15"/>
      <c r="E3667" s="18"/>
    </row>
    <row r="3668" spans="2:5" x14ac:dyDescent="0.4">
      <c r="B3668" s="17"/>
      <c r="C3668" s="15"/>
      <c r="D3668" s="15"/>
      <c r="E3668" s="18"/>
    </row>
    <row r="3669" spans="2:5" x14ac:dyDescent="0.4">
      <c r="B3669" s="17"/>
      <c r="C3669" s="15"/>
      <c r="D3669" s="15"/>
      <c r="E3669" s="18"/>
    </row>
    <row r="3670" spans="2:5" x14ac:dyDescent="0.4">
      <c r="B3670" s="17"/>
      <c r="C3670" s="15"/>
      <c r="D3670" s="15"/>
      <c r="E3670" s="18"/>
    </row>
    <row r="3671" spans="2:5" x14ac:dyDescent="0.4">
      <c r="B3671" s="17"/>
      <c r="C3671" s="15"/>
      <c r="D3671" s="15"/>
      <c r="E3671" s="18"/>
    </row>
    <row r="3672" spans="2:5" x14ac:dyDescent="0.4">
      <c r="B3672" s="17"/>
      <c r="C3672" s="15"/>
      <c r="D3672" s="15"/>
      <c r="E3672" s="18"/>
    </row>
    <row r="3673" spans="2:5" x14ac:dyDescent="0.4">
      <c r="B3673" s="17"/>
      <c r="C3673" s="15"/>
      <c r="D3673" s="15"/>
      <c r="E3673" s="18"/>
    </row>
    <row r="3674" spans="2:5" x14ac:dyDescent="0.4">
      <c r="B3674" s="17"/>
      <c r="C3674" s="15"/>
      <c r="D3674" s="15"/>
      <c r="E3674" s="18"/>
    </row>
    <row r="3675" spans="2:5" x14ac:dyDescent="0.4">
      <c r="B3675" s="17"/>
      <c r="C3675" s="15"/>
      <c r="D3675" s="15"/>
      <c r="E3675" s="18"/>
    </row>
    <row r="3676" spans="2:5" x14ac:dyDescent="0.4">
      <c r="B3676" s="17"/>
      <c r="C3676" s="15"/>
      <c r="D3676" s="15"/>
      <c r="E3676" s="18"/>
    </row>
    <row r="3677" spans="2:5" x14ac:dyDescent="0.4">
      <c r="B3677" s="17"/>
      <c r="C3677" s="15"/>
      <c r="D3677" s="15"/>
      <c r="E3677" s="18"/>
    </row>
    <row r="3678" spans="2:5" x14ac:dyDescent="0.4">
      <c r="B3678" s="17"/>
      <c r="C3678" s="15"/>
      <c r="D3678" s="15"/>
      <c r="E3678" s="18"/>
    </row>
    <row r="3679" spans="2:5" x14ac:dyDescent="0.4">
      <c r="B3679" s="17"/>
      <c r="C3679" s="15"/>
      <c r="D3679" s="15"/>
      <c r="E3679" s="18"/>
    </row>
    <row r="3680" spans="2:5" x14ac:dyDescent="0.4">
      <c r="B3680" s="17"/>
      <c r="C3680" s="15"/>
      <c r="D3680" s="15"/>
      <c r="E3680" s="18"/>
    </row>
    <row r="3681" spans="2:5" x14ac:dyDescent="0.4">
      <c r="B3681" s="17"/>
      <c r="C3681" s="15"/>
      <c r="D3681" s="15"/>
      <c r="E3681" s="18"/>
    </row>
    <row r="3682" spans="2:5" x14ac:dyDescent="0.4">
      <c r="B3682" s="17"/>
      <c r="C3682" s="15"/>
      <c r="D3682" s="15"/>
      <c r="E3682" s="18"/>
    </row>
    <row r="3683" spans="2:5" x14ac:dyDescent="0.4">
      <c r="B3683" s="17"/>
      <c r="C3683" s="15"/>
      <c r="D3683" s="15"/>
      <c r="E3683" s="18"/>
    </row>
    <row r="3684" spans="2:5" x14ac:dyDescent="0.4">
      <c r="B3684" s="17"/>
      <c r="C3684" s="15"/>
      <c r="D3684" s="15"/>
      <c r="E3684" s="18"/>
    </row>
    <row r="3685" spans="2:5" x14ac:dyDescent="0.4">
      <c r="B3685" s="17"/>
      <c r="C3685" s="15"/>
      <c r="D3685" s="15"/>
      <c r="E3685" s="18"/>
    </row>
    <row r="3686" spans="2:5" x14ac:dyDescent="0.4">
      <c r="B3686" s="17"/>
      <c r="C3686" s="15"/>
      <c r="D3686" s="15"/>
      <c r="E3686" s="18"/>
    </row>
    <row r="3687" spans="2:5" x14ac:dyDescent="0.4">
      <c r="B3687" s="17"/>
      <c r="C3687" s="15"/>
      <c r="D3687" s="15"/>
      <c r="E3687" s="18"/>
    </row>
    <row r="3688" spans="2:5" x14ac:dyDescent="0.4">
      <c r="B3688" s="17"/>
      <c r="C3688" s="15"/>
      <c r="D3688" s="15"/>
      <c r="E3688" s="18"/>
    </row>
    <row r="3689" spans="2:5" x14ac:dyDescent="0.4">
      <c r="B3689" s="17"/>
      <c r="C3689" s="15"/>
      <c r="D3689" s="15"/>
      <c r="E3689" s="18"/>
    </row>
    <row r="3690" spans="2:5" x14ac:dyDescent="0.4">
      <c r="B3690" s="17"/>
      <c r="C3690" s="15"/>
      <c r="D3690" s="15"/>
      <c r="E3690" s="18"/>
    </row>
    <row r="3691" spans="2:5" x14ac:dyDescent="0.4">
      <c r="B3691" s="17"/>
      <c r="C3691" s="15"/>
      <c r="D3691" s="15"/>
      <c r="E3691" s="18"/>
    </row>
    <row r="3692" spans="2:5" x14ac:dyDescent="0.4">
      <c r="B3692" s="17"/>
      <c r="C3692" s="15"/>
      <c r="D3692" s="15"/>
      <c r="E3692" s="18"/>
    </row>
    <row r="3693" spans="2:5" x14ac:dyDescent="0.4">
      <c r="B3693" s="17"/>
      <c r="C3693" s="15"/>
      <c r="D3693" s="15"/>
      <c r="E3693" s="18"/>
    </row>
    <row r="3694" spans="2:5" x14ac:dyDescent="0.4">
      <c r="B3694" s="17"/>
      <c r="C3694" s="15"/>
      <c r="D3694" s="15"/>
      <c r="E3694" s="18"/>
    </row>
    <row r="3695" spans="2:5" x14ac:dyDescent="0.4">
      <c r="B3695" s="17"/>
      <c r="C3695" s="15"/>
      <c r="D3695" s="15"/>
      <c r="E3695" s="18"/>
    </row>
    <row r="3696" spans="2:5" x14ac:dyDescent="0.4">
      <c r="B3696" s="17"/>
      <c r="C3696" s="15"/>
      <c r="D3696" s="15"/>
      <c r="E3696" s="18"/>
    </row>
    <row r="3697" spans="2:5" x14ac:dyDescent="0.4">
      <c r="B3697" s="17"/>
      <c r="C3697" s="15"/>
      <c r="D3697" s="15"/>
      <c r="E3697" s="18"/>
    </row>
    <row r="3698" spans="2:5" x14ac:dyDescent="0.4">
      <c r="B3698" s="17"/>
      <c r="C3698" s="15"/>
      <c r="D3698" s="15"/>
      <c r="E3698" s="18"/>
    </row>
    <row r="3699" spans="2:5" x14ac:dyDescent="0.4">
      <c r="B3699" s="17"/>
      <c r="C3699" s="15"/>
      <c r="D3699" s="15"/>
      <c r="E3699" s="18"/>
    </row>
    <row r="3700" spans="2:5" x14ac:dyDescent="0.4">
      <c r="B3700" s="17"/>
      <c r="C3700" s="15"/>
      <c r="D3700" s="15"/>
      <c r="E3700" s="18"/>
    </row>
    <row r="3701" spans="2:5" x14ac:dyDescent="0.4">
      <c r="B3701" s="17"/>
      <c r="C3701" s="15"/>
      <c r="D3701" s="15"/>
      <c r="E3701" s="18"/>
    </row>
    <row r="3702" spans="2:5" x14ac:dyDescent="0.4">
      <c r="B3702" s="17"/>
      <c r="C3702" s="15"/>
      <c r="D3702" s="15"/>
      <c r="E3702" s="18"/>
    </row>
    <row r="3703" spans="2:5" x14ac:dyDescent="0.4">
      <c r="B3703" s="17"/>
      <c r="C3703" s="15"/>
      <c r="D3703" s="15"/>
      <c r="E3703" s="18"/>
    </row>
    <row r="3704" spans="2:5" x14ac:dyDescent="0.4">
      <c r="B3704" s="17"/>
      <c r="C3704" s="15"/>
      <c r="D3704" s="15"/>
      <c r="E3704" s="18"/>
    </row>
    <row r="3705" spans="2:5" x14ac:dyDescent="0.4">
      <c r="B3705" s="17"/>
      <c r="C3705" s="15"/>
      <c r="D3705" s="15"/>
      <c r="E3705" s="18"/>
    </row>
    <row r="3706" spans="2:5" x14ac:dyDescent="0.4">
      <c r="B3706" s="17"/>
      <c r="C3706" s="15"/>
      <c r="D3706" s="15"/>
      <c r="E3706" s="18"/>
    </row>
    <row r="3707" spans="2:5" x14ac:dyDescent="0.4">
      <c r="B3707" s="17"/>
      <c r="C3707" s="15"/>
      <c r="D3707" s="15"/>
      <c r="E3707" s="18"/>
    </row>
    <row r="3708" spans="2:5" x14ac:dyDescent="0.4">
      <c r="B3708" s="17"/>
      <c r="C3708" s="15"/>
      <c r="D3708" s="15"/>
      <c r="E3708" s="18"/>
    </row>
    <row r="3709" spans="2:5" x14ac:dyDescent="0.4">
      <c r="B3709" s="17"/>
      <c r="C3709" s="15"/>
      <c r="D3709" s="15"/>
      <c r="E3709" s="18"/>
    </row>
    <row r="3710" spans="2:5" x14ac:dyDescent="0.4">
      <c r="B3710" s="17"/>
      <c r="C3710" s="15"/>
      <c r="D3710" s="15"/>
      <c r="E3710" s="18"/>
    </row>
    <row r="3711" spans="2:5" x14ac:dyDescent="0.4">
      <c r="B3711" s="17"/>
      <c r="C3711" s="15"/>
      <c r="D3711" s="15"/>
      <c r="E3711" s="18"/>
    </row>
    <row r="3712" spans="2:5" x14ac:dyDescent="0.4">
      <c r="B3712" s="17"/>
      <c r="C3712" s="15"/>
      <c r="D3712" s="15"/>
      <c r="E3712" s="18"/>
    </row>
    <row r="3713" spans="2:5" x14ac:dyDescent="0.4">
      <c r="B3713" s="17"/>
      <c r="C3713" s="15"/>
      <c r="D3713" s="15"/>
      <c r="E3713" s="18"/>
    </row>
    <row r="3714" spans="2:5" x14ac:dyDescent="0.4">
      <c r="B3714" s="17"/>
      <c r="C3714" s="15"/>
      <c r="D3714" s="15"/>
      <c r="E3714" s="18"/>
    </row>
    <row r="3715" spans="2:5" x14ac:dyDescent="0.4">
      <c r="B3715" s="17"/>
      <c r="C3715" s="15"/>
      <c r="D3715" s="15"/>
      <c r="E3715" s="18"/>
    </row>
    <row r="3716" spans="2:5" x14ac:dyDescent="0.4">
      <c r="B3716" s="17"/>
      <c r="C3716" s="15"/>
      <c r="D3716" s="15"/>
      <c r="E3716" s="18"/>
    </row>
    <row r="3717" spans="2:5" x14ac:dyDescent="0.4">
      <c r="B3717" s="17"/>
      <c r="C3717" s="15"/>
      <c r="D3717" s="15"/>
      <c r="E3717" s="18"/>
    </row>
    <row r="3718" spans="2:5" x14ac:dyDescent="0.4">
      <c r="B3718" s="17"/>
      <c r="C3718" s="15"/>
      <c r="D3718" s="15"/>
      <c r="E3718" s="18"/>
    </row>
    <row r="3719" spans="2:5" x14ac:dyDescent="0.4">
      <c r="B3719" s="17"/>
      <c r="C3719" s="15"/>
      <c r="D3719" s="15"/>
      <c r="E3719" s="18"/>
    </row>
    <row r="3720" spans="2:5" x14ac:dyDescent="0.4">
      <c r="B3720" s="17"/>
      <c r="C3720" s="15"/>
      <c r="D3720" s="15"/>
      <c r="E3720" s="18"/>
    </row>
    <row r="3721" spans="2:5" x14ac:dyDescent="0.4">
      <c r="B3721" s="17"/>
      <c r="C3721" s="15"/>
      <c r="D3721" s="15"/>
      <c r="E3721" s="18"/>
    </row>
    <row r="3722" spans="2:5" x14ac:dyDescent="0.4">
      <c r="B3722" s="17"/>
      <c r="C3722" s="15"/>
      <c r="D3722" s="15"/>
      <c r="E3722" s="18"/>
    </row>
    <row r="3723" spans="2:5" x14ac:dyDescent="0.4">
      <c r="B3723" s="17"/>
      <c r="C3723" s="15"/>
      <c r="D3723" s="15"/>
      <c r="E3723" s="18"/>
    </row>
    <row r="3724" spans="2:5" x14ac:dyDescent="0.4">
      <c r="B3724" s="17"/>
      <c r="C3724" s="15"/>
      <c r="D3724" s="15"/>
      <c r="E3724" s="18"/>
    </row>
    <row r="3725" spans="2:5" x14ac:dyDescent="0.4">
      <c r="B3725" s="17"/>
      <c r="C3725" s="15"/>
      <c r="D3725" s="15"/>
      <c r="E3725" s="18"/>
    </row>
    <row r="3726" spans="2:5" x14ac:dyDescent="0.4">
      <c r="B3726" s="17"/>
      <c r="C3726" s="15"/>
      <c r="D3726" s="15"/>
      <c r="E3726" s="18"/>
    </row>
    <row r="3727" spans="2:5" x14ac:dyDescent="0.4">
      <c r="B3727" s="17"/>
      <c r="C3727" s="15"/>
      <c r="D3727" s="15"/>
      <c r="E3727" s="18"/>
    </row>
    <row r="3728" spans="2:5" x14ac:dyDescent="0.4">
      <c r="B3728" s="17"/>
      <c r="C3728" s="15"/>
      <c r="D3728" s="15"/>
      <c r="E3728" s="18"/>
    </row>
    <row r="3729" spans="2:5" x14ac:dyDescent="0.4">
      <c r="B3729" s="17"/>
      <c r="C3729" s="15"/>
      <c r="D3729" s="15"/>
      <c r="E3729" s="18"/>
    </row>
    <row r="3730" spans="2:5" x14ac:dyDescent="0.4">
      <c r="B3730" s="17"/>
      <c r="C3730" s="15"/>
      <c r="D3730" s="15"/>
      <c r="E3730" s="18"/>
    </row>
    <row r="3731" spans="2:5" x14ac:dyDescent="0.4">
      <c r="B3731" s="17"/>
      <c r="C3731" s="15"/>
      <c r="D3731" s="15"/>
      <c r="E3731" s="18"/>
    </row>
    <row r="3732" spans="2:5" x14ac:dyDescent="0.4">
      <c r="B3732" s="17"/>
      <c r="C3732" s="15"/>
      <c r="D3732" s="15"/>
      <c r="E3732" s="18"/>
    </row>
    <row r="3733" spans="2:5" x14ac:dyDescent="0.4">
      <c r="B3733" s="17"/>
      <c r="C3733" s="15"/>
      <c r="D3733" s="15"/>
      <c r="E3733" s="18"/>
    </row>
    <row r="3734" spans="2:5" x14ac:dyDescent="0.4">
      <c r="B3734" s="17"/>
      <c r="C3734" s="15"/>
      <c r="D3734" s="15"/>
      <c r="E3734" s="18"/>
    </row>
    <row r="3735" spans="2:5" x14ac:dyDescent="0.4">
      <c r="B3735" s="17"/>
      <c r="C3735" s="15"/>
      <c r="D3735" s="15"/>
      <c r="E3735" s="18"/>
    </row>
    <row r="3736" spans="2:5" x14ac:dyDescent="0.4">
      <c r="B3736" s="17"/>
      <c r="C3736" s="15"/>
      <c r="D3736" s="15"/>
      <c r="E3736" s="18"/>
    </row>
    <row r="3737" spans="2:5" x14ac:dyDescent="0.4">
      <c r="B3737" s="17"/>
      <c r="C3737" s="15"/>
      <c r="D3737" s="15"/>
      <c r="E3737" s="18"/>
    </row>
    <row r="3738" spans="2:5" x14ac:dyDescent="0.4">
      <c r="B3738" s="17"/>
      <c r="C3738" s="15"/>
      <c r="D3738" s="15"/>
      <c r="E3738" s="18"/>
    </row>
    <row r="3739" spans="2:5" x14ac:dyDescent="0.4">
      <c r="B3739" s="17"/>
      <c r="C3739" s="15"/>
      <c r="D3739" s="15"/>
      <c r="E3739" s="18"/>
    </row>
    <row r="3740" spans="2:5" x14ac:dyDescent="0.4">
      <c r="B3740" s="17"/>
      <c r="C3740" s="15"/>
      <c r="D3740" s="15"/>
      <c r="E3740" s="18"/>
    </row>
    <row r="3741" spans="2:5" x14ac:dyDescent="0.4">
      <c r="B3741" s="17"/>
      <c r="C3741" s="15"/>
      <c r="D3741" s="15"/>
      <c r="E3741" s="18"/>
    </row>
    <row r="3742" spans="2:5" x14ac:dyDescent="0.4">
      <c r="B3742" s="17"/>
      <c r="C3742" s="15"/>
      <c r="D3742" s="15"/>
      <c r="E3742" s="18"/>
    </row>
    <row r="3743" spans="2:5" x14ac:dyDescent="0.4">
      <c r="B3743" s="17"/>
      <c r="C3743" s="15"/>
      <c r="D3743" s="15"/>
      <c r="E3743" s="18"/>
    </row>
    <row r="3744" spans="2:5" x14ac:dyDescent="0.4">
      <c r="B3744" s="17"/>
      <c r="C3744" s="15"/>
      <c r="D3744" s="15"/>
      <c r="E3744" s="18"/>
    </row>
    <row r="3745" spans="2:5" x14ac:dyDescent="0.4">
      <c r="B3745" s="17"/>
      <c r="C3745" s="15"/>
      <c r="D3745" s="15"/>
      <c r="E3745" s="18"/>
    </row>
    <row r="3746" spans="2:5" x14ac:dyDescent="0.4">
      <c r="B3746" s="17"/>
      <c r="C3746" s="15"/>
      <c r="D3746" s="15"/>
      <c r="E3746" s="18"/>
    </row>
    <row r="3747" spans="2:5" x14ac:dyDescent="0.4">
      <c r="B3747" s="17"/>
      <c r="C3747" s="15"/>
      <c r="D3747" s="15"/>
      <c r="E3747" s="18"/>
    </row>
    <row r="3748" spans="2:5" x14ac:dyDescent="0.4">
      <c r="B3748" s="17"/>
      <c r="C3748" s="15"/>
      <c r="D3748" s="15"/>
      <c r="E3748" s="18"/>
    </row>
    <row r="3749" spans="2:5" x14ac:dyDescent="0.4">
      <c r="B3749" s="17"/>
      <c r="C3749" s="15"/>
      <c r="D3749" s="15"/>
      <c r="E3749" s="18"/>
    </row>
    <row r="3750" spans="2:5" x14ac:dyDescent="0.4">
      <c r="B3750" s="17"/>
      <c r="C3750" s="15"/>
      <c r="D3750" s="15"/>
      <c r="E3750" s="18"/>
    </row>
    <row r="3751" spans="2:5" x14ac:dyDescent="0.4">
      <c r="B3751" s="17"/>
      <c r="C3751" s="15"/>
      <c r="D3751" s="15"/>
      <c r="E3751" s="18"/>
    </row>
    <row r="3752" spans="2:5" x14ac:dyDescent="0.4">
      <c r="B3752" s="17"/>
      <c r="C3752" s="15"/>
      <c r="D3752" s="15"/>
      <c r="E3752" s="18"/>
    </row>
    <row r="3753" spans="2:5" x14ac:dyDescent="0.4">
      <c r="B3753" s="17"/>
      <c r="C3753" s="15"/>
      <c r="D3753" s="15"/>
      <c r="E3753" s="18"/>
    </row>
    <row r="3754" spans="2:5" x14ac:dyDescent="0.4">
      <c r="B3754" s="17"/>
      <c r="C3754" s="15"/>
      <c r="D3754" s="15"/>
      <c r="E3754" s="18"/>
    </row>
    <row r="3755" spans="2:5" x14ac:dyDescent="0.4">
      <c r="B3755" s="17"/>
      <c r="C3755" s="15"/>
      <c r="D3755" s="15"/>
      <c r="E3755" s="18"/>
    </row>
    <row r="3756" spans="2:5" x14ac:dyDescent="0.4">
      <c r="B3756" s="17"/>
      <c r="C3756" s="15"/>
      <c r="D3756" s="15"/>
      <c r="E3756" s="18"/>
    </row>
    <row r="3757" spans="2:5" x14ac:dyDescent="0.4">
      <c r="B3757" s="17"/>
      <c r="C3757" s="15"/>
      <c r="D3757" s="15"/>
      <c r="E3757" s="18"/>
    </row>
    <row r="3758" spans="2:5" x14ac:dyDescent="0.4">
      <c r="B3758" s="17"/>
      <c r="C3758" s="15"/>
      <c r="D3758" s="15"/>
      <c r="E3758" s="18"/>
    </row>
    <row r="3759" spans="2:5" x14ac:dyDescent="0.4">
      <c r="B3759" s="17"/>
      <c r="C3759" s="15"/>
      <c r="D3759" s="15"/>
      <c r="E3759" s="18"/>
    </row>
    <row r="3760" spans="2:5" x14ac:dyDescent="0.4">
      <c r="B3760" s="17"/>
      <c r="C3760" s="15"/>
      <c r="D3760" s="15"/>
      <c r="E3760" s="18"/>
    </row>
    <row r="3761" spans="2:5" x14ac:dyDescent="0.4">
      <c r="B3761" s="17"/>
      <c r="C3761" s="15"/>
      <c r="D3761" s="15"/>
      <c r="E3761" s="18"/>
    </row>
    <row r="3762" spans="2:5" x14ac:dyDescent="0.4">
      <c r="B3762" s="17"/>
      <c r="C3762" s="15"/>
      <c r="D3762" s="15"/>
      <c r="E3762" s="18"/>
    </row>
    <row r="3763" spans="2:5" x14ac:dyDescent="0.4">
      <c r="B3763" s="17"/>
      <c r="C3763" s="15"/>
      <c r="D3763" s="15"/>
      <c r="E3763" s="18"/>
    </row>
    <row r="3764" spans="2:5" x14ac:dyDescent="0.4">
      <c r="B3764" s="17"/>
      <c r="C3764" s="15"/>
      <c r="D3764" s="15"/>
      <c r="E3764" s="18"/>
    </row>
    <row r="3765" spans="2:5" x14ac:dyDescent="0.4">
      <c r="B3765" s="17"/>
      <c r="C3765" s="15"/>
      <c r="D3765" s="15"/>
      <c r="E3765" s="18"/>
    </row>
    <row r="3766" spans="2:5" x14ac:dyDescent="0.4">
      <c r="B3766" s="17"/>
      <c r="C3766" s="15"/>
      <c r="D3766" s="15"/>
      <c r="E3766" s="18"/>
    </row>
    <row r="3767" spans="2:5" x14ac:dyDescent="0.4">
      <c r="B3767" s="17"/>
      <c r="C3767" s="15"/>
      <c r="D3767" s="15"/>
      <c r="E3767" s="18"/>
    </row>
    <row r="3768" spans="2:5" x14ac:dyDescent="0.4">
      <c r="B3768" s="17"/>
      <c r="C3768" s="15"/>
      <c r="D3768" s="15"/>
      <c r="E3768" s="18"/>
    </row>
    <row r="3769" spans="2:5" x14ac:dyDescent="0.4">
      <c r="B3769" s="17"/>
      <c r="C3769" s="15"/>
      <c r="D3769" s="15"/>
      <c r="E3769" s="18"/>
    </row>
    <row r="3770" spans="2:5" x14ac:dyDescent="0.4">
      <c r="B3770" s="17"/>
      <c r="C3770" s="15"/>
      <c r="D3770" s="15"/>
      <c r="E3770" s="18"/>
    </row>
    <row r="3771" spans="2:5" x14ac:dyDescent="0.4">
      <c r="B3771" s="17"/>
      <c r="C3771" s="15"/>
      <c r="D3771" s="15"/>
      <c r="E3771" s="18"/>
    </row>
    <row r="3772" spans="2:5" x14ac:dyDescent="0.4">
      <c r="B3772" s="17"/>
      <c r="C3772" s="15"/>
      <c r="D3772" s="15"/>
      <c r="E3772" s="18"/>
    </row>
    <row r="3773" spans="2:5" x14ac:dyDescent="0.4">
      <c r="B3773" s="17"/>
      <c r="C3773" s="15"/>
      <c r="D3773" s="15"/>
      <c r="E3773" s="18"/>
    </row>
    <row r="3774" spans="2:5" x14ac:dyDescent="0.4">
      <c r="B3774" s="17"/>
      <c r="C3774" s="15"/>
      <c r="D3774" s="15"/>
      <c r="E3774" s="18"/>
    </row>
    <row r="3775" spans="2:5" x14ac:dyDescent="0.4">
      <c r="B3775" s="17"/>
      <c r="C3775" s="15"/>
      <c r="D3775" s="15"/>
      <c r="E3775" s="18"/>
    </row>
    <row r="3776" spans="2:5" x14ac:dyDescent="0.4">
      <c r="B3776" s="17"/>
      <c r="C3776" s="15"/>
      <c r="D3776" s="15"/>
      <c r="E3776" s="18"/>
    </row>
    <row r="3777" spans="2:5" x14ac:dyDescent="0.4">
      <c r="B3777" s="17"/>
      <c r="C3777" s="15"/>
      <c r="D3777" s="15"/>
      <c r="E3777" s="18"/>
    </row>
    <row r="3778" spans="2:5" x14ac:dyDescent="0.4">
      <c r="B3778" s="17"/>
      <c r="C3778" s="15"/>
      <c r="D3778" s="15"/>
      <c r="E3778" s="18"/>
    </row>
    <row r="3779" spans="2:5" x14ac:dyDescent="0.4">
      <c r="B3779" s="17"/>
      <c r="C3779" s="15"/>
      <c r="D3779" s="15"/>
      <c r="E3779" s="18"/>
    </row>
    <row r="3780" spans="2:5" x14ac:dyDescent="0.4">
      <c r="B3780" s="17"/>
      <c r="C3780" s="15"/>
      <c r="D3780" s="15"/>
      <c r="E3780" s="18"/>
    </row>
    <row r="3781" spans="2:5" x14ac:dyDescent="0.4">
      <c r="B3781" s="17"/>
      <c r="C3781" s="15"/>
      <c r="D3781" s="15"/>
      <c r="E3781" s="18"/>
    </row>
    <row r="3782" spans="2:5" x14ac:dyDescent="0.4">
      <c r="B3782" s="17"/>
      <c r="C3782" s="15"/>
      <c r="D3782" s="15"/>
      <c r="E3782" s="18"/>
    </row>
    <row r="3783" spans="2:5" x14ac:dyDescent="0.4">
      <c r="B3783" s="17"/>
      <c r="C3783" s="15"/>
      <c r="D3783" s="15"/>
      <c r="E3783" s="18"/>
    </row>
    <row r="3784" spans="2:5" x14ac:dyDescent="0.4">
      <c r="B3784" s="17"/>
      <c r="C3784" s="15"/>
      <c r="D3784" s="15"/>
      <c r="E3784" s="18"/>
    </row>
    <row r="3785" spans="2:5" x14ac:dyDescent="0.4">
      <c r="B3785" s="17"/>
      <c r="C3785" s="15"/>
      <c r="D3785" s="15"/>
      <c r="E3785" s="18"/>
    </row>
    <row r="3786" spans="2:5" x14ac:dyDescent="0.4">
      <c r="B3786" s="17"/>
      <c r="C3786" s="15"/>
      <c r="D3786" s="15"/>
      <c r="E3786" s="18"/>
    </row>
    <row r="3787" spans="2:5" x14ac:dyDescent="0.4">
      <c r="B3787" s="17"/>
      <c r="C3787" s="15"/>
      <c r="D3787" s="15"/>
      <c r="E3787" s="18"/>
    </row>
    <row r="3788" spans="2:5" x14ac:dyDescent="0.4">
      <c r="B3788" s="17"/>
      <c r="C3788" s="15"/>
      <c r="D3788" s="15"/>
      <c r="E3788" s="18"/>
    </row>
    <row r="3789" spans="2:5" x14ac:dyDescent="0.4">
      <c r="B3789" s="17"/>
      <c r="C3789" s="15"/>
      <c r="D3789" s="15"/>
      <c r="E3789" s="18"/>
    </row>
    <row r="3790" spans="2:5" x14ac:dyDescent="0.4">
      <c r="B3790" s="17"/>
      <c r="C3790" s="15"/>
      <c r="D3790" s="15"/>
      <c r="E3790" s="18"/>
    </row>
    <row r="3791" spans="2:5" x14ac:dyDescent="0.4">
      <c r="B3791" s="17"/>
      <c r="C3791" s="15"/>
      <c r="D3791" s="15"/>
      <c r="E3791" s="18"/>
    </row>
    <row r="3792" spans="2:5" x14ac:dyDescent="0.4">
      <c r="B3792" s="17"/>
      <c r="C3792" s="15"/>
      <c r="D3792" s="15"/>
      <c r="E3792" s="18"/>
    </row>
    <row r="3793" spans="2:5" x14ac:dyDescent="0.4">
      <c r="B3793" s="17"/>
      <c r="C3793" s="15"/>
      <c r="D3793" s="15"/>
      <c r="E3793" s="18"/>
    </row>
    <row r="3794" spans="2:5" x14ac:dyDescent="0.4">
      <c r="B3794" s="17"/>
      <c r="C3794" s="15"/>
      <c r="D3794" s="15"/>
      <c r="E3794" s="18"/>
    </row>
    <row r="3795" spans="2:5" x14ac:dyDescent="0.4">
      <c r="B3795" s="17"/>
      <c r="C3795" s="15"/>
      <c r="D3795" s="15"/>
      <c r="E3795" s="18"/>
    </row>
    <row r="3796" spans="2:5" x14ac:dyDescent="0.4">
      <c r="B3796" s="17"/>
      <c r="C3796" s="15"/>
      <c r="D3796" s="15"/>
      <c r="E3796" s="18"/>
    </row>
    <row r="3797" spans="2:5" x14ac:dyDescent="0.4">
      <c r="B3797" s="17"/>
      <c r="C3797" s="15"/>
      <c r="D3797" s="15"/>
      <c r="E3797" s="18"/>
    </row>
    <row r="3798" spans="2:5" x14ac:dyDescent="0.4">
      <c r="B3798" s="17"/>
      <c r="C3798" s="15"/>
      <c r="D3798" s="15"/>
      <c r="E3798" s="18"/>
    </row>
    <row r="3799" spans="2:5" x14ac:dyDescent="0.4">
      <c r="B3799" s="17"/>
      <c r="C3799" s="15"/>
      <c r="D3799" s="15"/>
      <c r="E3799" s="18"/>
    </row>
    <row r="3800" spans="2:5" x14ac:dyDescent="0.4">
      <c r="B3800" s="17"/>
      <c r="C3800" s="15"/>
      <c r="D3800" s="15"/>
      <c r="E3800" s="18"/>
    </row>
    <row r="3801" spans="2:5" x14ac:dyDescent="0.4">
      <c r="B3801" s="17"/>
      <c r="C3801" s="15"/>
      <c r="D3801" s="15"/>
      <c r="E3801" s="18"/>
    </row>
    <row r="3802" spans="2:5" x14ac:dyDescent="0.4">
      <c r="B3802" s="17"/>
      <c r="C3802" s="15"/>
      <c r="D3802" s="15"/>
      <c r="E3802" s="18"/>
    </row>
    <row r="3803" spans="2:5" x14ac:dyDescent="0.4">
      <c r="B3803" s="17"/>
      <c r="C3803" s="15"/>
      <c r="D3803" s="15"/>
      <c r="E3803" s="18"/>
    </row>
    <row r="3804" spans="2:5" x14ac:dyDescent="0.4">
      <c r="B3804" s="17"/>
      <c r="C3804" s="15"/>
      <c r="D3804" s="15"/>
      <c r="E3804" s="18"/>
    </row>
    <row r="3805" spans="2:5" x14ac:dyDescent="0.4">
      <c r="B3805" s="17"/>
      <c r="C3805" s="15"/>
      <c r="D3805" s="15"/>
      <c r="E3805" s="18"/>
    </row>
    <row r="3806" spans="2:5" x14ac:dyDescent="0.4">
      <c r="B3806" s="17"/>
      <c r="C3806" s="15"/>
      <c r="D3806" s="15"/>
      <c r="E3806" s="18"/>
    </row>
    <row r="3807" spans="2:5" x14ac:dyDescent="0.4">
      <c r="B3807" s="17"/>
      <c r="C3807" s="15"/>
      <c r="D3807" s="15"/>
      <c r="E3807" s="18"/>
    </row>
    <row r="3808" spans="2:5" x14ac:dyDescent="0.4">
      <c r="B3808" s="17"/>
      <c r="C3808" s="15"/>
      <c r="D3808" s="15"/>
      <c r="E3808" s="18"/>
    </row>
    <row r="3809" spans="2:5" x14ac:dyDescent="0.4">
      <c r="B3809" s="17"/>
      <c r="C3809" s="15"/>
      <c r="D3809" s="15"/>
      <c r="E3809" s="18"/>
    </row>
    <row r="3810" spans="2:5" x14ac:dyDescent="0.4">
      <c r="B3810" s="17"/>
      <c r="C3810" s="15"/>
      <c r="D3810" s="15"/>
      <c r="E3810" s="18"/>
    </row>
    <row r="3811" spans="2:5" x14ac:dyDescent="0.4">
      <c r="B3811" s="17"/>
      <c r="C3811" s="15"/>
      <c r="D3811" s="15"/>
      <c r="E3811" s="18"/>
    </row>
    <row r="3812" spans="2:5" x14ac:dyDescent="0.4">
      <c r="B3812" s="17"/>
      <c r="C3812" s="15"/>
      <c r="D3812" s="15"/>
      <c r="E3812" s="18"/>
    </row>
    <row r="3813" spans="2:5" x14ac:dyDescent="0.4">
      <c r="B3813" s="17"/>
      <c r="C3813" s="15"/>
      <c r="D3813" s="15"/>
      <c r="E3813" s="18"/>
    </row>
    <row r="3814" spans="2:5" x14ac:dyDescent="0.4">
      <c r="B3814" s="17"/>
      <c r="C3814" s="15"/>
      <c r="D3814" s="15"/>
      <c r="E3814" s="18"/>
    </row>
    <row r="3815" spans="2:5" x14ac:dyDescent="0.4">
      <c r="B3815" s="17"/>
      <c r="C3815" s="15"/>
      <c r="D3815" s="15"/>
      <c r="E3815" s="18"/>
    </row>
    <row r="3816" spans="2:5" x14ac:dyDescent="0.4">
      <c r="B3816" s="17"/>
      <c r="C3816" s="15"/>
      <c r="D3816" s="15"/>
      <c r="E3816" s="18"/>
    </row>
    <row r="3817" spans="2:5" x14ac:dyDescent="0.4">
      <c r="B3817" s="17"/>
      <c r="C3817" s="15"/>
      <c r="D3817" s="15"/>
      <c r="E3817" s="18"/>
    </row>
    <row r="3818" spans="2:5" x14ac:dyDescent="0.4">
      <c r="B3818" s="17"/>
      <c r="C3818" s="15"/>
      <c r="D3818" s="15"/>
      <c r="E3818" s="18"/>
    </row>
    <row r="3819" spans="2:5" x14ac:dyDescent="0.4">
      <c r="B3819" s="17"/>
      <c r="C3819" s="15"/>
      <c r="D3819" s="15"/>
      <c r="E3819" s="18"/>
    </row>
    <row r="3820" spans="2:5" x14ac:dyDescent="0.4">
      <c r="B3820" s="17"/>
      <c r="C3820" s="15"/>
      <c r="D3820" s="15"/>
      <c r="E3820" s="18"/>
    </row>
    <row r="3821" spans="2:5" x14ac:dyDescent="0.4">
      <c r="B3821" s="17"/>
      <c r="C3821" s="15"/>
      <c r="D3821" s="15"/>
      <c r="E3821" s="18"/>
    </row>
    <row r="3822" spans="2:5" x14ac:dyDescent="0.4">
      <c r="B3822" s="17"/>
      <c r="C3822" s="15"/>
      <c r="D3822" s="15"/>
      <c r="E3822" s="18"/>
    </row>
    <row r="3823" spans="2:5" x14ac:dyDescent="0.4">
      <c r="B3823" s="17"/>
      <c r="C3823" s="15"/>
      <c r="D3823" s="15"/>
      <c r="E3823" s="18"/>
    </row>
    <row r="3824" spans="2:5" x14ac:dyDescent="0.4">
      <c r="B3824" s="17"/>
      <c r="C3824" s="15"/>
      <c r="D3824" s="15"/>
      <c r="E3824" s="18"/>
    </row>
    <row r="3825" spans="2:5" x14ac:dyDescent="0.4">
      <c r="B3825" s="17"/>
      <c r="C3825" s="15"/>
      <c r="D3825" s="15"/>
      <c r="E3825" s="18"/>
    </row>
    <row r="3826" spans="2:5" x14ac:dyDescent="0.4">
      <c r="B3826" s="17"/>
      <c r="C3826" s="15"/>
      <c r="D3826" s="15"/>
      <c r="E3826" s="18"/>
    </row>
    <row r="3827" spans="2:5" x14ac:dyDescent="0.4">
      <c r="B3827" s="17"/>
      <c r="C3827" s="15"/>
      <c r="D3827" s="15"/>
      <c r="E3827" s="18"/>
    </row>
    <row r="3828" spans="2:5" x14ac:dyDescent="0.4">
      <c r="B3828" s="17"/>
      <c r="C3828" s="15"/>
      <c r="D3828" s="15"/>
      <c r="E3828" s="18"/>
    </row>
    <row r="3829" spans="2:5" x14ac:dyDescent="0.4">
      <c r="B3829" s="17"/>
      <c r="C3829" s="15"/>
      <c r="D3829" s="15"/>
      <c r="E3829" s="18"/>
    </row>
    <row r="3830" spans="2:5" x14ac:dyDescent="0.4">
      <c r="B3830" s="17"/>
      <c r="C3830" s="15"/>
      <c r="D3830" s="15"/>
      <c r="E3830" s="18"/>
    </row>
    <row r="3831" spans="2:5" x14ac:dyDescent="0.4">
      <c r="B3831" s="17"/>
      <c r="C3831" s="15"/>
      <c r="D3831" s="15"/>
      <c r="E3831" s="18"/>
    </row>
    <row r="3832" spans="2:5" x14ac:dyDescent="0.4">
      <c r="B3832" s="17"/>
      <c r="C3832" s="15"/>
      <c r="D3832" s="15"/>
      <c r="E3832" s="18"/>
    </row>
    <row r="3833" spans="2:5" x14ac:dyDescent="0.4">
      <c r="B3833" s="17"/>
      <c r="C3833" s="15"/>
      <c r="D3833" s="15"/>
      <c r="E3833" s="18"/>
    </row>
    <row r="3834" spans="2:5" x14ac:dyDescent="0.4">
      <c r="B3834" s="17"/>
      <c r="C3834" s="15"/>
      <c r="D3834" s="15"/>
      <c r="E3834" s="18"/>
    </row>
    <row r="3835" spans="2:5" x14ac:dyDescent="0.4">
      <c r="B3835" s="17"/>
      <c r="C3835" s="15"/>
      <c r="D3835" s="15"/>
      <c r="E3835" s="18"/>
    </row>
    <row r="3836" spans="2:5" x14ac:dyDescent="0.4">
      <c r="B3836" s="17"/>
      <c r="C3836" s="15"/>
      <c r="D3836" s="15"/>
      <c r="E3836" s="18"/>
    </row>
    <row r="3837" spans="2:5" x14ac:dyDescent="0.4">
      <c r="B3837" s="17"/>
      <c r="C3837" s="15"/>
      <c r="D3837" s="15"/>
      <c r="E3837" s="18"/>
    </row>
    <row r="3838" spans="2:5" x14ac:dyDescent="0.4">
      <c r="B3838" s="17"/>
      <c r="C3838" s="15"/>
      <c r="D3838" s="15"/>
      <c r="E3838" s="18"/>
    </row>
    <row r="3839" spans="2:5" x14ac:dyDescent="0.4">
      <c r="B3839" s="17"/>
      <c r="C3839" s="15"/>
      <c r="D3839" s="15"/>
      <c r="E3839" s="18"/>
    </row>
    <row r="3840" spans="2:5" x14ac:dyDescent="0.4">
      <c r="B3840" s="17"/>
      <c r="C3840" s="15"/>
      <c r="D3840" s="15"/>
      <c r="E3840" s="18"/>
    </row>
    <row r="3841" spans="2:5" x14ac:dyDescent="0.4">
      <c r="B3841" s="17"/>
      <c r="C3841" s="15"/>
      <c r="D3841" s="15"/>
      <c r="E3841" s="18"/>
    </row>
    <row r="3842" spans="2:5" x14ac:dyDescent="0.4">
      <c r="B3842" s="17"/>
      <c r="C3842" s="15"/>
      <c r="D3842" s="15"/>
      <c r="E3842" s="18"/>
    </row>
    <row r="3843" spans="2:5" x14ac:dyDescent="0.4">
      <c r="B3843" s="17"/>
      <c r="C3843" s="15"/>
      <c r="D3843" s="15"/>
      <c r="E3843" s="18"/>
    </row>
    <row r="3844" spans="2:5" x14ac:dyDescent="0.4">
      <c r="B3844" s="17"/>
      <c r="C3844" s="15"/>
      <c r="D3844" s="15"/>
      <c r="E3844" s="18"/>
    </row>
    <row r="3845" spans="2:5" x14ac:dyDescent="0.4">
      <c r="B3845" s="17"/>
      <c r="C3845" s="15"/>
      <c r="D3845" s="15"/>
      <c r="E3845" s="18"/>
    </row>
    <row r="3846" spans="2:5" x14ac:dyDescent="0.4">
      <c r="B3846" s="17"/>
      <c r="C3846" s="15"/>
      <c r="D3846" s="15"/>
      <c r="E3846" s="18"/>
    </row>
    <row r="3847" spans="2:5" x14ac:dyDescent="0.4">
      <c r="B3847" s="17"/>
      <c r="C3847" s="15"/>
      <c r="D3847" s="15"/>
      <c r="E3847" s="18"/>
    </row>
    <row r="3848" spans="2:5" x14ac:dyDescent="0.4">
      <c r="B3848" s="17"/>
      <c r="C3848" s="15"/>
      <c r="D3848" s="15"/>
      <c r="E3848" s="18"/>
    </row>
    <row r="3849" spans="2:5" x14ac:dyDescent="0.4">
      <c r="B3849" s="17"/>
      <c r="C3849" s="15"/>
      <c r="D3849" s="15"/>
      <c r="E3849" s="18"/>
    </row>
    <row r="3850" spans="2:5" x14ac:dyDescent="0.4">
      <c r="B3850" s="17"/>
      <c r="C3850" s="15"/>
      <c r="D3850" s="15"/>
      <c r="E3850" s="18"/>
    </row>
    <row r="3851" spans="2:5" x14ac:dyDescent="0.4">
      <c r="B3851" s="17"/>
      <c r="C3851" s="15"/>
      <c r="D3851" s="15"/>
      <c r="E3851" s="18"/>
    </row>
    <row r="3852" spans="2:5" x14ac:dyDescent="0.4">
      <c r="B3852" s="17"/>
      <c r="C3852" s="15"/>
      <c r="D3852" s="15"/>
      <c r="E3852" s="18"/>
    </row>
    <row r="3853" spans="2:5" x14ac:dyDescent="0.4">
      <c r="B3853" s="17"/>
      <c r="C3853" s="15"/>
      <c r="D3853" s="15"/>
      <c r="E3853" s="18"/>
    </row>
    <row r="3854" spans="2:5" x14ac:dyDescent="0.4">
      <c r="B3854" s="17"/>
      <c r="C3854" s="15"/>
      <c r="D3854" s="15"/>
      <c r="E3854" s="18"/>
    </row>
    <row r="3855" spans="2:5" x14ac:dyDescent="0.4">
      <c r="B3855" s="17"/>
      <c r="C3855" s="15"/>
      <c r="D3855" s="15"/>
      <c r="E3855" s="18"/>
    </row>
    <row r="3856" spans="2:5" x14ac:dyDescent="0.4">
      <c r="B3856" s="17"/>
      <c r="C3856" s="15"/>
      <c r="D3856" s="15"/>
      <c r="E3856" s="18"/>
    </row>
    <row r="3857" spans="2:5" x14ac:dyDescent="0.4">
      <c r="B3857" s="17"/>
      <c r="C3857" s="15"/>
      <c r="D3857" s="15"/>
      <c r="E3857" s="18"/>
    </row>
    <row r="3858" spans="2:5" x14ac:dyDescent="0.4">
      <c r="B3858" s="17"/>
      <c r="C3858" s="15"/>
      <c r="D3858" s="15"/>
      <c r="E3858" s="18"/>
    </row>
    <row r="3859" spans="2:5" x14ac:dyDescent="0.4">
      <c r="B3859" s="17"/>
      <c r="C3859" s="15"/>
      <c r="D3859" s="15"/>
      <c r="E3859" s="18"/>
    </row>
    <row r="3860" spans="2:5" x14ac:dyDescent="0.4">
      <c r="B3860" s="17"/>
      <c r="C3860" s="15"/>
      <c r="D3860" s="15"/>
      <c r="E3860" s="18"/>
    </row>
    <row r="3861" spans="2:5" x14ac:dyDescent="0.4">
      <c r="B3861" s="17"/>
      <c r="C3861" s="15"/>
      <c r="D3861" s="15"/>
      <c r="E3861" s="18"/>
    </row>
    <row r="3862" spans="2:5" x14ac:dyDescent="0.4">
      <c r="B3862" s="17"/>
      <c r="C3862" s="15"/>
      <c r="D3862" s="15"/>
      <c r="E3862" s="18"/>
    </row>
    <row r="3863" spans="2:5" x14ac:dyDescent="0.4">
      <c r="B3863" s="17"/>
      <c r="C3863" s="15"/>
      <c r="D3863" s="15"/>
      <c r="E3863" s="18"/>
    </row>
    <row r="3864" spans="2:5" x14ac:dyDescent="0.4">
      <c r="B3864" s="17"/>
      <c r="C3864" s="15"/>
      <c r="D3864" s="15"/>
      <c r="E3864" s="18"/>
    </row>
    <row r="3865" spans="2:5" x14ac:dyDescent="0.4">
      <c r="B3865" s="17"/>
      <c r="C3865" s="15"/>
      <c r="D3865" s="15"/>
      <c r="E3865" s="18"/>
    </row>
    <row r="3866" spans="2:5" x14ac:dyDescent="0.4">
      <c r="B3866" s="17"/>
      <c r="C3866" s="15"/>
      <c r="D3866" s="15"/>
      <c r="E3866" s="18"/>
    </row>
    <row r="3867" spans="2:5" x14ac:dyDescent="0.4">
      <c r="B3867" s="17"/>
      <c r="C3867" s="15"/>
      <c r="D3867" s="15"/>
      <c r="E3867" s="18"/>
    </row>
    <row r="3868" spans="2:5" x14ac:dyDescent="0.4">
      <c r="B3868" s="17"/>
      <c r="C3868" s="15"/>
      <c r="D3868" s="15"/>
      <c r="E3868" s="18"/>
    </row>
    <row r="3869" spans="2:5" x14ac:dyDescent="0.4">
      <c r="B3869" s="17"/>
      <c r="C3869" s="15"/>
      <c r="D3869" s="15"/>
      <c r="E3869" s="18"/>
    </row>
    <row r="3870" spans="2:5" x14ac:dyDescent="0.4">
      <c r="B3870" s="17"/>
      <c r="C3870" s="15"/>
      <c r="D3870" s="15"/>
      <c r="E3870" s="18"/>
    </row>
    <row r="3871" spans="2:5" x14ac:dyDescent="0.4">
      <c r="B3871" s="17"/>
      <c r="C3871" s="15"/>
      <c r="D3871" s="15"/>
      <c r="E3871" s="18"/>
    </row>
    <row r="3872" spans="2:5" x14ac:dyDescent="0.4">
      <c r="B3872" s="17"/>
      <c r="C3872" s="15"/>
      <c r="D3872" s="15"/>
      <c r="E3872" s="18"/>
    </row>
    <row r="3873" spans="2:5" x14ac:dyDescent="0.4">
      <c r="B3873" s="17"/>
      <c r="C3873" s="15"/>
      <c r="D3873" s="15"/>
      <c r="E3873" s="18"/>
    </row>
    <row r="3874" spans="2:5" x14ac:dyDescent="0.4">
      <c r="B3874" s="17"/>
      <c r="C3874" s="15"/>
      <c r="D3874" s="15"/>
      <c r="E3874" s="18"/>
    </row>
    <row r="3875" spans="2:5" x14ac:dyDescent="0.4">
      <c r="B3875" s="17"/>
      <c r="C3875" s="15"/>
      <c r="D3875" s="15"/>
      <c r="E3875" s="18"/>
    </row>
    <row r="3876" spans="2:5" x14ac:dyDescent="0.4">
      <c r="B3876" s="17"/>
      <c r="C3876" s="15"/>
      <c r="D3876" s="15"/>
      <c r="E3876" s="18"/>
    </row>
    <row r="3877" spans="2:5" x14ac:dyDescent="0.4">
      <c r="B3877" s="17"/>
      <c r="C3877" s="15"/>
      <c r="D3877" s="15"/>
      <c r="E3877" s="18"/>
    </row>
    <row r="3878" spans="2:5" x14ac:dyDescent="0.4">
      <c r="B3878" s="17"/>
      <c r="C3878" s="15"/>
      <c r="D3878" s="15"/>
      <c r="E3878" s="18"/>
    </row>
    <row r="3879" spans="2:5" x14ac:dyDescent="0.4">
      <c r="B3879" s="17"/>
      <c r="C3879" s="15"/>
      <c r="D3879" s="15"/>
      <c r="E3879" s="18"/>
    </row>
    <row r="3880" spans="2:5" x14ac:dyDescent="0.4">
      <c r="B3880" s="17"/>
      <c r="C3880" s="15"/>
      <c r="D3880" s="15"/>
      <c r="E3880" s="18"/>
    </row>
    <row r="3881" spans="2:5" x14ac:dyDescent="0.4">
      <c r="B3881" s="17"/>
      <c r="C3881" s="15"/>
      <c r="D3881" s="15"/>
      <c r="E3881" s="18"/>
    </row>
    <row r="3882" spans="2:5" x14ac:dyDescent="0.4">
      <c r="B3882" s="17"/>
      <c r="C3882" s="15"/>
      <c r="D3882" s="15"/>
      <c r="E3882" s="18"/>
    </row>
    <row r="3883" spans="2:5" x14ac:dyDescent="0.4">
      <c r="B3883" s="17"/>
      <c r="C3883" s="15"/>
      <c r="D3883" s="15"/>
      <c r="E3883" s="18"/>
    </row>
    <row r="3884" spans="2:5" x14ac:dyDescent="0.4">
      <c r="B3884" s="17"/>
      <c r="C3884" s="15"/>
      <c r="D3884" s="15"/>
      <c r="E3884" s="18"/>
    </row>
    <row r="3885" spans="2:5" x14ac:dyDescent="0.4">
      <c r="B3885" s="17"/>
      <c r="C3885" s="15"/>
      <c r="D3885" s="15"/>
      <c r="E3885" s="18"/>
    </row>
    <row r="3886" spans="2:5" x14ac:dyDescent="0.4">
      <c r="B3886" s="17"/>
      <c r="C3886" s="15"/>
      <c r="D3886" s="15"/>
      <c r="E3886" s="18"/>
    </row>
    <row r="3887" spans="2:5" x14ac:dyDescent="0.4">
      <c r="B3887" s="17"/>
      <c r="C3887" s="15"/>
      <c r="D3887" s="15"/>
      <c r="E3887" s="18"/>
    </row>
    <row r="3888" spans="2:5" x14ac:dyDescent="0.4">
      <c r="B3888" s="17"/>
      <c r="C3888" s="15"/>
      <c r="D3888" s="15"/>
      <c r="E3888" s="18"/>
    </row>
    <row r="3889" spans="2:5" x14ac:dyDescent="0.4">
      <c r="B3889" s="17"/>
      <c r="C3889" s="15"/>
      <c r="D3889" s="15"/>
      <c r="E3889" s="18"/>
    </row>
    <row r="3890" spans="2:5" x14ac:dyDescent="0.4">
      <c r="B3890" s="17"/>
      <c r="C3890" s="15"/>
      <c r="D3890" s="15"/>
      <c r="E3890" s="18"/>
    </row>
    <row r="3891" spans="2:5" x14ac:dyDescent="0.4">
      <c r="B3891" s="17"/>
      <c r="C3891" s="15"/>
      <c r="D3891" s="15"/>
      <c r="E3891" s="18"/>
    </row>
    <row r="3892" spans="2:5" x14ac:dyDescent="0.4">
      <c r="B3892" s="17"/>
      <c r="C3892" s="15"/>
      <c r="D3892" s="15"/>
      <c r="E3892" s="18"/>
    </row>
    <row r="3893" spans="2:5" x14ac:dyDescent="0.4">
      <c r="B3893" s="17"/>
      <c r="C3893" s="15"/>
      <c r="D3893" s="15"/>
      <c r="E3893" s="18"/>
    </row>
    <row r="3894" spans="2:5" x14ac:dyDescent="0.4">
      <c r="B3894" s="17"/>
      <c r="C3894" s="15"/>
      <c r="D3894" s="15"/>
      <c r="E3894" s="18"/>
    </row>
    <row r="3895" spans="2:5" x14ac:dyDescent="0.4">
      <c r="B3895" s="17"/>
      <c r="C3895" s="15"/>
      <c r="D3895" s="15"/>
      <c r="E3895" s="18"/>
    </row>
    <row r="3896" spans="2:5" x14ac:dyDescent="0.4">
      <c r="B3896" s="17"/>
      <c r="C3896" s="15"/>
      <c r="D3896" s="15"/>
      <c r="E3896" s="18"/>
    </row>
    <row r="3897" spans="2:5" x14ac:dyDescent="0.4">
      <c r="B3897" s="17"/>
      <c r="C3897" s="15"/>
      <c r="D3897" s="15"/>
      <c r="E3897" s="18"/>
    </row>
    <row r="3898" spans="2:5" x14ac:dyDescent="0.4">
      <c r="B3898" s="17"/>
      <c r="C3898" s="15"/>
      <c r="D3898" s="15"/>
      <c r="E3898" s="18"/>
    </row>
    <row r="3899" spans="2:5" x14ac:dyDescent="0.4">
      <c r="B3899" s="17"/>
      <c r="C3899" s="15"/>
      <c r="D3899" s="15"/>
      <c r="E3899" s="18"/>
    </row>
    <row r="3900" spans="2:5" x14ac:dyDescent="0.4">
      <c r="B3900" s="17"/>
      <c r="C3900" s="15"/>
      <c r="D3900" s="15"/>
      <c r="E3900" s="18"/>
    </row>
    <row r="3901" spans="2:5" x14ac:dyDescent="0.4">
      <c r="B3901" s="17"/>
      <c r="C3901" s="15"/>
      <c r="D3901" s="15"/>
      <c r="E3901" s="18"/>
    </row>
    <row r="3902" spans="2:5" x14ac:dyDescent="0.4">
      <c r="B3902" s="17"/>
      <c r="C3902" s="15"/>
      <c r="D3902" s="15"/>
      <c r="E3902" s="18"/>
    </row>
    <row r="3903" spans="2:5" x14ac:dyDescent="0.4">
      <c r="B3903" s="17"/>
      <c r="C3903" s="15"/>
      <c r="D3903" s="15"/>
      <c r="E3903" s="18"/>
    </row>
    <row r="3904" spans="2:5" x14ac:dyDescent="0.4">
      <c r="B3904" s="17"/>
      <c r="C3904" s="15"/>
      <c r="D3904" s="15"/>
      <c r="E3904" s="18"/>
    </row>
    <row r="3905" spans="2:5" x14ac:dyDescent="0.4">
      <c r="B3905" s="17"/>
      <c r="C3905" s="15"/>
      <c r="D3905" s="15"/>
      <c r="E3905" s="18"/>
    </row>
    <row r="3906" spans="2:5" x14ac:dyDescent="0.4">
      <c r="B3906" s="17"/>
      <c r="C3906" s="15"/>
      <c r="D3906" s="15"/>
      <c r="E3906" s="18"/>
    </row>
    <row r="3907" spans="2:5" x14ac:dyDescent="0.4">
      <c r="B3907" s="17"/>
      <c r="C3907" s="15"/>
      <c r="D3907" s="15"/>
      <c r="E3907" s="18"/>
    </row>
    <row r="3908" spans="2:5" x14ac:dyDescent="0.4">
      <c r="B3908" s="17"/>
      <c r="C3908" s="15"/>
      <c r="D3908" s="15"/>
      <c r="E3908" s="18"/>
    </row>
    <row r="3909" spans="2:5" x14ac:dyDescent="0.4">
      <c r="B3909" s="17"/>
      <c r="C3909" s="15"/>
      <c r="D3909" s="15"/>
      <c r="E3909" s="18"/>
    </row>
    <row r="3910" spans="2:5" x14ac:dyDescent="0.4">
      <c r="B3910" s="17"/>
      <c r="C3910" s="15"/>
      <c r="D3910" s="15"/>
      <c r="E3910" s="18"/>
    </row>
    <row r="3911" spans="2:5" x14ac:dyDescent="0.4">
      <c r="B3911" s="17"/>
      <c r="C3911" s="15"/>
      <c r="D3911" s="15"/>
      <c r="E3911" s="18"/>
    </row>
    <row r="3912" spans="2:5" x14ac:dyDescent="0.4">
      <c r="B3912" s="17"/>
      <c r="C3912" s="15"/>
      <c r="D3912" s="15"/>
      <c r="E3912" s="18"/>
    </row>
    <row r="3913" spans="2:5" x14ac:dyDescent="0.4">
      <c r="B3913" s="17"/>
      <c r="C3913" s="15"/>
      <c r="D3913" s="15"/>
      <c r="E3913" s="18"/>
    </row>
    <row r="3914" spans="2:5" x14ac:dyDescent="0.4">
      <c r="B3914" s="17"/>
      <c r="C3914" s="15"/>
      <c r="D3914" s="15"/>
      <c r="E3914" s="18"/>
    </row>
    <row r="3915" spans="2:5" x14ac:dyDescent="0.4">
      <c r="B3915" s="17"/>
      <c r="C3915" s="15"/>
      <c r="D3915" s="15"/>
      <c r="E3915" s="18"/>
    </row>
    <row r="3916" spans="2:5" x14ac:dyDescent="0.4">
      <c r="B3916" s="17"/>
      <c r="C3916" s="15"/>
      <c r="D3916" s="15"/>
      <c r="E3916" s="18"/>
    </row>
    <row r="3917" spans="2:5" x14ac:dyDescent="0.4">
      <c r="B3917" s="17"/>
      <c r="C3917" s="15"/>
      <c r="D3917" s="15"/>
      <c r="E3917" s="18"/>
    </row>
    <row r="3918" spans="2:5" x14ac:dyDescent="0.4">
      <c r="B3918" s="17"/>
      <c r="C3918" s="15"/>
      <c r="D3918" s="15"/>
      <c r="E3918" s="18"/>
    </row>
    <row r="3919" spans="2:5" x14ac:dyDescent="0.4">
      <c r="B3919" s="17"/>
      <c r="C3919" s="15"/>
      <c r="D3919" s="15"/>
      <c r="E3919" s="18"/>
    </row>
    <row r="3920" spans="2:5" x14ac:dyDescent="0.4">
      <c r="B3920" s="17"/>
      <c r="C3920" s="15"/>
      <c r="D3920" s="15"/>
      <c r="E3920" s="18"/>
    </row>
    <row r="3921" spans="2:5" x14ac:dyDescent="0.4">
      <c r="B3921" s="17"/>
      <c r="C3921" s="15"/>
      <c r="D3921" s="15"/>
      <c r="E3921" s="18"/>
    </row>
    <row r="3922" spans="2:5" x14ac:dyDescent="0.4">
      <c r="B3922" s="17"/>
      <c r="C3922" s="15"/>
      <c r="D3922" s="15"/>
      <c r="E3922" s="18"/>
    </row>
    <row r="3923" spans="2:5" x14ac:dyDescent="0.4">
      <c r="B3923" s="17"/>
      <c r="C3923" s="15"/>
      <c r="D3923" s="15"/>
      <c r="E3923" s="18"/>
    </row>
    <row r="3924" spans="2:5" x14ac:dyDescent="0.4">
      <c r="B3924" s="17"/>
      <c r="C3924" s="15"/>
      <c r="D3924" s="15"/>
      <c r="E3924" s="18"/>
    </row>
    <row r="3925" spans="2:5" x14ac:dyDescent="0.4">
      <c r="B3925" s="17"/>
      <c r="C3925" s="15"/>
      <c r="D3925" s="15"/>
      <c r="E3925" s="18"/>
    </row>
    <row r="3926" spans="2:5" x14ac:dyDescent="0.4">
      <c r="B3926" s="17"/>
      <c r="C3926" s="15"/>
      <c r="D3926" s="15"/>
      <c r="E3926" s="18"/>
    </row>
    <row r="3927" spans="2:5" x14ac:dyDescent="0.4">
      <c r="B3927" s="17"/>
      <c r="C3927" s="15"/>
      <c r="D3927" s="15"/>
      <c r="E3927" s="18"/>
    </row>
    <row r="3928" spans="2:5" x14ac:dyDescent="0.4">
      <c r="B3928" s="17"/>
      <c r="C3928" s="15"/>
      <c r="D3928" s="15"/>
      <c r="E3928" s="18"/>
    </row>
    <row r="3929" spans="2:5" x14ac:dyDescent="0.4">
      <c r="B3929" s="17"/>
      <c r="C3929" s="15"/>
      <c r="D3929" s="15"/>
      <c r="E3929" s="18"/>
    </row>
    <row r="3930" spans="2:5" x14ac:dyDescent="0.4">
      <c r="B3930" s="17"/>
      <c r="C3930" s="15"/>
      <c r="D3930" s="15"/>
      <c r="E3930" s="18"/>
    </row>
    <row r="3931" spans="2:5" x14ac:dyDescent="0.4">
      <c r="B3931" s="17"/>
      <c r="C3931" s="15"/>
      <c r="D3931" s="15"/>
      <c r="E3931" s="18"/>
    </row>
    <row r="3932" spans="2:5" x14ac:dyDescent="0.4">
      <c r="B3932" s="17"/>
      <c r="C3932" s="15"/>
      <c r="D3932" s="15"/>
      <c r="E3932" s="18"/>
    </row>
    <row r="3933" spans="2:5" x14ac:dyDescent="0.4">
      <c r="B3933" s="17"/>
      <c r="C3933" s="15"/>
      <c r="D3933" s="15"/>
      <c r="E3933" s="18"/>
    </row>
    <row r="3934" spans="2:5" x14ac:dyDescent="0.4">
      <c r="B3934" s="17"/>
      <c r="C3934" s="15"/>
      <c r="D3934" s="15"/>
      <c r="E3934" s="18"/>
    </row>
    <row r="3935" spans="2:5" x14ac:dyDescent="0.4">
      <c r="B3935" s="17"/>
      <c r="C3935" s="15"/>
      <c r="D3935" s="15"/>
      <c r="E3935" s="18"/>
    </row>
    <row r="3936" spans="2:5" x14ac:dyDescent="0.4">
      <c r="B3936" s="17"/>
      <c r="C3936" s="15"/>
      <c r="D3936" s="15"/>
      <c r="E3936" s="18"/>
    </row>
    <row r="3937" spans="2:5" x14ac:dyDescent="0.4">
      <c r="B3937" s="17"/>
      <c r="C3937" s="15"/>
      <c r="D3937" s="15"/>
      <c r="E3937" s="18"/>
    </row>
    <row r="3938" spans="2:5" x14ac:dyDescent="0.4">
      <c r="B3938" s="17"/>
      <c r="C3938" s="15"/>
      <c r="D3938" s="15"/>
      <c r="E3938" s="18"/>
    </row>
    <row r="3939" spans="2:5" x14ac:dyDescent="0.4">
      <c r="B3939" s="17"/>
      <c r="C3939" s="15"/>
      <c r="D3939" s="15"/>
      <c r="E3939" s="18"/>
    </row>
    <row r="3940" spans="2:5" x14ac:dyDescent="0.4">
      <c r="B3940" s="17"/>
      <c r="C3940" s="15"/>
      <c r="D3940" s="15"/>
      <c r="E3940" s="18"/>
    </row>
    <row r="3941" spans="2:5" x14ac:dyDescent="0.4">
      <c r="B3941" s="17"/>
      <c r="C3941" s="15"/>
      <c r="D3941" s="15"/>
      <c r="E3941" s="18"/>
    </row>
    <row r="3942" spans="2:5" x14ac:dyDescent="0.4">
      <c r="B3942" s="17"/>
      <c r="C3942" s="15"/>
      <c r="D3942" s="15"/>
      <c r="E3942" s="18"/>
    </row>
    <row r="3943" spans="2:5" x14ac:dyDescent="0.4">
      <c r="B3943" s="17"/>
      <c r="C3943" s="15"/>
      <c r="D3943" s="15"/>
      <c r="E3943" s="18"/>
    </row>
    <row r="3944" spans="2:5" x14ac:dyDescent="0.4">
      <c r="B3944" s="17"/>
      <c r="C3944" s="15"/>
      <c r="D3944" s="15"/>
      <c r="E3944" s="18"/>
    </row>
    <row r="3945" spans="2:5" x14ac:dyDescent="0.4">
      <c r="B3945" s="17"/>
      <c r="C3945" s="15"/>
      <c r="D3945" s="15"/>
      <c r="E3945" s="18"/>
    </row>
    <row r="3946" spans="2:5" x14ac:dyDescent="0.4">
      <c r="B3946" s="17"/>
      <c r="C3946" s="15"/>
      <c r="D3946" s="15"/>
      <c r="E3946" s="18"/>
    </row>
    <row r="3947" spans="2:5" x14ac:dyDescent="0.4">
      <c r="B3947" s="17"/>
      <c r="C3947" s="15"/>
      <c r="D3947" s="15"/>
      <c r="E3947" s="18"/>
    </row>
    <row r="3948" spans="2:5" x14ac:dyDescent="0.4">
      <c r="B3948" s="17"/>
      <c r="C3948" s="15"/>
      <c r="D3948" s="15"/>
      <c r="E3948" s="18"/>
    </row>
    <row r="3949" spans="2:5" x14ac:dyDescent="0.4">
      <c r="B3949" s="17"/>
      <c r="C3949" s="15"/>
      <c r="D3949" s="15"/>
      <c r="E3949" s="18"/>
    </row>
    <row r="3950" spans="2:5" x14ac:dyDescent="0.4">
      <c r="B3950" s="17"/>
      <c r="C3950" s="15"/>
      <c r="D3950" s="15"/>
      <c r="E3950" s="18"/>
    </row>
    <row r="3951" spans="2:5" x14ac:dyDescent="0.4">
      <c r="B3951" s="17"/>
      <c r="C3951" s="15"/>
      <c r="D3951" s="15"/>
      <c r="E3951" s="18"/>
    </row>
    <row r="3952" spans="2:5" x14ac:dyDescent="0.4">
      <c r="B3952" s="17"/>
      <c r="C3952" s="15"/>
      <c r="D3952" s="15"/>
      <c r="E3952" s="18"/>
    </row>
    <row r="3953" spans="2:5" x14ac:dyDescent="0.4">
      <c r="B3953" s="17"/>
      <c r="C3953" s="15"/>
      <c r="D3953" s="15"/>
      <c r="E3953" s="18"/>
    </row>
    <row r="3954" spans="2:5" x14ac:dyDescent="0.4">
      <c r="B3954" s="17"/>
      <c r="C3954" s="15"/>
      <c r="D3954" s="15"/>
      <c r="E3954" s="18"/>
    </row>
    <row r="3955" spans="2:5" x14ac:dyDescent="0.4">
      <c r="B3955" s="17"/>
      <c r="C3955" s="15"/>
      <c r="D3955" s="15"/>
      <c r="E3955" s="18"/>
    </row>
    <row r="3956" spans="2:5" x14ac:dyDescent="0.4">
      <c r="B3956" s="17"/>
      <c r="C3956" s="15"/>
      <c r="D3956" s="15"/>
      <c r="E3956" s="18"/>
    </row>
    <row r="3957" spans="2:5" x14ac:dyDescent="0.4">
      <c r="B3957" s="17"/>
      <c r="C3957" s="15"/>
      <c r="D3957" s="15"/>
      <c r="E3957" s="18"/>
    </row>
    <row r="3958" spans="2:5" x14ac:dyDescent="0.4">
      <c r="B3958" s="17"/>
      <c r="C3958" s="15"/>
      <c r="D3958" s="15"/>
      <c r="E3958" s="18"/>
    </row>
    <row r="3959" spans="2:5" x14ac:dyDescent="0.4">
      <c r="B3959" s="17"/>
      <c r="C3959" s="15"/>
      <c r="D3959" s="15"/>
      <c r="E3959" s="18"/>
    </row>
    <row r="3960" spans="2:5" x14ac:dyDescent="0.4">
      <c r="B3960" s="17"/>
      <c r="C3960" s="15"/>
      <c r="D3960" s="15"/>
      <c r="E3960" s="18"/>
    </row>
    <row r="3961" spans="2:5" x14ac:dyDescent="0.4">
      <c r="B3961" s="17"/>
      <c r="C3961" s="15"/>
      <c r="D3961" s="15"/>
      <c r="E3961" s="18"/>
    </row>
    <row r="3962" spans="2:5" x14ac:dyDescent="0.4">
      <c r="B3962" s="17"/>
      <c r="C3962" s="15"/>
      <c r="D3962" s="15"/>
      <c r="E3962" s="18"/>
    </row>
    <row r="3963" spans="2:5" x14ac:dyDescent="0.4">
      <c r="B3963" s="17"/>
      <c r="C3963" s="15"/>
      <c r="D3963" s="15"/>
      <c r="E3963" s="18"/>
    </row>
    <row r="3964" spans="2:5" x14ac:dyDescent="0.4">
      <c r="B3964" s="17"/>
      <c r="C3964" s="15"/>
      <c r="D3964" s="15"/>
      <c r="E3964" s="18"/>
    </row>
    <row r="3965" spans="2:5" x14ac:dyDescent="0.4">
      <c r="B3965" s="17"/>
      <c r="C3965" s="15"/>
      <c r="D3965" s="15"/>
      <c r="E3965" s="18"/>
    </row>
    <row r="3966" spans="2:5" x14ac:dyDescent="0.4">
      <c r="B3966" s="17"/>
      <c r="C3966" s="15"/>
      <c r="D3966" s="15"/>
      <c r="E3966" s="18"/>
    </row>
    <row r="3967" spans="2:5" x14ac:dyDescent="0.4">
      <c r="B3967" s="17"/>
      <c r="C3967" s="15"/>
      <c r="D3967" s="15"/>
      <c r="E3967" s="18"/>
    </row>
    <row r="3968" spans="2:5" x14ac:dyDescent="0.4">
      <c r="B3968" s="17"/>
      <c r="C3968" s="15"/>
      <c r="D3968" s="15"/>
      <c r="E3968" s="18"/>
    </row>
    <row r="3969" spans="2:5" x14ac:dyDescent="0.4">
      <c r="B3969" s="17"/>
      <c r="C3969" s="15"/>
      <c r="D3969" s="15"/>
      <c r="E3969" s="18"/>
    </row>
    <row r="3970" spans="2:5" x14ac:dyDescent="0.4">
      <c r="B3970" s="17"/>
      <c r="C3970" s="15"/>
      <c r="D3970" s="15"/>
      <c r="E3970" s="18"/>
    </row>
    <row r="3971" spans="2:5" x14ac:dyDescent="0.4">
      <c r="B3971" s="17"/>
      <c r="C3971" s="15"/>
      <c r="D3971" s="15"/>
      <c r="E3971" s="18"/>
    </row>
    <row r="3972" spans="2:5" x14ac:dyDescent="0.4">
      <c r="B3972" s="17"/>
      <c r="C3972" s="15"/>
      <c r="D3972" s="15"/>
      <c r="E3972" s="18"/>
    </row>
    <row r="3973" spans="2:5" x14ac:dyDescent="0.4">
      <c r="B3973" s="17"/>
      <c r="C3973" s="15"/>
      <c r="D3973" s="15"/>
      <c r="E3973" s="18"/>
    </row>
    <row r="3974" spans="2:5" x14ac:dyDescent="0.4">
      <c r="B3974" s="17"/>
      <c r="C3974" s="15"/>
      <c r="D3974" s="15"/>
      <c r="E3974" s="18"/>
    </row>
    <row r="3975" spans="2:5" x14ac:dyDescent="0.4">
      <c r="B3975" s="17"/>
      <c r="C3975" s="15"/>
      <c r="D3975" s="15"/>
      <c r="E3975" s="18"/>
    </row>
    <row r="3976" spans="2:5" x14ac:dyDescent="0.4">
      <c r="B3976" s="17"/>
      <c r="C3976" s="15"/>
      <c r="D3976" s="15"/>
      <c r="E3976" s="18"/>
    </row>
    <row r="3977" spans="2:5" x14ac:dyDescent="0.4">
      <c r="B3977" s="17"/>
      <c r="C3977" s="15"/>
      <c r="D3977" s="15"/>
      <c r="E3977" s="18"/>
    </row>
    <row r="3978" spans="2:5" x14ac:dyDescent="0.4">
      <c r="B3978" s="17"/>
      <c r="C3978" s="15"/>
      <c r="D3978" s="15"/>
      <c r="E3978" s="18"/>
    </row>
    <row r="3979" spans="2:5" x14ac:dyDescent="0.4">
      <c r="B3979" s="17"/>
      <c r="C3979" s="15"/>
      <c r="D3979" s="15"/>
      <c r="E3979" s="18"/>
    </row>
    <row r="3980" spans="2:5" x14ac:dyDescent="0.4">
      <c r="B3980" s="17"/>
      <c r="C3980" s="15"/>
      <c r="D3980" s="15"/>
      <c r="E3980" s="18"/>
    </row>
    <row r="3981" spans="2:5" x14ac:dyDescent="0.4">
      <c r="B3981" s="17"/>
      <c r="C3981" s="15"/>
      <c r="D3981" s="15"/>
      <c r="E3981" s="18"/>
    </row>
    <row r="3982" spans="2:5" x14ac:dyDescent="0.4">
      <c r="B3982" s="17"/>
      <c r="C3982" s="15"/>
      <c r="D3982" s="15"/>
      <c r="E3982" s="18"/>
    </row>
    <row r="3983" spans="2:5" x14ac:dyDescent="0.4">
      <c r="B3983" s="17"/>
      <c r="C3983" s="15"/>
      <c r="D3983" s="15"/>
      <c r="E3983" s="18"/>
    </row>
    <row r="3984" spans="2:5" x14ac:dyDescent="0.4">
      <c r="B3984" s="17"/>
      <c r="C3984" s="15"/>
      <c r="D3984" s="15"/>
      <c r="E3984" s="18"/>
    </row>
    <row r="3985" spans="2:5" x14ac:dyDescent="0.4">
      <c r="B3985" s="17"/>
      <c r="C3985" s="15"/>
      <c r="D3985" s="15"/>
      <c r="E3985" s="18"/>
    </row>
    <row r="3986" spans="2:5" x14ac:dyDescent="0.4">
      <c r="B3986" s="17"/>
      <c r="C3986" s="15"/>
      <c r="D3986" s="15"/>
      <c r="E3986" s="18"/>
    </row>
    <row r="3987" spans="2:5" x14ac:dyDescent="0.4">
      <c r="B3987" s="17"/>
      <c r="C3987" s="15"/>
      <c r="D3987" s="15"/>
      <c r="E3987" s="18"/>
    </row>
    <row r="3988" spans="2:5" x14ac:dyDescent="0.4">
      <c r="B3988" s="17"/>
      <c r="C3988" s="15"/>
      <c r="D3988" s="15"/>
      <c r="E3988" s="18"/>
    </row>
    <row r="3989" spans="2:5" x14ac:dyDescent="0.4">
      <c r="B3989" s="17"/>
      <c r="C3989" s="15"/>
      <c r="D3989" s="15"/>
      <c r="E3989" s="18"/>
    </row>
    <row r="3990" spans="2:5" x14ac:dyDescent="0.4">
      <c r="B3990" s="17"/>
      <c r="C3990" s="15"/>
      <c r="D3990" s="15"/>
      <c r="E3990" s="18"/>
    </row>
    <row r="3991" spans="2:5" x14ac:dyDescent="0.4">
      <c r="B3991" s="17"/>
      <c r="C3991" s="15"/>
      <c r="D3991" s="15"/>
      <c r="E3991" s="18"/>
    </row>
    <row r="3992" spans="2:5" x14ac:dyDescent="0.4">
      <c r="B3992" s="17"/>
      <c r="C3992" s="15"/>
      <c r="D3992" s="15"/>
      <c r="E3992" s="18"/>
    </row>
    <row r="3993" spans="2:5" x14ac:dyDescent="0.4">
      <c r="B3993" s="17"/>
      <c r="C3993" s="15"/>
      <c r="D3993" s="15"/>
      <c r="E3993" s="18"/>
    </row>
    <row r="3994" spans="2:5" x14ac:dyDescent="0.4">
      <c r="B3994" s="17"/>
      <c r="C3994" s="15"/>
      <c r="D3994" s="15"/>
      <c r="E3994" s="18"/>
    </row>
    <row r="3995" spans="2:5" x14ac:dyDescent="0.4">
      <c r="B3995" s="17"/>
      <c r="C3995" s="15"/>
      <c r="D3995" s="15"/>
      <c r="E3995" s="18"/>
    </row>
    <row r="3996" spans="2:5" x14ac:dyDescent="0.4">
      <c r="B3996" s="17"/>
      <c r="C3996" s="15"/>
      <c r="D3996" s="15"/>
      <c r="E3996" s="18"/>
    </row>
    <row r="3997" spans="2:5" x14ac:dyDescent="0.4">
      <c r="B3997" s="17"/>
      <c r="C3997" s="15"/>
      <c r="D3997" s="15"/>
      <c r="E3997" s="18"/>
    </row>
    <row r="3998" spans="2:5" x14ac:dyDescent="0.4">
      <c r="B3998" s="17"/>
      <c r="C3998" s="15"/>
      <c r="D3998" s="15"/>
      <c r="E3998" s="18"/>
    </row>
    <row r="3999" spans="2:5" x14ac:dyDescent="0.4">
      <c r="B3999" s="17"/>
      <c r="C3999" s="15"/>
      <c r="D3999" s="15"/>
      <c r="E3999" s="18"/>
    </row>
    <row r="4000" spans="2:5" x14ac:dyDescent="0.4">
      <c r="B4000" s="17"/>
      <c r="C4000" s="15"/>
      <c r="D4000" s="15"/>
      <c r="E4000" s="18"/>
    </row>
    <row r="4001" spans="2:5" x14ac:dyDescent="0.4">
      <c r="B4001" s="17"/>
      <c r="C4001" s="15"/>
      <c r="D4001" s="15"/>
      <c r="E4001" s="18"/>
    </row>
    <row r="4002" spans="2:5" x14ac:dyDescent="0.4">
      <c r="B4002" s="17"/>
      <c r="C4002" s="15"/>
      <c r="D4002" s="15"/>
      <c r="E4002" s="18"/>
    </row>
    <row r="4003" spans="2:5" x14ac:dyDescent="0.4">
      <c r="B4003" s="17"/>
      <c r="C4003" s="15"/>
      <c r="D4003" s="15"/>
      <c r="E4003" s="18"/>
    </row>
    <row r="4004" spans="2:5" x14ac:dyDescent="0.4">
      <c r="B4004" s="17"/>
      <c r="C4004" s="15"/>
      <c r="D4004" s="15"/>
      <c r="E4004" s="18"/>
    </row>
    <row r="4005" spans="2:5" x14ac:dyDescent="0.4">
      <c r="B4005" s="17"/>
      <c r="C4005" s="15"/>
      <c r="D4005" s="15"/>
      <c r="E4005" s="18"/>
    </row>
    <row r="4006" spans="2:5" x14ac:dyDescent="0.4">
      <c r="B4006" s="17"/>
      <c r="C4006" s="15"/>
      <c r="D4006" s="15"/>
      <c r="E4006" s="18"/>
    </row>
    <row r="4007" spans="2:5" x14ac:dyDescent="0.4">
      <c r="B4007" s="17"/>
      <c r="C4007" s="15"/>
      <c r="D4007" s="15"/>
      <c r="E4007" s="18"/>
    </row>
    <row r="4008" spans="2:5" x14ac:dyDescent="0.4">
      <c r="B4008" s="17"/>
      <c r="C4008" s="15"/>
      <c r="D4008" s="15"/>
      <c r="E4008" s="18"/>
    </row>
    <row r="4009" spans="2:5" x14ac:dyDescent="0.4">
      <c r="B4009" s="17"/>
      <c r="C4009" s="15"/>
      <c r="D4009" s="15"/>
      <c r="E4009" s="18"/>
    </row>
    <row r="4010" spans="2:5" x14ac:dyDescent="0.4">
      <c r="B4010" s="17"/>
      <c r="C4010" s="15"/>
      <c r="D4010" s="15"/>
      <c r="E4010" s="18"/>
    </row>
    <row r="4011" spans="2:5" x14ac:dyDescent="0.4">
      <c r="B4011" s="17"/>
      <c r="C4011" s="15"/>
      <c r="D4011" s="15"/>
      <c r="E4011" s="18"/>
    </row>
    <row r="4012" spans="2:5" x14ac:dyDescent="0.4">
      <c r="B4012" s="17"/>
      <c r="C4012" s="15"/>
      <c r="D4012" s="15"/>
      <c r="E4012" s="18"/>
    </row>
    <row r="4013" spans="2:5" x14ac:dyDescent="0.4">
      <c r="B4013" s="17"/>
      <c r="C4013" s="15"/>
      <c r="D4013" s="15"/>
      <c r="E4013" s="18"/>
    </row>
    <row r="4014" spans="2:5" x14ac:dyDescent="0.4">
      <c r="B4014" s="17"/>
      <c r="C4014" s="15"/>
      <c r="D4014" s="15"/>
      <c r="E4014" s="18"/>
    </row>
    <row r="4015" spans="2:5" x14ac:dyDescent="0.4">
      <c r="B4015" s="17"/>
      <c r="C4015" s="15"/>
      <c r="D4015" s="15"/>
      <c r="E4015" s="18"/>
    </row>
    <row r="4016" spans="2:5" x14ac:dyDescent="0.4">
      <c r="B4016" s="17"/>
      <c r="C4016" s="15"/>
      <c r="D4016" s="15"/>
      <c r="E4016" s="18"/>
    </row>
    <row r="4017" spans="2:5" x14ac:dyDescent="0.4">
      <c r="B4017" s="17"/>
      <c r="C4017" s="15"/>
      <c r="D4017" s="15"/>
      <c r="E4017" s="18"/>
    </row>
    <row r="4018" spans="2:5" x14ac:dyDescent="0.4">
      <c r="B4018" s="17"/>
      <c r="C4018" s="15"/>
      <c r="D4018" s="15"/>
      <c r="E4018" s="18"/>
    </row>
    <row r="4019" spans="2:5" x14ac:dyDescent="0.4">
      <c r="B4019" s="17"/>
      <c r="C4019" s="15"/>
      <c r="D4019" s="15"/>
      <c r="E4019" s="18"/>
    </row>
    <row r="4020" spans="2:5" x14ac:dyDescent="0.4">
      <c r="B4020" s="17"/>
      <c r="C4020" s="15"/>
      <c r="D4020" s="15"/>
      <c r="E4020" s="18"/>
    </row>
    <row r="4021" spans="2:5" x14ac:dyDescent="0.4">
      <c r="B4021" s="17"/>
      <c r="C4021" s="15"/>
      <c r="D4021" s="15"/>
      <c r="E4021" s="18"/>
    </row>
    <row r="4022" spans="2:5" x14ac:dyDescent="0.4">
      <c r="B4022" s="17"/>
      <c r="C4022" s="15"/>
      <c r="D4022" s="15"/>
      <c r="E4022" s="18"/>
    </row>
    <row r="4023" spans="2:5" x14ac:dyDescent="0.4">
      <c r="B4023" s="17"/>
      <c r="C4023" s="15"/>
      <c r="D4023" s="15"/>
      <c r="E4023" s="18"/>
    </row>
    <row r="4024" spans="2:5" x14ac:dyDescent="0.4">
      <c r="B4024" s="17"/>
      <c r="C4024" s="15"/>
      <c r="D4024" s="15"/>
      <c r="E4024" s="18"/>
    </row>
    <row r="4025" spans="2:5" x14ac:dyDescent="0.4">
      <c r="B4025" s="17"/>
      <c r="C4025" s="15"/>
      <c r="D4025" s="15"/>
      <c r="E4025" s="18"/>
    </row>
    <row r="4026" spans="2:5" x14ac:dyDescent="0.4">
      <c r="B4026" s="17"/>
      <c r="C4026" s="15"/>
      <c r="D4026" s="15"/>
      <c r="E4026" s="18"/>
    </row>
    <row r="4027" spans="2:5" x14ac:dyDescent="0.4">
      <c r="B4027" s="17"/>
      <c r="C4027" s="15"/>
      <c r="D4027" s="15"/>
      <c r="E4027" s="18"/>
    </row>
    <row r="4028" spans="2:5" x14ac:dyDescent="0.4">
      <c r="B4028" s="17"/>
      <c r="C4028" s="15"/>
      <c r="D4028" s="15"/>
      <c r="E4028" s="18"/>
    </row>
    <row r="4029" spans="2:5" x14ac:dyDescent="0.4">
      <c r="B4029" s="17"/>
      <c r="C4029" s="15"/>
      <c r="D4029" s="15"/>
      <c r="E4029" s="18"/>
    </row>
    <row r="4030" spans="2:5" x14ac:dyDescent="0.4">
      <c r="B4030" s="17"/>
      <c r="C4030" s="15"/>
      <c r="D4030" s="15"/>
      <c r="E4030" s="18"/>
    </row>
    <row r="4031" spans="2:5" x14ac:dyDescent="0.4">
      <c r="B4031" s="17"/>
      <c r="C4031" s="15"/>
      <c r="D4031" s="15"/>
      <c r="E4031" s="18"/>
    </row>
    <row r="4032" spans="2:5" x14ac:dyDescent="0.4">
      <c r="B4032" s="17"/>
      <c r="C4032" s="15"/>
      <c r="D4032" s="15"/>
      <c r="E4032" s="18"/>
    </row>
    <row r="4033" spans="2:5" x14ac:dyDescent="0.4">
      <c r="B4033" s="17"/>
      <c r="C4033" s="15"/>
      <c r="D4033" s="15"/>
      <c r="E4033" s="18"/>
    </row>
    <row r="4034" spans="2:5" x14ac:dyDescent="0.4">
      <c r="B4034" s="17"/>
      <c r="C4034" s="15"/>
      <c r="D4034" s="15"/>
      <c r="E4034" s="18"/>
    </row>
    <row r="4035" spans="2:5" x14ac:dyDescent="0.4">
      <c r="B4035" s="17"/>
      <c r="C4035" s="15"/>
      <c r="D4035" s="15"/>
      <c r="E4035" s="18"/>
    </row>
    <row r="4036" spans="2:5" x14ac:dyDescent="0.4">
      <c r="B4036" s="17"/>
      <c r="C4036" s="15"/>
      <c r="D4036" s="15"/>
      <c r="E4036" s="18"/>
    </row>
    <row r="4037" spans="2:5" x14ac:dyDescent="0.4">
      <c r="B4037" s="17"/>
      <c r="C4037" s="15"/>
      <c r="D4037" s="15"/>
      <c r="E4037" s="18"/>
    </row>
    <row r="4038" spans="2:5" x14ac:dyDescent="0.4">
      <c r="B4038" s="17"/>
      <c r="C4038" s="15"/>
      <c r="D4038" s="15"/>
      <c r="E4038" s="18"/>
    </row>
    <row r="4039" spans="2:5" x14ac:dyDescent="0.4">
      <c r="B4039" s="17"/>
      <c r="C4039" s="15"/>
      <c r="D4039" s="15"/>
      <c r="E4039" s="18"/>
    </row>
    <row r="4040" spans="2:5" x14ac:dyDescent="0.4">
      <c r="B4040" s="17"/>
      <c r="C4040" s="15"/>
      <c r="D4040" s="15"/>
      <c r="E4040" s="18"/>
    </row>
    <row r="4041" spans="2:5" x14ac:dyDescent="0.4">
      <c r="B4041" s="17"/>
      <c r="C4041" s="15"/>
      <c r="D4041" s="15"/>
      <c r="E4041" s="18"/>
    </row>
    <row r="4042" spans="2:5" x14ac:dyDescent="0.4">
      <c r="B4042" s="17"/>
      <c r="C4042" s="15"/>
      <c r="D4042" s="15"/>
      <c r="E4042" s="18"/>
    </row>
    <row r="4043" spans="2:5" x14ac:dyDescent="0.4">
      <c r="B4043" s="17"/>
      <c r="C4043" s="15"/>
      <c r="D4043" s="15"/>
      <c r="E4043" s="18"/>
    </row>
    <row r="4044" spans="2:5" x14ac:dyDescent="0.4">
      <c r="B4044" s="17"/>
      <c r="C4044" s="15"/>
      <c r="D4044" s="15"/>
      <c r="E4044" s="18"/>
    </row>
    <row r="4045" spans="2:5" x14ac:dyDescent="0.4">
      <c r="B4045" s="17"/>
      <c r="C4045" s="15"/>
      <c r="D4045" s="15"/>
      <c r="E4045" s="18"/>
    </row>
    <row r="4046" spans="2:5" x14ac:dyDescent="0.4">
      <c r="B4046" s="17"/>
      <c r="C4046" s="15"/>
      <c r="D4046" s="15"/>
      <c r="E4046" s="18"/>
    </row>
    <row r="4047" spans="2:5" x14ac:dyDescent="0.4">
      <c r="B4047" s="17"/>
      <c r="C4047" s="15"/>
      <c r="D4047" s="15"/>
      <c r="E4047" s="18"/>
    </row>
    <row r="4048" spans="2:5" x14ac:dyDescent="0.4">
      <c r="B4048" s="17"/>
      <c r="C4048" s="15"/>
      <c r="D4048" s="15"/>
      <c r="E4048" s="18"/>
    </row>
    <row r="4049" spans="2:5" x14ac:dyDescent="0.4">
      <c r="B4049" s="17"/>
      <c r="C4049" s="15"/>
      <c r="D4049" s="15"/>
      <c r="E4049" s="18"/>
    </row>
    <row r="4050" spans="2:5" x14ac:dyDescent="0.4">
      <c r="B4050" s="17"/>
      <c r="C4050" s="15"/>
      <c r="D4050" s="15"/>
      <c r="E4050" s="18"/>
    </row>
    <row r="4051" spans="2:5" x14ac:dyDescent="0.4">
      <c r="B4051" s="17"/>
      <c r="C4051" s="15"/>
      <c r="D4051" s="15"/>
      <c r="E4051" s="18"/>
    </row>
    <row r="4052" spans="2:5" x14ac:dyDescent="0.4">
      <c r="B4052" s="17"/>
      <c r="C4052" s="15"/>
      <c r="D4052" s="15"/>
      <c r="E4052" s="18"/>
    </row>
    <row r="4053" spans="2:5" x14ac:dyDescent="0.4">
      <c r="B4053" s="17"/>
      <c r="C4053" s="15"/>
      <c r="D4053" s="15"/>
      <c r="E4053" s="18"/>
    </row>
    <row r="4054" spans="2:5" x14ac:dyDescent="0.4">
      <c r="B4054" s="17"/>
      <c r="C4054" s="15"/>
      <c r="D4054" s="15"/>
      <c r="E4054" s="18"/>
    </row>
    <row r="4055" spans="2:5" x14ac:dyDescent="0.4">
      <c r="B4055" s="17"/>
      <c r="C4055" s="15"/>
      <c r="D4055" s="15"/>
      <c r="E4055" s="18"/>
    </row>
    <row r="4056" spans="2:5" x14ac:dyDescent="0.4">
      <c r="B4056" s="17"/>
      <c r="C4056" s="15"/>
      <c r="D4056" s="15"/>
      <c r="E4056" s="18"/>
    </row>
    <row r="4057" spans="2:5" x14ac:dyDescent="0.4">
      <c r="B4057" s="17"/>
      <c r="C4057" s="15"/>
      <c r="D4057" s="15"/>
      <c r="E4057" s="18"/>
    </row>
    <row r="4058" spans="2:5" x14ac:dyDescent="0.4">
      <c r="B4058" s="17"/>
      <c r="C4058" s="15"/>
      <c r="D4058" s="15"/>
      <c r="E4058" s="18"/>
    </row>
    <row r="4059" spans="2:5" x14ac:dyDescent="0.4">
      <c r="B4059" s="17"/>
      <c r="C4059" s="15"/>
      <c r="D4059" s="15"/>
      <c r="E4059" s="18"/>
    </row>
    <row r="4060" spans="2:5" x14ac:dyDescent="0.4">
      <c r="B4060" s="17"/>
      <c r="C4060" s="15"/>
      <c r="D4060" s="15"/>
      <c r="E4060" s="18"/>
    </row>
    <row r="4061" spans="2:5" x14ac:dyDescent="0.4">
      <c r="B4061" s="17"/>
      <c r="C4061" s="15"/>
      <c r="D4061" s="15"/>
      <c r="E4061" s="18"/>
    </row>
    <row r="4062" spans="2:5" x14ac:dyDescent="0.4">
      <c r="B4062" s="17"/>
      <c r="C4062" s="15"/>
      <c r="D4062" s="15"/>
      <c r="E4062" s="18"/>
    </row>
    <row r="4063" spans="2:5" x14ac:dyDescent="0.4">
      <c r="B4063" s="17"/>
      <c r="C4063" s="15"/>
      <c r="D4063" s="15"/>
      <c r="E4063" s="18"/>
    </row>
    <row r="4064" spans="2:5" x14ac:dyDescent="0.4">
      <c r="B4064" s="17"/>
      <c r="C4064" s="15"/>
      <c r="D4064" s="15"/>
      <c r="E4064" s="18"/>
    </row>
    <row r="4065" spans="2:5" x14ac:dyDescent="0.4">
      <c r="B4065" s="17"/>
      <c r="C4065" s="15"/>
      <c r="D4065" s="15"/>
      <c r="E4065" s="18"/>
    </row>
    <row r="4066" spans="2:5" x14ac:dyDescent="0.4">
      <c r="B4066" s="17"/>
      <c r="C4066" s="15"/>
      <c r="D4066" s="15"/>
      <c r="E4066" s="18"/>
    </row>
    <row r="4067" spans="2:5" x14ac:dyDescent="0.4">
      <c r="B4067" s="17"/>
      <c r="C4067" s="15"/>
      <c r="D4067" s="15"/>
      <c r="E4067" s="18"/>
    </row>
    <row r="4068" spans="2:5" x14ac:dyDescent="0.4">
      <c r="B4068" s="17"/>
      <c r="C4068" s="15"/>
      <c r="D4068" s="15"/>
      <c r="E4068" s="18"/>
    </row>
    <row r="4069" spans="2:5" x14ac:dyDescent="0.4">
      <c r="B4069" s="17"/>
      <c r="C4069" s="15"/>
      <c r="D4069" s="15"/>
      <c r="E4069" s="18"/>
    </row>
    <row r="4070" spans="2:5" x14ac:dyDescent="0.4">
      <c r="B4070" s="17"/>
      <c r="C4070" s="15"/>
      <c r="D4070" s="15"/>
      <c r="E4070" s="18"/>
    </row>
    <row r="4071" spans="2:5" x14ac:dyDescent="0.4">
      <c r="B4071" s="17"/>
      <c r="C4071" s="15"/>
      <c r="D4071" s="15"/>
      <c r="E4071" s="18"/>
    </row>
    <row r="4072" spans="2:5" x14ac:dyDescent="0.4">
      <c r="B4072" s="17"/>
      <c r="C4072" s="15"/>
      <c r="D4072" s="15"/>
      <c r="E4072" s="18"/>
    </row>
    <row r="4073" spans="2:5" x14ac:dyDescent="0.4">
      <c r="B4073" s="17"/>
      <c r="C4073" s="15"/>
      <c r="D4073" s="15"/>
      <c r="E4073" s="18"/>
    </row>
    <row r="4074" spans="2:5" x14ac:dyDescent="0.4">
      <c r="B4074" s="17"/>
      <c r="C4074" s="15"/>
      <c r="D4074" s="15"/>
      <c r="E4074" s="18"/>
    </row>
    <row r="4075" spans="2:5" x14ac:dyDescent="0.4">
      <c r="B4075" s="17"/>
      <c r="C4075" s="15"/>
      <c r="D4075" s="15"/>
      <c r="E4075" s="18"/>
    </row>
    <row r="4076" spans="2:5" x14ac:dyDescent="0.4">
      <c r="B4076" s="17"/>
      <c r="C4076" s="15"/>
      <c r="D4076" s="15"/>
      <c r="E4076" s="18"/>
    </row>
    <row r="4077" spans="2:5" x14ac:dyDescent="0.4">
      <c r="B4077" s="17"/>
      <c r="C4077" s="15"/>
      <c r="D4077" s="15"/>
      <c r="E4077" s="18"/>
    </row>
    <row r="4078" spans="2:5" x14ac:dyDescent="0.4">
      <c r="B4078" s="17"/>
      <c r="C4078" s="15"/>
      <c r="D4078" s="15"/>
      <c r="E4078" s="18"/>
    </row>
    <row r="4079" spans="2:5" x14ac:dyDescent="0.4">
      <c r="B4079" s="17"/>
      <c r="C4079" s="15"/>
      <c r="D4079" s="15"/>
      <c r="E4079" s="18"/>
    </row>
    <row r="4080" spans="2:5" x14ac:dyDescent="0.4">
      <c r="B4080" s="17"/>
      <c r="C4080" s="15"/>
      <c r="D4080" s="15"/>
      <c r="E4080" s="18"/>
    </row>
    <row r="4081" spans="2:5" x14ac:dyDescent="0.4">
      <c r="B4081" s="17"/>
      <c r="C4081" s="15"/>
      <c r="D4081" s="15"/>
      <c r="E4081" s="18"/>
    </row>
    <row r="4082" spans="2:5" x14ac:dyDescent="0.4">
      <c r="B4082" s="17"/>
      <c r="C4082" s="15"/>
      <c r="D4082" s="15"/>
      <c r="E4082" s="18"/>
    </row>
    <row r="4083" spans="2:5" x14ac:dyDescent="0.4">
      <c r="B4083" s="17"/>
      <c r="C4083" s="15"/>
      <c r="D4083" s="15"/>
      <c r="E4083" s="18"/>
    </row>
    <row r="4084" spans="2:5" x14ac:dyDescent="0.4">
      <c r="B4084" s="17"/>
      <c r="C4084" s="15"/>
      <c r="D4084" s="15"/>
      <c r="E4084" s="18"/>
    </row>
    <row r="4085" spans="2:5" x14ac:dyDescent="0.4">
      <c r="B4085" s="17"/>
      <c r="C4085" s="15"/>
      <c r="D4085" s="15"/>
      <c r="E4085" s="18"/>
    </row>
    <row r="4086" spans="2:5" x14ac:dyDescent="0.4">
      <c r="B4086" s="17"/>
      <c r="C4086" s="15"/>
      <c r="D4086" s="15"/>
      <c r="E4086" s="18"/>
    </row>
    <row r="4087" spans="2:5" x14ac:dyDescent="0.4">
      <c r="B4087" s="17"/>
      <c r="C4087" s="15"/>
      <c r="D4087" s="15"/>
      <c r="E4087" s="18"/>
    </row>
    <row r="4088" spans="2:5" x14ac:dyDescent="0.4">
      <c r="B4088" s="17"/>
      <c r="C4088" s="15"/>
      <c r="D4088" s="15"/>
      <c r="E4088" s="18"/>
    </row>
    <row r="4089" spans="2:5" x14ac:dyDescent="0.4">
      <c r="B4089" s="17"/>
      <c r="C4089" s="15"/>
      <c r="D4089" s="15"/>
      <c r="E4089" s="18"/>
    </row>
    <row r="4090" spans="2:5" x14ac:dyDescent="0.4">
      <c r="B4090" s="17"/>
      <c r="C4090" s="15"/>
      <c r="D4090" s="15"/>
      <c r="E4090" s="18"/>
    </row>
    <row r="4091" spans="2:5" x14ac:dyDescent="0.4">
      <c r="B4091" s="17"/>
      <c r="C4091" s="15"/>
      <c r="D4091" s="15"/>
      <c r="E4091" s="18"/>
    </row>
    <row r="4092" spans="2:5" x14ac:dyDescent="0.4">
      <c r="B4092" s="17"/>
      <c r="C4092" s="15"/>
      <c r="D4092" s="15"/>
      <c r="E4092" s="18"/>
    </row>
    <row r="4093" spans="2:5" x14ac:dyDescent="0.4">
      <c r="B4093" s="17"/>
      <c r="C4093" s="15"/>
      <c r="D4093" s="15"/>
      <c r="E4093" s="18"/>
    </row>
    <row r="4094" spans="2:5" x14ac:dyDescent="0.4">
      <c r="B4094" s="17"/>
      <c r="C4094" s="15"/>
      <c r="D4094" s="15"/>
      <c r="E4094" s="18"/>
    </row>
    <row r="4095" spans="2:5" x14ac:dyDescent="0.4">
      <c r="B4095" s="17"/>
      <c r="C4095" s="15"/>
      <c r="D4095" s="15"/>
      <c r="E4095" s="18"/>
    </row>
    <row r="4096" spans="2:5" x14ac:dyDescent="0.4">
      <c r="B4096" s="17"/>
      <c r="C4096" s="15"/>
      <c r="D4096" s="15"/>
      <c r="E4096" s="18"/>
    </row>
    <row r="4097" spans="2:5" x14ac:dyDescent="0.4">
      <c r="B4097" s="17"/>
      <c r="C4097" s="15"/>
      <c r="D4097" s="15"/>
      <c r="E4097" s="18"/>
    </row>
    <row r="4098" spans="2:5" x14ac:dyDescent="0.4">
      <c r="B4098" s="17"/>
      <c r="C4098" s="15"/>
      <c r="D4098" s="15"/>
      <c r="E4098" s="18"/>
    </row>
    <row r="4099" spans="2:5" x14ac:dyDescent="0.4">
      <c r="B4099" s="17"/>
      <c r="C4099" s="15"/>
      <c r="D4099" s="15"/>
      <c r="E4099" s="18"/>
    </row>
    <row r="4100" spans="2:5" x14ac:dyDescent="0.4">
      <c r="B4100" s="17"/>
      <c r="C4100" s="15"/>
      <c r="D4100" s="15"/>
      <c r="E4100" s="18"/>
    </row>
    <row r="4101" spans="2:5" x14ac:dyDescent="0.4">
      <c r="B4101" s="17"/>
      <c r="C4101" s="15"/>
      <c r="D4101" s="15"/>
      <c r="E4101" s="18"/>
    </row>
    <row r="4102" spans="2:5" x14ac:dyDescent="0.4">
      <c r="B4102" s="17"/>
      <c r="C4102" s="15"/>
      <c r="D4102" s="15"/>
      <c r="E4102" s="18"/>
    </row>
    <row r="4103" spans="2:5" x14ac:dyDescent="0.4">
      <c r="B4103" s="17"/>
      <c r="C4103" s="15"/>
      <c r="D4103" s="15"/>
      <c r="E4103" s="18"/>
    </row>
    <row r="4104" spans="2:5" x14ac:dyDescent="0.4">
      <c r="B4104" s="17"/>
      <c r="C4104" s="15"/>
      <c r="D4104" s="15"/>
      <c r="E4104" s="18"/>
    </row>
    <row r="4105" spans="2:5" x14ac:dyDescent="0.4">
      <c r="B4105" s="17"/>
      <c r="C4105" s="15"/>
      <c r="D4105" s="15"/>
      <c r="E4105" s="18"/>
    </row>
    <row r="4106" spans="2:5" x14ac:dyDescent="0.4">
      <c r="B4106" s="17"/>
      <c r="C4106" s="15"/>
      <c r="D4106" s="15"/>
      <c r="E4106" s="18"/>
    </row>
    <row r="4107" spans="2:5" x14ac:dyDescent="0.4">
      <c r="B4107" s="17"/>
      <c r="C4107" s="15"/>
      <c r="D4107" s="15"/>
      <c r="E4107" s="18"/>
    </row>
    <row r="4108" spans="2:5" x14ac:dyDescent="0.4">
      <c r="B4108" s="17"/>
      <c r="C4108" s="15"/>
      <c r="D4108" s="15"/>
      <c r="E4108" s="18"/>
    </row>
    <row r="4109" spans="2:5" x14ac:dyDescent="0.4">
      <c r="B4109" s="17"/>
      <c r="C4109" s="15"/>
      <c r="D4109" s="15"/>
      <c r="E4109" s="18"/>
    </row>
    <row r="4110" spans="2:5" x14ac:dyDescent="0.4">
      <c r="B4110" s="17"/>
      <c r="C4110" s="15"/>
      <c r="D4110" s="15"/>
      <c r="E4110" s="18"/>
    </row>
    <row r="4111" spans="2:5" x14ac:dyDescent="0.4">
      <c r="B4111" s="17"/>
      <c r="C4111" s="15"/>
      <c r="D4111" s="15"/>
      <c r="E4111" s="18"/>
    </row>
    <row r="4112" spans="2:5" x14ac:dyDescent="0.4">
      <c r="B4112" s="17"/>
      <c r="C4112" s="15"/>
      <c r="D4112" s="15"/>
      <c r="E4112" s="18"/>
    </row>
    <row r="4113" spans="2:5" x14ac:dyDescent="0.4">
      <c r="B4113" s="17"/>
      <c r="C4113" s="15"/>
      <c r="D4113" s="15"/>
      <c r="E4113" s="18"/>
    </row>
    <row r="4114" spans="2:5" x14ac:dyDescent="0.4">
      <c r="B4114" s="17"/>
      <c r="C4114" s="15"/>
      <c r="D4114" s="15"/>
      <c r="E4114" s="18"/>
    </row>
    <row r="4115" spans="2:5" x14ac:dyDescent="0.4">
      <c r="B4115" s="17"/>
      <c r="C4115" s="15"/>
      <c r="D4115" s="15"/>
      <c r="E4115" s="18"/>
    </row>
    <row r="4116" spans="2:5" x14ac:dyDescent="0.4">
      <c r="B4116" s="17"/>
      <c r="C4116" s="15"/>
      <c r="D4116" s="15"/>
      <c r="E4116" s="18"/>
    </row>
    <row r="4117" spans="2:5" x14ac:dyDescent="0.4">
      <c r="B4117" s="17"/>
      <c r="C4117" s="15"/>
      <c r="D4117" s="15"/>
      <c r="E4117" s="18"/>
    </row>
    <row r="4118" spans="2:5" x14ac:dyDescent="0.4">
      <c r="B4118" s="17"/>
      <c r="C4118" s="15"/>
      <c r="D4118" s="15"/>
      <c r="E4118" s="18"/>
    </row>
    <row r="4119" spans="2:5" x14ac:dyDescent="0.4">
      <c r="B4119" s="17"/>
      <c r="C4119" s="15"/>
      <c r="D4119" s="15"/>
      <c r="E4119" s="18"/>
    </row>
    <row r="4120" spans="2:5" x14ac:dyDescent="0.4">
      <c r="B4120" s="17"/>
      <c r="C4120" s="15"/>
      <c r="D4120" s="15"/>
      <c r="E4120" s="18"/>
    </row>
    <row r="4121" spans="2:5" x14ac:dyDescent="0.4">
      <c r="B4121" s="17"/>
      <c r="C4121" s="15"/>
      <c r="D4121" s="15"/>
      <c r="E4121" s="18"/>
    </row>
    <row r="4122" spans="2:5" x14ac:dyDescent="0.4">
      <c r="B4122" s="17"/>
      <c r="C4122" s="15"/>
      <c r="D4122" s="15"/>
      <c r="E4122" s="18"/>
    </row>
    <row r="4123" spans="2:5" x14ac:dyDescent="0.4">
      <c r="B4123" s="17"/>
      <c r="C4123" s="15"/>
      <c r="D4123" s="15"/>
      <c r="E4123" s="18"/>
    </row>
    <row r="4124" spans="2:5" x14ac:dyDescent="0.4">
      <c r="B4124" s="17"/>
      <c r="C4124" s="15"/>
      <c r="D4124" s="15"/>
      <c r="E4124" s="18"/>
    </row>
    <row r="4125" spans="2:5" x14ac:dyDescent="0.4">
      <c r="B4125" s="17"/>
      <c r="C4125" s="15"/>
      <c r="D4125" s="15"/>
      <c r="E4125" s="18"/>
    </row>
    <row r="4126" spans="2:5" x14ac:dyDescent="0.4">
      <c r="B4126" s="17"/>
      <c r="C4126" s="15"/>
      <c r="D4126" s="15"/>
      <c r="E4126" s="18"/>
    </row>
    <row r="4127" spans="2:5" x14ac:dyDescent="0.4">
      <c r="B4127" s="17"/>
      <c r="C4127" s="15"/>
      <c r="D4127" s="15"/>
      <c r="E4127" s="18"/>
    </row>
    <row r="4128" spans="2:5" x14ac:dyDescent="0.4">
      <c r="B4128" s="17"/>
      <c r="C4128" s="15"/>
      <c r="D4128" s="15"/>
      <c r="E4128" s="18"/>
    </row>
    <row r="4129" spans="2:5" x14ac:dyDescent="0.4">
      <c r="B4129" s="17"/>
      <c r="C4129" s="15"/>
      <c r="D4129" s="15"/>
      <c r="E4129" s="18"/>
    </row>
    <row r="4130" spans="2:5" x14ac:dyDescent="0.4">
      <c r="B4130" s="17"/>
      <c r="C4130" s="15"/>
      <c r="D4130" s="15"/>
      <c r="E4130" s="18"/>
    </row>
    <row r="4131" spans="2:5" x14ac:dyDescent="0.4">
      <c r="B4131" s="17"/>
      <c r="C4131" s="15"/>
      <c r="D4131" s="15"/>
      <c r="E4131" s="18"/>
    </row>
    <row r="4132" spans="2:5" x14ac:dyDescent="0.4">
      <c r="B4132" s="17"/>
      <c r="C4132" s="15"/>
      <c r="D4132" s="15"/>
      <c r="E4132" s="18"/>
    </row>
    <row r="4133" spans="2:5" x14ac:dyDescent="0.4">
      <c r="B4133" s="17"/>
      <c r="C4133" s="15"/>
      <c r="D4133" s="15"/>
      <c r="E4133" s="18"/>
    </row>
    <row r="4134" spans="2:5" x14ac:dyDescent="0.4">
      <c r="B4134" s="17"/>
      <c r="C4134" s="15"/>
      <c r="D4134" s="15"/>
      <c r="E4134" s="18"/>
    </row>
    <row r="4135" spans="2:5" x14ac:dyDescent="0.4">
      <c r="B4135" s="17"/>
      <c r="C4135" s="15"/>
      <c r="D4135" s="15"/>
      <c r="E4135" s="18"/>
    </row>
    <row r="4136" spans="2:5" x14ac:dyDescent="0.4">
      <c r="B4136" s="17"/>
      <c r="C4136" s="15"/>
      <c r="D4136" s="15"/>
      <c r="E4136" s="18"/>
    </row>
    <row r="4137" spans="2:5" x14ac:dyDescent="0.4">
      <c r="B4137" s="17"/>
      <c r="C4137" s="15"/>
      <c r="D4137" s="15"/>
      <c r="E4137" s="18"/>
    </row>
    <row r="4138" spans="2:5" x14ac:dyDescent="0.4">
      <c r="B4138" s="17"/>
      <c r="C4138" s="15"/>
      <c r="D4138" s="15"/>
      <c r="E4138" s="18"/>
    </row>
    <row r="4139" spans="2:5" x14ac:dyDescent="0.4">
      <c r="B4139" s="17"/>
      <c r="C4139" s="15"/>
      <c r="D4139" s="15"/>
      <c r="E4139" s="18"/>
    </row>
    <row r="4140" spans="2:5" x14ac:dyDescent="0.4">
      <c r="B4140" s="17"/>
      <c r="C4140" s="15"/>
      <c r="D4140" s="15"/>
      <c r="E4140" s="18"/>
    </row>
    <row r="4141" spans="2:5" x14ac:dyDescent="0.4">
      <c r="B4141" s="17"/>
      <c r="C4141" s="15"/>
      <c r="D4141" s="15"/>
      <c r="E4141" s="18"/>
    </row>
    <row r="4142" spans="2:5" x14ac:dyDescent="0.4">
      <c r="B4142" s="17"/>
      <c r="C4142" s="15"/>
      <c r="D4142" s="15"/>
      <c r="E4142" s="18"/>
    </row>
    <row r="4143" spans="2:5" x14ac:dyDescent="0.4">
      <c r="B4143" s="17"/>
      <c r="C4143" s="15"/>
      <c r="D4143" s="15"/>
      <c r="E4143" s="18"/>
    </row>
    <row r="4144" spans="2:5" x14ac:dyDescent="0.4">
      <c r="B4144" s="17"/>
      <c r="C4144" s="15"/>
      <c r="D4144" s="15"/>
      <c r="E4144" s="18"/>
    </row>
    <row r="4145" spans="2:5" x14ac:dyDescent="0.4">
      <c r="B4145" s="17"/>
      <c r="C4145" s="15"/>
      <c r="D4145" s="15"/>
      <c r="E4145" s="18"/>
    </row>
    <row r="4146" spans="2:5" x14ac:dyDescent="0.4">
      <c r="B4146" s="17"/>
      <c r="C4146" s="15"/>
      <c r="D4146" s="15"/>
      <c r="E4146" s="18"/>
    </row>
    <row r="4147" spans="2:5" x14ac:dyDescent="0.4">
      <c r="B4147" s="17"/>
      <c r="C4147" s="15"/>
      <c r="D4147" s="15"/>
      <c r="E4147" s="18"/>
    </row>
    <row r="4148" spans="2:5" x14ac:dyDescent="0.4">
      <c r="B4148" s="17"/>
      <c r="C4148" s="15"/>
      <c r="D4148" s="15"/>
      <c r="E4148" s="18"/>
    </row>
    <row r="4149" spans="2:5" x14ac:dyDescent="0.4">
      <c r="B4149" s="17"/>
      <c r="C4149" s="15"/>
      <c r="D4149" s="15"/>
      <c r="E4149" s="18"/>
    </row>
    <row r="4150" spans="2:5" x14ac:dyDescent="0.4">
      <c r="B4150" s="17"/>
      <c r="C4150" s="15"/>
      <c r="D4150" s="15"/>
      <c r="E4150" s="18"/>
    </row>
    <row r="4151" spans="2:5" x14ac:dyDescent="0.4">
      <c r="B4151" s="17"/>
      <c r="C4151" s="15"/>
      <c r="D4151" s="15"/>
      <c r="E4151" s="18"/>
    </row>
    <row r="4152" spans="2:5" x14ac:dyDescent="0.4">
      <c r="B4152" s="17"/>
      <c r="C4152" s="15"/>
      <c r="D4152" s="15"/>
      <c r="E4152" s="18"/>
    </row>
    <row r="4153" spans="2:5" x14ac:dyDescent="0.4">
      <c r="B4153" s="17"/>
      <c r="C4153" s="15"/>
      <c r="D4153" s="15"/>
      <c r="E4153" s="18"/>
    </row>
    <row r="4154" spans="2:5" x14ac:dyDescent="0.4">
      <c r="B4154" s="17"/>
      <c r="C4154" s="15"/>
      <c r="D4154" s="15"/>
      <c r="E4154" s="18"/>
    </row>
    <row r="4155" spans="2:5" x14ac:dyDescent="0.4">
      <c r="B4155" s="17"/>
      <c r="C4155" s="15"/>
      <c r="D4155" s="15"/>
      <c r="E4155" s="18"/>
    </row>
    <row r="4156" spans="2:5" x14ac:dyDescent="0.4">
      <c r="B4156" s="17"/>
      <c r="C4156" s="15"/>
      <c r="D4156" s="15"/>
      <c r="E4156" s="18"/>
    </row>
    <row r="4157" spans="2:5" x14ac:dyDescent="0.4">
      <c r="B4157" s="17"/>
      <c r="C4157" s="15"/>
      <c r="D4157" s="15"/>
      <c r="E4157" s="18"/>
    </row>
    <row r="4158" spans="2:5" x14ac:dyDescent="0.4">
      <c r="B4158" s="17"/>
      <c r="C4158" s="15"/>
      <c r="D4158" s="15"/>
      <c r="E4158" s="18"/>
    </row>
    <row r="4159" spans="2:5" x14ac:dyDescent="0.4">
      <c r="B4159" s="17"/>
      <c r="C4159" s="15"/>
      <c r="D4159" s="15"/>
      <c r="E4159" s="18"/>
    </row>
    <row r="4160" spans="2:5" x14ac:dyDescent="0.4">
      <c r="B4160" s="17"/>
      <c r="C4160" s="15"/>
      <c r="D4160" s="15"/>
      <c r="E4160" s="18"/>
    </row>
    <row r="4161" spans="2:5" x14ac:dyDescent="0.4">
      <c r="B4161" s="17"/>
      <c r="C4161" s="15"/>
      <c r="D4161" s="15"/>
      <c r="E4161" s="18"/>
    </row>
    <row r="4162" spans="2:5" x14ac:dyDescent="0.4">
      <c r="B4162" s="17"/>
      <c r="C4162" s="15"/>
      <c r="D4162" s="15"/>
      <c r="E4162" s="18"/>
    </row>
    <row r="4163" spans="2:5" x14ac:dyDescent="0.4">
      <c r="B4163" s="17"/>
      <c r="C4163" s="15"/>
      <c r="D4163" s="15"/>
      <c r="E4163" s="18"/>
    </row>
    <row r="4164" spans="2:5" x14ac:dyDescent="0.4">
      <c r="B4164" s="17"/>
      <c r="C4164" s="15"/>
      <c r="D4164" s="15"/>
      <c r="E4164" s="18"/>
    </row>
    <row r="4165" spans="2:5" x14ac:dyDescent="0.4">
      <c r="B4165" s="17"/>
      <c r="C4165" s="15"/>
      <c r="D4165" s="15"/>
      <c r="E4165" s="18"/>
    </row>
    <row r="4166" spans="2:5" x14ac:dyDescent="0.4">
      <c r="B4166" s="17"/>
      <c r="C4166" s="15"/>
      <c r="D4166" s="15"/>
      <c r="E4166" s="18"/>
    </row>
    <row r="4167" spans="2:5" x14ac:dyDescent="0.4">
      <c r="B4167" s="17"/>
      <c r="C4167" s="15"/>
      <c r="D4167" s="15"/>
      <c r="E4167" s="18"/>
    </row>
    <row r="4168" spans="2:5" x14ac:dyDescent="0.4">
      <c r="B4168" s="17"/>
      <c r="C4168" s="15"/>
      <c r="D4168" s="15"/>
      <c r="E4168" s="18"/>
    </row>
    <row r="4169" spans="2:5" x14ac:dyDescent="0.4">
      <c r="B4169" s="17"/>
      <c r="C4169" s="15"/>
      <c r="D4169" s="15"/>
      <c r="E4169" s="18"/>
    </row>
    <row r="4170" spans="2:5" x14ac:dyDescent="0.4">
      <c r="B4170" s="17"/>
      <c r="C4170" s="15"/>
      <c r="D4170" s="15"/>
      <c r="E4170" s="18"/>
    </row>
    <row r="4171" spans="2:5" x14ac:dyDescent="0.4">
      <c r="B4171" s="17"/>
      <c r="C4171" s="15"/>
      <c r="D4171" s="15"/>
      <c r="E4171" s="18"/>
    </row>
    <row r="4172" spans="2:5" x14ac:dyDescent="0.4">
      <c r="B4172" s="17"/>
      <c r="C4172" s="15"/>
      <c r="D4172" s="15"/>
      <c r="E4172" s="18"/>
    </row>
    <row r="4173" spans="2:5" x14ac:dyDescent="0.4">
      <c r="B4173" s="17"/>
      <c r="C4173" s="15"/>
      <c r="D4173" s="15"/>
      <c r="E4173" s="18"/>
    </row>
    <row r="4174" spans="2:5" x14ac:dyDescent="0.4">
      <c r="B4174" s="17"/>
      <c r="C4174" s="15"/>
      <c r="D4174" s="15"/>
      <c r="E4174" s="18"/>
    </row>
    <row r="4175" spans="2:5" x14ac:dyDescent="0.4">
      <c r="B4175" s="17"/>
      <c r="C4175" s="15"/>
      <c r="D4175" s="15"/>
      <c r="E4175" s="18"/>
    </row>
    <row r="4176" spans="2:5" x14ac:dyDescent="0.4">
      <c r="B4176" s="17"/>
      <c r="C4176" s="15"/>
      <c r="D4176" s="15"/>
      <c r="E4176" s="18"/>
    </row>
    <row r="4177" spans="2:5" x14ac:dyDescent="0.4">
      <c r="B4177" s="17"/>
      <c r="C4177" s="15"/>
      <c r="D4177" s="15"/>
      <c r="E4177" s="18"/>
    </row>
    <row r="4178" spans="2:5" x14ac:dyDescent="0.4">
      <c r="B4178" s="17"/>
      <c r="C4178" s="15"/>
      <c r="D4178" s="15"/>
      <c r="E4178" s="18"/>
    </row>
    <row r="4179" spans="2:5" x14ac:dyDescent="0.4">
      <c r="B4179" s="17"/>
      <c r="C4179" s="15"/>
      <c r="D4179" s="15"/>
      <c r="E4179" s="18"/>
    </row>
    <row r="4180" spans="2:5" x14ac:dyDescent="0.4">
      <c r="B4180" s="17"/>
      <c r="C4180" s="15"/>
      <c r="D4180" s="15"/>
      <c r="E4180" s="18"/>
    </row>
    <row r="4181" spans="2:5" x14ac:dyDescent="0.4">
      <c r="B4181" s="17"/>
      <c r="C4181" s="15"/>
      <c r="D4181" s="15"/>
      <c r="E4181" s="18"/>
    </row>
    <row r="4182" spans="2:5" x14ac:dyDescent="0.4">
      <c r="B4182" s="17"/>
      <c r="C4182" s="15"/>
      <c r="D4182" s="15"/>
      <c r="E4182" s="18"/>
    </row>
    <row r="4183" spans="2:5" x14ac:dyDescent="0.4">
      <c r="B4183" s="17"/>
      <c r="C4183" s="15"/>
      <c r="D4183" s="15"/>
      <c r="E4183" s="18"/>
    </row>
    <row r="4184" spans="2:5" x14ac:dyDescent="0.4">
      <c r="B4184" s="17"/>
      <c r="C4184" s="15"/>
      <c r="D4184" s="15"/>
      <c r="E4184" s="18"/>
    </row>
    <row r="4185" spans="2:5" x14ac:dyDescent="0.4">
      <c r="B4185" s="17"/>
      <c r="C4185" s="15"/>
      <c r="D4185" s="15"/>
      <c r="E4185" s="18"/>
    </row>
    <row r="4186" spans="2:5" x14ac:dyDescent="0.4">
      <c r="B4186" s="17"/>
      <c r="C4186" s="15"/>
      <c r="D4186" s="15"/>
      <c r="E4186" s="18"/>
    </row>
    <row r="4187" spans="2:5" x14ac:dyDescent="0.4">
      <c r="B4187" s="17"/>
      <c r="C4187" s="15"/>
      <c r="D4187" s="15"/>
      <c r="E4187" s="18"/>
    </row>
    <row r="4188" spans="2:5" x14ac:dyDescent="0.4">
      <c r="B4188" s="17"/>
      <c r="C4188" s="15"/>
      <c r="D4188" s="15"/>
      <c r="E4188" s="18"/>
    </row>
    <row r="4189" spans="2:5" x14ac:dyDescent="0.4">
      <c r="B4189" s="17"/>
      <c r="C4189" s="15"/>
      <c r="D4189" s="15"/>
      <c r="E4189" s="18"/>
    </row>
    <row r="4190" spans="2:5" x14ac:dyDescent="0.4">
      <c r="B4190" s="17"/>
      <c r="C4190" s="15"/>
      <c r="D4190" s="15"/>
      <c r="E4190" s="18"/>
    </row>
    <row r="4191" spans="2:5" x14ac:dyDescent="0.4">
      <c r="B4191" s="17"/>
      <c r="C4191" s="15"/>
      <c r="D4191" s="15"/>
      <c r="E4191" s="18"/>
    </row>
    <row r="4192" spans="2:5" x14ac:dyDescent="0.4">
      <c r="B4192" s="17"/>
      <c r="C4192" s="15"/>
      <c r="D4192" s="15"/>
      <c r="E4192" s="18"/>
    </row>
    <row r="4193" spans="2:5" x14ac:dyDescent="0.4">
      <c r="B4193" s="17"/>
      <c r="C4193" s="15"/>
      <c r="D4193" s="15"/>
      <c r="E4193" s="18"/>
    </row>
    <row r="4194" spans="2:5" x14ac:dyDescent="0.4">
      <c r="B4194" s="17"/>
      <c r="C4194" s="15"/>
      <c r="D4194" s="15"/>
      <c r="E4194" s="18"/>
    </row>
    <row r="4195" spans="2:5" x14ac:dyDescent="0.4">
      <c r="B4195" s="17"/>
      <c r="C4195" s="15"/>
      <c r="D4195" s="15"/>
      <c r="E4195" s="18"/>
    </row>
    <row r="4196" spans="2:5" x14ac:dyDescent="0.4">
      <c r="B4196" s="17"/>
      <c r="C4196" s="15"/>
      <c r="D4196" s="15"/>
      <c r="E4196" s="18"/>
    </row>
    <row r="4197" spans="2:5" x14ac:dyDescent="0.4">
      <c r="B4197" s="17"/>
      <c r="C4197" s="15"/>
      <c r="D4197" s="15"/>
      <c r="E4197" s="18"/>
    </row>
    <row r="4198" spans="2:5" x14ac:dyDescent="0.4">
      <c r="B4198" s="17"/>
      <c r="C4198" s="15"/>
      <c r="D4198" s="15"/>
      <c r="E4198" s="18"/>
    </row>
    <row r="4199" spans="2:5" x14ac:dyDescent="0.4">
      <c r="B4199" s="17"/>
      <c r="C4199" s="15"/>
      <c r="D4199" s="15"/>
      <c r="E4199" s="18"/>
    </row>
    <row r="4200" spans="2:5" x14ac:dyDescent="0.4">
      <c r="B4200" s="17"/>
      <c r="C4200" s="15"/>
      <c r="D4200" s="15"/>
      <c r="E4200" s="18"/>
    </row>
    <row r="4201" spans="2:5" x14ac:dyDescent="0.4">
      <c r="B4201" s="17"/>
      <c r="C4201" s="15"/>
      <c r="D4201" s="15"/>
      <c r="E4201" s="18"/>
    </row>
    <row r="4202" spans="2:5" x14ac:dyDescent="0.4">
      <c r="B4202" s="17"/>
      <c r="C4202" s="15"/>
      <c r="D4202" s="15"/>
      <c r="E4202" s="18"/>
    </row>
    <row r="4203" spans="2:5" x14ac:dyDescent="0.4">
      <c r="B4203" s="17"/>
      <c r="C4203" s="15"/>
      <c r="D4203" s="15"/>
      <c r="E4203" s="18"/>
    </row>
    <row r="4204" spans="2:5" x14ac:dyDescent="0.4">
      <c r="B4204" s="17"/>
      <c r="C4204" s="15"/>
      <c r="D4204" s="15"/>
      <c r="E4204" s="18"/>
    </row>
    <row r="4205" spans="2:5" x14ac:dyDescent="0.4">
      <c r="B4205" s="17"/>
      <c r="C4205" s="15"/>
      <c r="D4205" s="15"/>
      <c r="E4205" s="18"/>
    </row>
    <row r="4206" spans="2:5" x14ac:dyDescent="0.4">
      <c r="B4206" s="17"/>
      <c r="C4206" s="15"/>
      <c r="D4206" s="15"/>
      <c r="E4206" s="18"/>
    </row>
    <row r="4207" spans="2:5" x14ac:dyDescent="0.4">
      <c r="B4207" s="17"/>
      <c r="C4207" s="15"/>
      <c r="D4207" s="15"/>
      <c r="E4207" s="18"/>
    </row>
    <row r="4208" spans="2:5" x14ac:dyDescent="0.4">
      <c r="B4208" s="17"/>
      <c r="C4208" s="15"/>
      <c r="D4208" s="15"/>
      <c r="E4208" s="18"/>
    </row>
    <row r="4209" spans="2:5" x14ac:dyDescent="0.4">
      <c r="B4209" s="17"/>
      <c r="C4209" s="15"/>
      <c r="D4209" s="15"/>
      <c r="E4209" s="18"/>
    </row>
    <row r="4210" spans="2:5" x14ac:dyDescent="0.4">
      <c r="B4210" s="17"/>
      <c r="C4210" s="15"/>
      <c r="D4210" s="15"/>
      <c r="E4210" s="18"/>
    </row>
    <row r="4211" spans="2:5" x14ac:dyDescent="0.4">
      <c r="B4211" s="17"/>
      <c r="C4211" s="15"/>
      <c r="D4211" s="15"/>
      <c r="E4211" s="18"/>
    </row>
    <row r="4212" spans="2:5" x14ac:dyDescent="0.4">
      <c r="B4212" s="17"/>
      <c r="C4212" s="15"/>
      <c r="D4212" s="15"/>
      <c r="E4212" s="18"/>
    </row>
    <row r="4213" spans="2:5" x14ac:dyDescent="0.4">
      <c r="B4213" s="17"/>
      <c r="C4213" s="15"/>
      <c r="D4213" s="15"/>
      <c r="E4213" s="18"/>
    </row>
    <row r="4214" spans="2:5" x14ac:dyDescent="0.4">
      <c r="B4214" s="17"/>
      <c r="C4214" s="15"/>
      <c r="D4214" s="15"/>
      <c r="E4214" s="18"/>
    </row>
    <row r="4215" spans="2:5" x14ac:dyDescent="0.4">
      <c r="B4215" s="17"/>
      <c r="C4215" s="15"/>
      <c r="D4215" s="15"/>
      <c r="E4215" s="18"/>
    </row>
    <row r="4216" spans="2:5" x14ac:dyDescent="0.4">
      <c r="B4216" s="17"/>
      <c r="C4216" s="15"/>
      <c r="D4216" s="15"/>
      <c r="E4216" s="18"/>
    </row>
    <row r="4217" spans="2:5" x14ac:dyDescent="0.4">
      <c r="B4217" s="17"/>
      <c r="C4217" s="15"/>
      <c r="D4217" s="15"/>
      <c r="E4217" s="18"/>
    </row>
    <row r="4218" spans="2:5" x14ac:dyDescent="0.4">
      <c r="B4218" s="17"/>
      <c r="C4218" s="15"/>
      <c r="D4218" s="15"/>
      <c r="E4218" s="18"/>
    </row>
    <row r="4219" spans="2:5" x14ac:dyDescent="0.4">
      <c r="B4219" s="17"/>
      <c r="C4219" s="15"/>
      <c r="D4219" s="15"/>
      <c r="E4219" s="18"/>
    </row>
    <row r="4220" spans="2:5" x14ac:dyDescent="0.4">
      <c r="B4220" s="17"/>
      <c r="C4220" s="15"/>
      <c r="D4220" s="15"/>
      <c r="E4220" s="18"/>
    </row>
    <row r="4221" spans="2:5" x14ac:dyDescent="0.4">
      <c r="B4221" s="17"/>
      <c r="C4221" s="15"/>
      <c r="D4221" s="15"/>
      <c r="E4221" s="18"/>
    </row>
    <row r="4222" spans="2:5" x14ac:dyDescent="0.4">
      <c r="B4222" s="17"/>
      <c r="C4222" s="15"/>
      <c r="D4222" s="15"/>
      <c r="E4222" s="18"/>
    </row>
    <row r="4223" spans="2:5" x14ac:dyDescent="0.4">
      <c r="B4223" s="17"/>
      <c r="C4223" s="15"/>
      <c r="D4223" s="15"/>
      <c r="E4223" s="18"/>
    </row>
    <row r="4224" spans="2:5" x14ac:dyDescent="0.4">
      <c r="B4224" s="17"/>
      <c r="C4224" s="15"/>
      <c r="D4224" s="15"/>
      <c r="E4224" s="18"/>
    </row>
    <row r="4225" spans="2:5" x14ac:dyDescent="0.4">
      <c r="B4225" s="17"/>
      <c r="C4225" s="15"/>
      <c r="D4225" s="15"/>
      <c r="E4225" s="18"/>
    </row>
    <row r="4226" spans="2:5" x14ac:dyDescent="0.4">
      <c r="B4226" s="17"/>
      <c r="C4226" s="15"/>
      <c r="D4226" s="15"/>
      <c r="E4226" s="18"/>
    </row>
    <row r="4227" spans="2:5" x14ac:dyDescent="0.4">
      <c r="B4227" s="17"/>
      <c r="C4227" s="15"/>
      <c r="D4227" s="15"/>
      <c r="E4227" s="18"/>
    </row>
    <row r="4228" spans="2:5" x14ac:dyDescent="0.4">
      <c r="B4228" s="17"/>
      <c r="C4228" s="15"/>
      <c r="D4228" s="15"/>
      <c r="E4228" s="18"/>
    </row>
    <row r="4229" spans="2:5" x14ac:dyDescent="0.4">
      <c r="B4229" s="17"/>
      <c r="C4229" s="15"/>
      <c r="D4229" s="15"/>
      <c r="E4229" s="18"/>
    </row>
    <row r="4230" spans="2:5" x14ac:dyDescent="0.4">
      <c r="B4230" s="17"/>
      <c r="C4230" s="15"/>
      <c r="D4230" s="15"/>
      <c r="E4230" s="18"/>
    </row>
    <row r="4231" spans="2:5" x14ac:dyDescent="0.4">
      <c r="B4231" s="17"/>
      <c r="C4231" s="15"/>
      <c r="D4231" s="15"/>
      <c r="E4231" s="18"/>
    </row>
    <row r="4232" spans="2:5" x14ac:dyDescent="0.4">
      <c r="B4232" s="17"/>
      <c r="C4232" s="15"/>
      <c r="D4232" s="15"/>
      <c r="E4232" s="18"/>
    </row>
    <row r="4233" spans="2:5" x14ac:dyDescent="0.4">
      <c r="B4233" s="17"/>
      <c r="C4233" s="15"/>
      <c r="D4233" s="15"/>
      <c r="E4233" s="18"/>
    </row>
    <row r="4234" spans="2:5" x14ac:dyDescent="0.4">
      <c r="B4234" s="17"/>
      <c r="C4234" s="15"/>
      <c r="D4234" s="15"/>
      <c r="E4234" s="18"/>
    </row>
    <row r="4235" spans="2:5" x14ac:dyDescent="0.4">
      <c r="B4235" s="17"/>
      <c r="C4235" s="15"/>
      <c r="D4235" s="15"/>
      <c r="E4235" s="18"/>
    </row>
    <row r="4236" spans="2:5" x14ac:dyDescent="0.4">
      <c r="B4236" s="17"/>
      <c r="C4236" s="15"/>
      <c r="D4236" s="15"/>
      <c r="E4236" s="18"/>
    </row>
    <row r="4237" spans="2:5" x14ac:dyDescent="0.4">
      <c r="B4237" s="17"/>
      <c r="C4237" s="15"/>
      <c r="D4237" s="15"/>
      <c r="E4237" s="18"/>
    </row>
    <row r="4238" spans="2:5" x14ac:dyDescent="0.4">
      <c r="B4238" s="17"/>
      <c r="C4238" s="15"/>
      <c r="D4238" s="15"/>
      <c r="E4238" s="18"/>
    </row>
    <row r="4239" spans="2:5" x14ac:dyDescent="0.4">
      <c r="B4239" s="17"/>
      <c r="C4239" s="15"/>
      <c r="D4239" s="15"/>
      <c r="E4239" s="18"/>
    </row>
    <row r="4240" spans="2:5" x14ac:dyDescent="0.4">
      <c r="B4240" s="17"/>
      <c r="C4240" s="15"/>
      <c r="D4240" s="15"/>
      <c r="E4240" s="18"/>
    </row>
    <row r="4241" spans="2:5" x14ac:dyDescent="0.4">
      <c r="B4241" s="17"/>
      <c r="C4241" s="15"/>
      <c r="D4241" s="15"/>
      <c r="E4241" s="18"/>
    </row>
    <row r="4242" spans="2:5" x14ac:dyDescent="0.4">
      <c r="B4242" s="17"/>
      <c r="C4242" s="15"/>
      <c r="D4242" s="15"/>
      <c r="E4242" s="18"/>
    </row>
    <row r="4243" spans="2:5" x14ac:dyDescent="0.4">
      <c r="B4243" s="17"/>
      <c r="C4243" s="15"/>
      <c r="D4243" s="15"/>
      <c r="E4243" s="18"/>
    </row>
    <row r="4244" spans="2:5" x14ac:dyDescent="0.4">
      <c r="B4244" s="17"/>
      <c r="C4244" s="15"/>
      <c r="D4244" s="15"/>
      <c r="E4244" s="18"/>
    </row>
    <row r="4245" spans="2:5" x14ac:dyDescent="0.4">
      <c r="B4245" s="17"/>
      <c r="C4245" s="15"/>
      <c r="D4245" s="15"/>
      <c r="E4245" s="18"/>
    </row>
    <row r="4246" spans="2:5" x14ac:dyDescent="0.4">
      <c r="B4246" s="17"/>
      <c r="C4246" s="15"/>
      <c r="D4246" s="15"/>
      <c r="E4246" s="18"/>
    </row>
    <row r="4247" spans="2:5" x14ac:dyDescent="0.4">
      <c r="B4247" s="17"/>
      <c r="C4247" s="15"/>
      <c r="D4247" s="15"/>
      <c r="E4247" s="18"/>
    </row>
    <row r="4248" spans="2:5" x14ac:dyDescent="0.4">
      <c r="B4248" s="17"/>
      <c r="C4248" s="15"/>
      <c r="D4248" s="15"/>
      <c r="E4248" s="18"/>
    </row>
    <row r="4249" spans="2:5" x14ac:dyDescent="0.4">
      <c r="B4249" s="17"/>
      <c r="C4249" s="15"/>
      <c r="D4249" s="15"/>
      <c r="E4249" s="18"/>
    </row>
    <row r="4250" spans="2:5" x14ac:dyDescent="0.4">
      <c r="B4250" s="17"/>
      <c r="C4250" s="15"/>
      <c r="D4250" s="15"/>
      <c r="E4250" s="18"/>
    </row>
    <row r="4251" spans="2:5" x14ac:dyDescent="0.4">
      <c r="B4251" s="17"/>
      <c r="C4251" s="15"/>
      <c r="D4251" s="15"/>
      <c r="E4251" s="18"/>
    </row>
    <row r="4252" spans="2:5" x14ac:dyDescent="0.4">
      <c r="B4252" s="17"/>
      <c r="C4252" s="15"/>
      <c r="D4252" s="15"/>
      <c r="E4252" s="18"/>
    </row>
    <row r="4253" spans="2:5" x14ac:dyDescent="0.4">
      <c r="B4253" s="17"/>
      <c r="C4253" s="15"/>
      <c r="D4253" s="15"/>
      <c r="E4253" s="18"/>
    </row>
    <row r="4254" spans="2:5" x14ac:dyDescent="0.4">
      <c r="B4254" s="17"/>
      <c r="C4254" s="15"/>
      <c r="D4254" s="15"/>
      <c r="E4254" s="18"/>
    </row>
    <row r="4255" spans="2:5" x14ac:dyDescent="0.4">
      <c r="B4255" s="17"/>
      <c r="C4255" s="15"/>
      <c r="D4255" s="15"/>
      <c r="E4255" s="18"/>
    </row>
    <row r="4256" spans="2:5" x14ac:dyDescent="0.4">
      <c r="B4256" s="17"/>
      <c r="C4256" s="15"/>
      <c r="D4256" s="15"/>
      <c r="E4256" s="18"/>
    </row>
    <row r="4257" spans="2:5" x14ac:dyDescent="0.4">
      <c r="B4257" s="17"/>
      <c r="C4257" s="15"/>
      <c r="D4257" s="15"/>
      <c r="E4257" s="18"/>
    </row>
    <row r="4258" spans="2:5" x14ac:dyDescent="0.4">
      <c r="B4258" s="17"/>
      <c r="C4258" s="15"/>
      <c r="D4258" s="15"/>
      <c r="E4258" s="18"/>
    </row>
    <row r="4259" spans="2:5" x14ac:dyDescent="0.4">
      <c r="B4259" s="17"/>
      <c r="C4259" s="15"/>
      <c r="D4259" s="15"/>
      <c r="E4259" s="18"/>
    </row>
    <row r="4260" spans="2:5" x14ac:dyDescent="0.4">
      <c r="B4260" s="17"/>
      <c r="C4260" s="15"/>
      <c r="D4260" s="15"/>
      <c r="E4260" s="18"/>
    </row>
    <row r="4261" spans="2:5" x14ac:dyDescent="0.4">
      <c r="B4261" s="17"/>
      <c r="C4261" s="15"/>
      <c r="D4261" s="15"/>
      <c r="E4261" s="18"/>
    </row>
    <row r="4262" spans="2:5" x14ac:dyDescent="0.4">
      <c r="B4262" s="17"/>
      <c r="C4262" s="15"/>
      <c r="D4262" s="15"/>
      <c r="E4262" s="18"/>
    </row>
    <row r="4263" spans="2:5" x14ac:dyDescent="0.4">
      <c r="B4263" s="17"/>
      <c r="C4263" s="15"/>
      <c r="D4263" s="15"/>
      <c r="E4263" s="18"/>
    </row>
    <row r="4264" spans="2:5" x14ac:dyDescent="0.4">
      <c r="B4264" s="17"/>
      <c r="C4264" s="15"/>
      <c r="D4264" s="15"/>
      <c r="E4264" s="18"/>
    </row>
    <row r="4265" spans="2:5" x14ac:dyDescent="0.4">
      <c r="B4265" s="17"/>
      <c r="C4265" s="15"/>
      <c r="D4265" s="15"/>
      <c r="E4265" s="18"/>
    </row>
    <row r="4266" spans="2:5" x14ac:dyDescent="0.4">
      <c r="B4266" s="17"/>
      <c r="C4266" s="15"/>
      <c r="D4266" s="15"/>
      <c r="E4266" s="18"/>
    </row>
    <row r="4267" spans="2:5" x14ac:dyDescent="0.4">
      <c r="B4267" s="17"/>
      <c r="C4267" s="15"/>
      <c r="D4267" s="15"/>
      <c r="E4267" s="18"/>
    </row>
    <row r="4268" spans="2:5" x14ac:dyDescent="0.4">
      <c r="B4268" s="17"/>
      <c r="C4268" s="15"/>
      <c r="D4268" s="15"/>
      <c r="E4268" s="18"/>
    </row>
    <row r="4269" spans="2:5" x14ac:dyDescent="0.4">
      <c r="B4269" s="17"/>
      <c r="C4269" s="15"/>
      <c r="D4269" s="15"/>
      <c r="E4269" s="18"/>
    </row>
    <row r="4270" spans="2:5" x14ac:dyDescent="0.4">
      <c r="B4270" s="17"/>
      <c r="C4270" s="15"/>
      <c r="D4270" s="15"/>
      <c r="E4270" s="18"/>
    </row>
    <row r="4271" spans="2:5" x14ac:dyDescent="0.4">
      <c r="B4271" s="17"/>
      <c r="C4271" s="15"/>
      <c r="D4271" s="15"/>
      <c r="E4271" s="18"/>
    </row>
    <row r="4272" spans="2:5" x14ac:dyDescent="0.4">
      <c r="B4272" s="17"/>
      <c r="C4272" s="15"/>
      <c r="D4272" s="15"/>
      <c r="E4272" s="18"/>
    </row>
    <row r="4273" spans="2:5" x14ac:dyDescent="0.4">
      <c r="B4273" s="17"/>
      <c r="C4273" s="15"/>
      <c r="D4273" s="15"/>
      <c r="E4273" s="18"/>
    </row>
    <row r="4274" spans="2:5" x14ac:dyDescent="0.4">
      <c r="B4274" s="17"/>
      <c r="C4274" s="15"/>
      <c r="D4274" s="15"/>
      <c r="E4274" s="18"/>
    </row>
    <row r="4275" spans="2:5" x14ac:dyDescent="0.4">
      <c r="B4275" s="17"/>
      <c r="C4275" s="15"/>
      <c r="D4275" s="15"/>
      <c r="E4275" s="18"/>
    </row>
    <row r="4276" spans="2:5" x14ac:dyDescent="0.4">
      <c r="B4276" s="17"/>
      <c r="C4276" s="15"/>
      <c r="D4276" s="15"/>
      <c r="E4276" s="18"/>
    </row>
    <row r="4277" spans="2:5" x14ac:dyDescent="0.4">
      <c r="B4277" s="17"/>
      <c r="C4277" s="15"/>
      <c r="D4277" s="15"/>
      <c r="E4277" s="18"/>
    </row>
    <row r="4278" spans="2:5" x14ac:dyDescent="0.4">
      <c r="B4278" s="17"/>
      <c r="C4278" s="15"/>
      <c r="D4278" s="15"/>
      <c r="E4278" s="18"/>
    </row>
    <row r="4279" spans="2:5" x14ac:dyDescent="0.4">
      <c r="B4279" s="17"/>
      <c r="C4279" s="15"/>
      <c r="D4279" s="15"/>
      <c r="E4279" s="18"/>
    </row>
    <row r="4280" spans="2:5" x14ac:dyDescent="0.4">
      <c r="B4280" s="17"/>
      <c r="C4280" s="15"/>
      <c r="D4280" s="15"/>
      <c r="E4280" s="18"/>
    </row>
    <row r="4281" spans="2:5" x14ac:dyDescent="0.4">
      <c r="B4281" s="17"/>
      <c r="C4281" s="15"/>
      <c r="D4281" s="15"/>
      <c r="E4281" s="18"/>
    </row>
    <row r="4282" spans="2:5" x14ac:dyDescent="0.4">
      <c r="B4282" s="17"/>
      <c r="C4282" s="15"/>
      <c r="D4282" s="15"/>
      <c r="E4282" s="18"/>
    </row>
    <row r="4283" spans="2:5" x14ac:dyDescent="0.4">
      <c r="B4283" s="17"/>
      <c r="C4283" s="15"/>
      <c r="D4283" s="15"/>
      <c r="E4283" s="18"/>
    </row>
    <row r="4284" spans="2:5" x14ac:dyDescent="0.4">
      <c r="B4284" s="17"/>
      <c r="C4284" s="15"/>
      <c r="D4284" s="15"/>
      <c r="E4284" s="18"/>
    </row>
    <row r="4285" spans="2:5" x14ac:dyDescent="0.4">
      <c r="B4285" s="17"/>
      <c r="C4285" s="15"/>
      <c r="D4285" s="15"/>
      <c r="E4285" s="18"/>
    </row>
    <row r="4286" spans="2:5" x14ac:dyDescent="0.4">
      <c r="B4286" s="17"/>
      <c r="C4286" s="15"/>
      <c r="D4286" s="15"/>
      <c r="E4286" s="18"/>
    </row>
    <row r="4287" spans="2:5" x14ac:dyDescent="0.4">
      <c r="B4287" s="17"/>
      <c r="C4287" s="15"/>
      <c r="D4287" s="15"/>
      <c r="E4287" s="18"/>
    </row>
    <row r="4288" spans="2:5" x14ac:dyDescent="0.4">
      <c r="B4288" s="17"/>
      <c r="C4288" s="15"/>
      <c r="D4288" s="15"/>
      <c r="E4288" s="18"/>
    </row>
    <row r="4289" spans="2:5" x14ac:dyDescent="0.4">
      <c r="B4289" s="17"/>
      <c r="C4289" s="15"/>
      <c r="D4289" s="15"/>
      <c r="E4289" s="18"/>
    </row>
    <row r="4290" spans="2:5" x14ac:dyDescent="0.4">
      <c r="B4290" s="17"/>
      <c r="C4290" s="15"/>
      <c r="D4290" s="15"/>
      <c r="E4290" s="18"/>
    </row>
    <row r="4291" spans="2:5" x14ac:dyDescent="0.4">
      <c r="B4291" s="17"/>
      <c r="C4291" s="15"/>
      <c r="D4291" s="15"/>
      <c r="E4291" s="18"/>
    </row>
    <row r="4292" spans="2:5" x14ac:dyDescent="0.4">
      <c r="B4292" s="17"/>
      <c r="C4292" s="15"/>
      <c r="D4292" s="15"/>
      <c r="E4292" s="18"/>
    </row>
    <row r="4293" spans="2:5" x14ac:dyDescent="0.4">
      <c r="B4293" s="17"/>
      <c r="C4293" s="15"/>
      <c r="D4293" s="15"/>
      <c r="E4293" s="18"/>
    </row>
    <row r="4294" spans="2:5" x14ac:dyDescent="0.4">
      <c r="B4294" s="17"/>
      <c r="C4294" s="15"/>
      <c r="D4294" s="15"/>
      <c r="E4294" s="18"/>
    </row>
    <row r="4295" spans="2:5" x14ac:dyDescent="0.4">
      <c r="B4295" s="17"/>
      <c r="C4295" s="15"/>
      <c r="D4295" s="15"/>
      <c r="E4295" s="18"/>
    </row>
    <row r="4296" spans="2:5" x14ac:dyDescent="0.4">
      <c r="B4296" s="17"/>
      <c r="C4296" s="15"/>
      <c r="D4296" s="15"/>
      <c r="E4296" s="18"/>
    </row>
    <row r="4297" spans="2:5" x14ac:dyDescent="0.4">
      <c r="B4297" s="17"/>
      <c r="C4297" s="15"/>
      <c r="D4297" s="15"/>
      <c r="E4297" s="18"/>
    </row>
    <row r="4298" spans="2:5" x14ac:dyDescent="0.4">
      <c r="B4298" s="17"/>
      <c r="C4298" s="15"/>
      <c r="D4298" s="15"/>
      <c r="E4298" s="18"/>
    </row>
    <row r="4299" spans="2:5" x14ac:dyDescent="0.4">
      <c r="B4299" s="17"/>
      <c r="C4299" s="15"/>
      <c r="D4299" s="15"/>
      <c r="E4299" s="18"/>
    </row>
    <row r="4300" spans="2:5" x14ac:dyDescent="0.4">
      <c r="B4300" s="17"/>
      <c r="C4300" s="15"/>
      <c r="D4300" s="15"/>
      <c r="E4300" s="18"/>
    </row>
    <row r="4301" spans="2:5" x14ac:dyDescent="0.4">
      <c r="B4301" s="17"/>
      <c r="C4301" s="15"/>
      <c r="D4301" s="15"/>
      <c r="E4301" s="18"/>
    </row>
    <row r="4302" spans="2:5" x14ac:dyDescent="0.4">
      <c r="B4302" s="17"/>
      <c r="C4302" s="15"/>
      <c r="D4302" s="15"/>
      <c r="E4302" s="18"/>
    </row>
    <row r="4303" spans="2:5" x14ac:dyDescent="0.4">
      <c r="B4303" s="17"/>
      <c r="C4303" s="15"/>
      <c r="D4303" s="15"/>
      <c r="E4303" s="18"/>
    </row>
    <row r="4304" spans="2:5" x14ac:dyDescent="0.4">
      <c r="B4304" s="17"/>
      <c r="C4304" s="15"/>
      <c r="D4304" s="15"/>
      <c r="E4304" s="18"/>
    </row>
    <row r="4305" spans="2:5" x14ac:dyDescent="0.4">
      <c r="B4305" s="17"/>
      <c r="C4305" s="15"/>
      <c r="D4305" s="15"/>
      <c r="E4305" s="18"/>
    </row>
    <row r="4306" spans="2:5" x14ac:dyDescent="0.4">
      <c r="B4306" s="17"/>
      <c r="C4306" s="15"/>
      <c r="D4306" s="15"/>
      <c r="E4306" s="18"/>
    </row>
    <row r="4307" spans="2:5" x14ac:dyDescent="0.4">
      <c r="B4307" s="17"/>
      <c r="C4307" s="15"/>
      <c r="D4307" s="15"/>
      <c r="E4307" s="18"/>
    </row>
    <row r="4308" spans="2:5" x14ac:dyDescent="0.4">
      <c r="B4308" s="17"/>
      <c r="C4308" s="15"/>
      <c r="D4308" s="15"/>
      <c r="E4308" s="18"/>
    </row>
    <row r="4309" spans="2:5" x14ac:dyDescent="0.4">
      <c r="B4309" s="17"/>
      <c r="C4309" s="15"/>
      <c r="D4309" s="15"/>
      <c r="E4309" s="18"/>
    </row>
    <row r="4310" spans="2:5" x14ac:dyDescent="0.4">
      <c r="B4310" s="17"/>
      <c r="C4310" s="15"/>
      <c r="D4310" s="15"/>
      <c r="E4310" s="18"/>
    </row>
    <row r="4311" spans="2:5" x14ac:dyDescent="0.4">
      <c r="B4311" s="17"/>
      <c r="C4311" s="15"/>
      <c r="D4311" s="15"/>
      <c r="E4311" s="18"/>
    </row>
    <row r="4312" spans="2:5" x14ac:dyDescent="0.4">
      <c r="B4312" s="17"/>
      <c r="C4312" s="15"/>
      <c r="D4312" s="15"/>
      <c r="E4312" s="18"/>
    </row>
    <row r="4313" spans="2:5" x14ac:dyDescent="0.4">
      <c r="B4313" s="17"/>
      <c r="C4313" s="15"/>
      <c r="D4313" s="15"/>
      <c r="E4313" s="18"/>
    </row>
    <row r="4314" spans="2:5" x14ac:dyDescent="0.4">
      <c r="B4314" s="17"/>
      <c r="C4314" s="15"/>
      <c r="D4314" s="15"/>
      <c r="E4314" s="18"/>
    </row>
    <row r="4315" spans="2:5" x14ac:dyDescent="0.4">
      <c r="B4315" s="17"/>
      <c r="C4315" s="15"/>
      <c r="D4315" s="15"/>
      <c r="E4315" s="18"/>
    </row>
    <row r="4316" spans="2:5" x14ac:dyDescent="0.4">
      <c r="B4316" s="17"/>
      <c r="C4316" s="15"/>
      <c r="D4316" s="15"/>
      <c r="E4316" s="18"/>
    </row>
    <row r="4317" spans="2:5" x14ac:dyDescent="0.4">
      <c r="B4317" s="17"/>
      <c r="C4317" s="15"/>
      <c r="D4317" s="15"/>
      <c r="E4317" s="18"/>
    </row>
    <row r="4318" spans="2:5" x14ac:dyDescent="0.4">
      <c r="B4318" s="17"/>
      <c r="C4318" s="15"/>
      <c r="D4318" s="15"/>
      <c r="E4318" s="18"/>
    </row>
    <row r="4319" spans="2:5" x14ac:dyDescent="0.4">
      <c r="B4319" s="17"/>
      <c r="C4319" s="15"/>
      <c r="D4319" s="15"/>
      <c r="E4319" s="18"/>
    </row>
    <row r="4320" spans="2:5" x14ac:dyDescent="0.4">
      <c r="B4320" s="17"/>
      <c r="C4320" s="15"/>
      <c r="D4320" s="15"/>
      <c r="E4320" s="18"/>
    </row>
    <row r="4321" spans="2:5" x14ac:dyDescent="0.4">
      <c r="B4321" s="17"/>
      <c r="C4321" s="15"/>
      <c r="D4321" s="15"/>
      <c r="E4321" s="18"/>
    </row>
    <row r="4322" spans="2:5" x14ac:dyDescent="0.4">
      <c r="B4322" s="17"/>
      <c r="C4322" s="15"/>
      <c r="D4322" s="15"/>
      <c r="E4322" s="18"/>
    </row>
    <row r="4323" spans="2:5" x14ac:dyDescent="0.4">
      <c r="B4323" s="17"/>
      <c r="C4323" s="15"/>
      <c r="D4323" s="15"/>
      <c r="E4323" s="18"/>
    </row>
    <row r="4324" spans="2:5" x14ac:dyDescent="0.4">
      <c r="B4324" s="17"/>
      <c r="C4324" s="15"/>
      <c r="D4324" s="15"/>
      <c r="E4324" s="18"/>
    </row>
    <row r="4325" spans="2:5" x14ac:dyDescent="0.4">
      <c r="B4325" s="17"/>
      <c r="C4325" s="15"/>
      <c r="D4325" s="15"/>
      <c r="E4325" s="18"/>
    </row>
    <row r="4326" spans="2:5" x14ac:dyDescent="0.4">
      <c r="B4326" s="17"/>
      <c r="C4326" s="15"/>
      <c r="D4326" s="15"/>
      <c r="E4326" s="18"/>
    </row>
    <row r="4327" spans="2:5" x14ac:dyDescent="0.4">
      <c r="B4327" s="17"/>
      <c r="C4327" s="15"/>
      <c r="D4327" s="15"/>
      <c r="E4327" s="18"/>
    </row>
    <row r="4328" spans="2:5" x14ac:dyDescent="0.4">
      <c r="B4328" s="17"/>
      <c r="C4328" s="15"/>
      <c r="D4328" s="15"/>
      <c r="E4328" s="18"/>
    </row>
    <row r="4329" spans="2:5" x14ac:dyDescent="0.4">
      <c r="B4329" s="17"/>
      <c r="C4329" s="15"/>
      <c r="D4329" s="15"/>
      <c r="E4329" s="18"/>
    </row>
    <row r="4330" spans="2:5" x14ac:dyDescent="0.4">
      <c r="B4330" s="17"/>
      <c r="C4330" s="15"/>
      <c r="D4330" s="15"/>
      <c r="E4330" s="18"/>
    </row>
    <row r="4331" spans="2:5" x14ac:dyDescent="0.4">
      <c r="B4331" s="17"/>
      <c r="C4331" s="15"/>
      <c r="D4331" s="15"/>
      <c r="E4331" s="18"/>
    </row>
    <row r="4332" spans="2:5" x14ac:dyDescent="0.4">
      <c r="B4332" s="17"/>
      <c r="C4332" s="15"/>
      <c r="D4332" s="15"/>
      <c r="E4332" s="18"/>
    </row>
    <row r="4333" spans="2:5" x14ac:dyDescent="0.4">
      <c r="B4333" s="17"/>
      <c r="C4333" s="15"/>
      <c r="D4333" s="15"/>
      <c r="E4333" s="18"/>
    </row>
    <row r="4334" spans="2:5" x14ac:dyDescent="0.4">
      <c r="B4334" s="17"/>
      <c r="C4334" s="15"/>
      <c r="D4334" s="15"/>
      <c r="E4334" s="18"/>
    </row>
    <row r="4335" spans="2:5" x14ac:dyDescent="0.4">
      <c r="B4335" s="17"/>
      <c r="C4335" s="15"/>
      <c r="D4335" s="15"/>
      <c r="E4335" s="18"/>
    </row>
    <row r="4336" spans="2:5" x14ac:dyDescent="0.4">
      <c r="B4336" s="17"/>
      <c r="C4336" s="15"/>
      <c r="D4336" s="15"/>
      <c r="E4336" s="18"/>
    </row>
    <row r="4337" spans="2:5" x14ac:dyDescent="0.4">
      <c r="B4337" s="17"/>
      <c r="C4337" s="15"/>
      <c r="D4337" s="15"/>
      <c r="E4337" s="18"/>
    </row>
    <row r="4338" spans="2:5" x14ac:dyDescent="0.4">
      <c r="B4338" s="17"/>
      <c r="C4338" s="15"/>
      <c r="D4338" s="15"/>
      <c r="E4338" s="18"/>
    </row>
    <row r="4339" spans="2:5" x14ac:dyDescent="0.4">
      <c r="B4339" s="17"/>
      <c r="C4339" s="15"/>
      <c r="D4339" s="15"/>
      <c r="E4339" s="18"/>
    </row>
    <row r="4340" spans="2:5" x14ac:dyDescent="0.4">
      <c r="B4340" s="17"/>
      <c r="C4340" s="15"/>
      <c r="D4340" s="15"/>
      <c r="E4340" s="18"/>
    </row>
    <row r="4341" spans="2:5" x14ac:dyDescent="0.4">
      <c r="B4341" s="17"/>
      <c r="C4341" s="15"/>
      <c r="D4341" s="15"/>
      <c r="E4341" s="18"/>
    </row>
    <row r="4342" spans="2:5" x14ac:dyDescent="0.4">
      <c r="B4342" s="17"/>
      <c r="C4342" s="15"/>
      <c r="D4342" s="15"/>
      <c r="E4342" s="18"/>
    </row>
    <row r="4343" spans="2:5" x14ac:dyDescent="0.4">
      <c r="B4343" s="17"/>
      <c r="C4343" s="15"/>
      <c r="D4343" s="15"/>
      <c r="E4343" s="18"/>
    </row>
    <row r="4344" spans="2:5" x14ac:dyDescent="0.4">
      <c r="B4344" s="17"/>
      <c r="C4344" s="15"/>
      <c r="D4344" s="15"/>
      <c r="E4344" s="18"/>
    </row>
    <row r="4345" spans="2:5" x14ac:dyDescent="0.4">
      <c r="B4345" s="17"/>
      <c r="C4345" s="15"/>
      <c r="D4345" s="15"/>
      <c r="E4345" s="18"/>
    </row>
    <row r="4346" spans="2:5" x14ac:dyDescent="0.4">
      <c r="B4346" s="17"/>
      <c r="C4346" s="15"/>
      <c r="D4346" s="15"/>
      <c r="E4346" s="18"/>
    </row>
    <row r="4347" spans="2:5" x14ac:dyDescent="0.4">
      <c r="B4347" s="17"/>
      <c r="C4347" s="15"/>
      <c r="D4347" s="15"/>
      <c r="E4347" s="18"/>
    </row>
    <row r="4348" spans="2:5" x14ac:dyDescent="0.4">
      <c r="B4348" s="17"/>
      <c r="C4348" s="15"/>
      <c r="D4348" s="15"/>
      <c r="E4348" s="18"/>
    </row>
    <row r="4349" spans="2:5" x14ac:dyDescent="0.4">
      <c r="B4349" s="17"/>
      <c r="C4349" s="15"/>
      <c r="D4349" s="15"/>
      <c r="E4349" s="18"/>
    </row>
    <row r="4350" spans="2:5" x14ac:dyDescent="0.4">
      <c r="B4350" s="17"/>
      <c r="C4350" s="15"/>
      <c r="D4350" s="15"/>
      <c r="E4350" s="18"/>
    </row>
    <row r="4351" spans="2:5" x14ac:dyDescent="0.4">
      <c r="B4351" s="17"/>
      <c r="C4351" s="15"/>
      <c r="D4351" s="15"/>
      <c r="E4351" s="18"/>
    </row>
    <row r="4352" spans="2:5" x14ac:dyDescent="0.4">
      <c r="B4352" s="17"/>
      <c r="C4352" s="15"/>
      <c r="D4352" s="15"/>
      <c r="E4352" s="18"/>
    </row>
    <row r="4353" spans="2:5" x14ac:dyDescent="0.4">
      <c r="B4353" s="17"/>
      <c r="C4353" s="15"/>
      <c r="D4353" s="15"/>
      <c r="E4353" s="18"/>
    </row>
    <row r="4354" spans="2:5" x14ac:dyDescent="0.4">
      <c r="B4354" s="17"/>
      <c r="C4354" s="15"/>
      <c r="D4354" s="15"/>
      <c r="E4354" s="18"/>
    </row>
    <row r="4355" spans="2:5" x14ac:dyDescent="0.4">
      <c r="B4355" s="17"/>
      <c r="C4355" s="15"/>
      <c r="D4355" s="15"/>
      <c r="E4355" s="18"/>
    </row>
    <row r="4356" spans="2:5" x14ac:dyDescent="0.4">
      <c r="B4356" s="17"/>
      <c r="C4356" s="15"/>
      <c r="D4356" s="15"/>
      <c r="E4356" s="18"/>
    </row>
    <row r="4357" spans="2:5" x14ac:dyDescent="0.4">
      <c r="B4357" s="17"/>
      <c r="C4357" s="15"/>
      <c r="D4357" s="15"/>
      <c r="E4357" s="18"/>
    </row>
    <row r="4358" spans="2:5" x14ac:dyDescent="0.4">
      <c r="B4358" s="17"/>
      <c r="C4358" s="15"/>
      <c r="D4358" s="15"/>
      <c r="E4358" s="18"/>
    </row>
    <row r="4359" spans="2:5" x14ac:dyDescent="0.4">
      <c r="B4359" s="17"/>
      <c r="C4359" s="15"/>
      <c r="D4359" s="15"/>
      <c r="E4359" s="18"/>
    </row>
    <row r="4360" spans="2:5" x14ac:dyDescent="0.4">
      <c r="B4360" s="17"/>
      <c r="C4360" s="15"/>
      <c r="D4360" s="15"/>
      <c r="E4360" s="18"/>
    </row>
    <row r="4361" spans="2:5" x14ac:dyDescent="0.4">
      <c r="B4361" s="17"/>
      <c r="C4361" s="15"/>
      <c r="D4361" s="15"/>
      <c r="E4361" s="18"/>
    </row>
    <row r="4362" spans="2:5" x14ac:dyDescent="0.4">
      <c r="B4362" s="17"/>
      <c r="C4362" s="15"/>
      <c r="D4362" s="15"/>
      <c r="E4362" s="18"/>
    </row>
    <row r="4363" spans="2:5" x14ac:dyDescent="0.4">
      <c r="B4363" s="17"/>
      <c r="C4363" s="15"/>
      <c r="D4363" s="15"/>
      <c r="E4363" s="18"/>
    </row>
    <row r="4364" spans="2:5" x14ac:dyDescent="0.4">
      <c r="B4364" s="17"/>
      <c r="C4364" s="15"/>
      <c r="D4364" s="15"/>
      <c r="E4364" s="18"/>
    </row>
    <row r="4365" spans="2:5" x14ac:dyDescent="0.4">
      <c r="B4365" s="17"/>
      <c r="C4365" s="15"/>
      <c r="D4365" s="15"/>
      <c r="E4365" s="18"/>
    </row>
    <row r="4366" spans="2:5" x14ac:dyDescent="0.4">
      <c r="B4366" s="17"/>
      <c r="C4366" s="15"/>
      <c r="D4366" s="15"/>
      <c r="E4366" s="18"/>
    </row>
    <row r="4367" spans="2:5" x14ac:dyDescent="0.4">
      <c r="B4367" s="17"/>
      <c r="C4367" s="15"/>
      <c r="D4367" s="15"/>
      <c r="E4367" s="18"/>
    </row>
    <row r="4368" spans="2:5" x14ac:dyDescent="0.4">
      <c r="B4368" s="17"/>
      <c r="C4368" s="15"/>
      <c r="D4368" s="15"/>
      <c r="E4368" s="18"/>
    </row>
    <row r="4369" spans="2:5" x14ac:dyDescent="0.4">
      <c r="B4369" s="17"/>
      <c r="C4369" s="15"/>
      <c r="D4369" s="15"/>
      <c r="E4369" s="18"/>
    </row>
    <row r="4370" spans="2:5" x14ac:dyDescent="0.4">
      <c r="B4370" s="17"/>
      <c r="C4370" s="15"/>
      <c r="D4370" s="15"/>
      <c r="E4370" s="18"/>
    </row>
    <row r="4371" spans="2:5" x14ac:dyDescent="0.4">
      <c r="B4371" s="17"/>
      <c r="C4371" s="15"/>
      <c r="D4371" s="15"/>
      <c r="E4371" s="18"/>
    </row>
    <row r="4372" spans="2:5" x14ac:dyDescent="0.4">
      <c r="B4372" s="17"/>
      <c r="C4372" s="15"/>
      <c r="D4372" s="15"/>
      <c r="E4372" s="18"/>
    </row>
    <row r="4373" spans="2:5" x14ac:dyDescent="0.4">
      <c r="B4373" s="17"/>
      <c r="C4373" s="15"/>
      <c r="D4373" s="15"/>
      <c r="E4373" s="18"/>
    </row>
    <row r="4374" spans="2:5" x14ac:dyDescent="0.4">
      <c r="B4374" s="17"/>
      <c r="C4374" s="15"/>
      <c r="D4374" s="15"/>
      <c r="E4374" s="18"/>
    </row>
    <row r="4375" spans="2:5" x14ac:dyDescent="0.4">
      <c r="B4375" s="17"/>
      <c r="C4375" s="15"/>
      <c r="D4375" s="15"/>
      <c r="E4375" s="18"/>
    </row>
    <row r="4376" spans="2:5" x14ac:dyDescent="0.4">
      <c r="B4376" s="17"/>
      <c r="C4376" s="15"/>
      <c r="D4376" s="15"/>
      <c r="E4376" s="18"/>
    </row>
    <row r="4377" spans="2:5" x14ac:dyDescent="0.4">
      <c r="B4377" s="17"/>
      <c r="C4377" s="15"/>
      <c r="D4377" s="15"/>
      <c r="E4377" s="18"/>
    </row>
    <row r="4378" spans="2:5" x14ac:dyDescent="0.4">
      <c r="B4378" s="17"/>
      <c r="C4378" s="15"/>
      <c r="D4378" s="15"/>
      <c r="E4378" s="18"/>
    </row>
    <row r="4379" spans="2:5" x14ac:dyDescent="0.4">
      <c r="B4379" s="17"/>
      <c r="C4379" s="15"/>
      <c r="D4379" s="15"/>
      <c r="E4379" s="18"/>
    </row>
    <row r="4380" spans="2:5" x14ac:dyDescent="0.4">
      <c r="B4380" s="17"/>
      <c r="C4380" s="15"/>
      <c r="D4380" s="15"/>
      <c r="E4380" s="18"/>
    </row>
    <row r="4381" spans="2:5" x14ac:dyDescent="0.4">
      <c r="B4381" s="17"/>
      <c r="C4381" s="15"/>
      <c r="D4381" s="15"/>
      <c r="E4381" s="18"/>
    </row>
    <row r="4382" spans="2:5" x14ac:dyDescent="0.4">
      <c r="B4382" s="17"/>
      <c r="C4382" s="15"/>
      <c r="D4382" s="15"/>
      <c r="E4382" s="18"/>
    </row>
    <row r="4383" spans="2:5" x14ac:dyDescent="0.4">
      <c r="B4383" s="17"/>
      <c r="C4383" s="15"/>
      <c r="D4383" s="15"/>
      <c r="E4383" s="18"/>
    </row>
    <row r="4384" spans="2:5" x14ac:dyDescent="0.4">
      <c r="B4384" s="17"/>
      <c r="C4384" s="15"/>
      <c r="D4384" s="15"/>
      <c r="E4384" s="18"/>
    </row>
    <row r="4385" spans="2:5" x14ac:dyDescent="0.4">
      <c r="B4385" s="17"/>
      <c r="C4385" s="15"/>
      <c r="D4385" s="15"/>
      <c r="E4385" s="18"/>
    </row>
    <row r="4386" spans="2:5" x14ac:dyDescent="0.4">
      <c r="B4386" s="17"/>
      <c r="C4386" s="15"/>
      <c r="D4386" s="15"/>
      <c r="E4386" s="18"/>
    </row>
    <row r="4387" spans="2:5" x14ac:dyDescent="0.4">
      <c r="B4387" s="17"/>
      <c r="C4387" s="15"/>
      <c r="D4387" s="15"/>
      <c r="E4387" s="18"/>
    </row>
    <row r="4388" spans="2:5" x14ac:dyDescent="0.4">
      <c r="B4388" s="17"/>
      <c r="C4388" s="15"/>
      <c r="D4388" s="15"/>
      <c r="E4388" s="18"/>
    </row>
    <row r="4389" spans="2:5" x14ac:dyDescent="0.4">
      <c r="B4389" s="17"/>
      <c r="C4389" s="15"/>
      <c r="D4389" s="15"/>
      <c r="E4389" s="18"/>
    </row>
    <row r="4390" spans="2:5" x14ac:dyDescent="0.4">
      <c r="B4390" s="17"/>
      <c r="C4390" s="15"/>
      <c r="D4390" s="15"/>
      <c r="E4390" s="18"/>
    </row>
    <row r="4391" spans="2:5" x14ac:dyDescent="0.4">
      <c r="B4391" s="17"/>
      <c r="C4391" s="15"/>
      <c r="D4391" s="15"/>
      <c r="E4391" s="18"/>
    </row>
    <row r="4392" spans="2:5" x14ac:dyDescent="0.4">
      <c r="B4392" s="17"/>
      <c r="C4392" s="15"/>
      <c r="D4392" s="15"/>
      <c r="E4392" s="18"/>
    </row>
    <row r="4393" spans="2:5" x14ac:dyDescent="0.4">
      <c r="B4393" s="17"/>
      <c r="C4393" s="15"/>
      <c r="D4393" s="15"/>
      <c r="E4393" s="18"/>
    </row>
    <row r="4394" spans="2:5" x14ac:dyDescent="0.4">
      <c r="B4394" s="17"/>
      <c r="C4394" s="15"/>
      <c r="D4394" s="15"/>
      <c r="E4394" s="18"/>
    </row>
    <row r="4395" spans="2:5" x14ac:dyDescent="0.4">
      <c r="B4395" s="17"/>
      <c r="C4395" s="15"/>
      <c r="D4395" s="15"/>
      <c r="E4395" s="18"/>
    </row>
    <row r="4396" spans="2:5" x14ac:dyDescent="0.4">
      <c r="B4396" s="17"/>
      <c r="C4396" s="15"/>
      <c r="D4396" s="15"/>
      <c r="E4396" s="18"/>
    </row>
    <row r="4397" spans="2:5" x14ac:dyDescent="0.4">
      <c r="B4397" s="17"/>
      <c r="C4397" s="15"/>
      <c r="D4397" s="15"/>
      <c r="E4397" s="18"/>
    </row>
    <row r="4398" spans="2:5" x14ac:dyDescent="0.4">
      <c r="B4398" s="17"/>
      <c r="C4398" s="15"/>
      <c r="D4398" s="15"/>
      <c r="E4398" s="18"/>
    </row>
    <row r="4399" spans="2:5" x14ac:dyDescent="0.4">
      <c r="B4399" s="17"/>
      <c r="C4399" s="15"/>
      <c r="D4399" s="15"/>
      <c r="E4399" s="18"/>
    </row>
    <row r="4400" spans="2:5" x14ac:dyDescent="0.4">
      <c r="B4400" s="17"/>
      <c r="C4400" s="15"/>
      <c r="D4400" s="15"/>
      <c r="E4400" s="18"/>
    </row>
    <row r="4401" spans="2:5" x14ac:dyDescent="0.4">
      <c r="B4401" s="17"/>
      <c r="C4401" s="15"/>
      <c r="D4401" s="15"/>
      <c r="E4401" s="18"/>
    </row>
    <row r="4402" spans="2:5" x14ac:dyDescent="0.4">
      <c r="B4402" s="17"/>
      <c r="C4402" s="15"/>
      <c r="D4402" s="15"/>
      <c r="E4402" s="18"/>
    </row>
    <row r="4403" spans="2:5" x14ac:dyDescent="0.4">
      <c r="B4403" s="17"/>
      <c r="C4403" s="15"/>
      <c r="D4403" s="15"/>
      <c r="E4403" s="18"/>
    </row>
    <row r="4404" spans="2:5" x14ac:dyDescent="0.4">
      <c r="B4404" s="17"/>
      <c r="C4404" s="15"/>
      <c r="D4404" s="15"/>
      <c r="E4404" s="18"/>
    </row>
    <row r="4405" spans="2:5" x14ac:dyDescent="0.4">
      <c r="B4405" s="17"/>
      <c r="C4405" s="15"/>
      <c r="D4405" s="15"/>
      <c r="E4405" s="18"/>
    </row>
    <row r="4406" spans="2:5" x14ac:dyDescent="0.4">
      <c r="B4406" s="17"/>
      <c r="C4406" s="15"/>
      <c r="D4406" s="15"/>
      <c r="E4406" s="18"/>
    </row>
    <row r="4407" spans="2:5" x14ac:dyDescent="0.4">
      <c r="B4407" s="17"/>
      <c r="C4407" s="15"/>
      <c r="D4407" s="15"/>
      <c r="E4407" s="18"/>
    </row>
    <row r="4408" spans="2:5" x14ac:dyDescent="0.4">
      <c r="B4408" s="17"/>
      <c r="C4408" s="15"/>
      <c r="D4408" s="15"/>
      <c r="E4408" s="18"/>
    </row>
    <row r="4409" spans="2:5" x14ac:dyDescent="0.4">
      <c r="B4409" s="17"/>
      <c r="C4409" s="15"/>
      <c r="D4409" s="15"/>
      <c r="E4409" s="18"/>
    </row>
    <row r="4410" spans="2:5" x14ac:dyDescent="0.4">
      <c r="B4410" s="17"/>
      <c r="C4410" s="15"/>
      <c r="D4410" s="15"/>
      <c r="E4410" s="18"/>
    </row>
    <row r="4411" spans="2:5" x14ac:dyDescent="0.4">
      <c r="B4411" s="17"/>
      <c r="C4411" s="15"/>
      <c r="D4411" s="15"/>
      <c r="E4411" s="18"/>
    </row>
    <row r="4412" spans="2:5" x14ac:dyDescent="0.4">
      <c r="B4412" s="17"/>
      <c r="C4412" s="15"/>
      <c r="D4412" s="15"/>
      <c r="E4412" s="18"/>
    </row>
    <row r="4413" spans="2:5" x14ac:dyDescent="0.4">
      <c r="B4413" s="17"/>
      <c r="C4413" s="15"/>
      <c r="D4413" s="15"/>
      <c r="E4413" s="18"/>
    </row>
    <row r="4414" spans="2:5" x14ac:dyDescent="0.4">
      <c r="B4414" s="17"/>
      <c r="C4414" s="15"/>
      <c r="D4414" s="15"/>
      <c r="E4414" s="18"/>
    </row>
    <row r="4415" spans="2:5" x14ac:dyDescent="0.4">
      <c r="B4415" s="17"/>
      <c r="C4415" s="15"/>
      <c r="D4415" s="15"/>
      <c r="E4415" s="18"/>
    </row>
    <row r="4416" spans="2:5" x14ac:dyDescent="0.4">
      <c r="B4416" s="17"/>
      <c r="C4416" s="15"/>
      <c r="D4416" s="15"/>
      <c r="E4416" s="18"/>
    </row>
    <row r="4417" spans="2:5" x14ac:dyDescent="0.4">
      <c r="B4417" s="17"/>
      <c r="C4417" s="15"/>
      <c r="D4417" s="15"/>
      <c r="E4417" s="18"/>
    </row>
    <row r="4418" spans="2:5" x14ac:dyDescent="0.4">
      <c r="B4418" s="17"/>
      <c r="C4418" s="15"/>
      <c r="D4418" s="15"/>
      <c r="E4418" s="18"/>
    </row>
    <row r="4419" spans="2:5" x14ac:dyDescent="0.4">
      <c r="B4419" s="17"/>
      <c r="C4419" s="15"/>
      <c r="D4419" s="15"/>
      <c r="E4419" s="18"/>
    </row>
    <row r="4420" spans="2:5" x14ac:dyDescent="0.4">
      <c r="B4420" s="17"/>
      <c r="C4420" s="15"/>
      <c r="D4420" s="15"/>
      <c r="E4420" s="18"/>
    </row>
    <row r="4421" spans="2:5" x14ac:dyDescent="0.4">
      <c r="B4421" s="17"/>
      <c r="C4421" s="15"/>
      <c r="D4421" s="15"/>
      <c r="E4421" s="18"/>
    </row>
    <row r="4422" spans="2:5" x14ac:dyDescent="0.4">
      <c r="B4422" s="17"/>
      <c r="C4422" s="15"/>
      <c r="D4422" s="15"/>
      <c r="E4422" s="18"/>
    </row>
    <row r="4423" spans="2:5" x14ac:dyDescent="0.4">
      <c r="B4423" s="17"/>
      <c r="C4423" s="15"/>
      <c r="D4423" s="15"/>
      <c r="E4423" s="18"/>
    </row>
    <row r="4424" spans="2:5" x14ac:dyDescent="0.4">
      <c r="B4424" s="17"/>
      <c r="C4424" s="15"/>
      <c r="D4424" s="15"/>
      <c r="E4424" s="18"/>
    </row>
    <row r="4425" spans="2:5" x14ac:dyDescent="0.4">
      <c r="B4425" s="17"/>
      <c r="C4425" s="15"/>
      <c r="D4425" s="15"/>
      <c r="E4425" s="18"/>
    </row>
    <row r="4426" spans="2:5" x14ac:dyDescent="0.4">
      <c r="B4426" s="17"/>
      <c r="C4426" s="15"/>
      <c r="D4426" s="15"/>
      <c r="E4426" s="18"/>
    </row>
    <row r="4427" spans="2:5" x14ac:dyDescent="0.4">
      <c r="B4427" s="17"/>
      <c r="C4427" s="15"/>
      <c r="D4427" s="15"/>
      <c r="E4427" s="18"/>
    </row>
    <row r="4428" spans="2:5" x14ac:dyDescent="0.4">
      <c r="B4428" s="17"/>
      <c r="C4428" s="15"/>
      <c r="D4428" s="15"/>
      <c r="E4428" s="18"/>
    </row>
    <row r="4429" spans="2:5" x14ac:dyDescent="0.4">
      <c r="B4429" s="17"/>
      <c r="C4429" s="15"/>
      <c r="D4429" s="15"/>
      <c r="E4429" s="18"/>
    </row>
    <row r="4430" spans="2:5" x14ac:dyDescent="0.4">
      <c r="B4430" s="17"/>
      <c r="C4430" s="15"/>
      <c r="D4430" s="15"/>
      <c r="E4430" s="18"/>
    </row>
    <row r="4431" spans="2:5" x14ac:dyDescent="0.4">
      <c r="B4431" s="17"/>
      <c r="C4431" s="15"/>
      <c r="D4431" s="15"/>
      <c r="E4431" s="18"/>
    </row>
    <row r="4432" spans="2:5" x14ac:dyDescent="0.4">
      <c r="B4432" s="17"/>
      <c r="C4432" s="15"/>
      <c r="D4432" s="15"/>
      <c r="E4432" s="18"/>
    </row>
    <row r="4433" spans="2:5" x14ac:dyDescent="0.4">
      <c r="B4433" s="17"/>
      <c r="C4433" s="15"/>
      <c r="D4433" s="15"/>
      <c r="E4433" s="18"/>
    </row>
    <row r="4434" spans="2:5" x14ac:dyDescent="0.4">
      <c r="B4434" s="17"/>
      <c r="C4434" s="15"/>
      <c r="D4434" s="15"/>
      <c r="E4434" s="18"/>
    </row>
    <row r="4435" spans="2:5" x14ac:dyDescent="0.4">
      <c r="B4435" s="17"/>
      <c r="C4435" s="15"/>
      <c r="D4435" s="15"/>
      <c r="E4435" s="18"/>
    </row>
    <row r="4436" spans="2:5" x14ac:dyDescent="0.4">
      <c r="B4436" s="17"/>
      <c r="C4436" s="15"/>
      <c r="D4436" s="15"/>
      <c r="E4436" s="18"/>
    </row>
    <row r="4437" spans="2:5" x14ac:dyDescent="0.4">
      <c r="B4437" s="17"/>
      <c r="C4437" s="15"/>
      <c r="D4437" s="15"/>
      <c r="E4437" s="18"/>
    </row>
    <row r="4438" spans="2:5" x14ac:dyDescent="0.4">
      <c r="B4438" s="17"/>
      <c r="C4438" s="15"/>
      <c r="D4438" s="15"/>
      <c r="E4438" s="18"/>
    </row>
    <row r="4439" spans="2:5" x14ac:dyDescent="0.4">
      <c r="B4439" s="17"/>
      <c r="C4439" s="15"/>
      <c r="D4439" s="15"/>
      <c r="E4439" s="18"/>
    </row>
    <row r="4440" spans="2:5" x14ac:dyDescent="0.4">
      <c r="B4440" s="17"/>
      <c r="C4440" s="15"/>
      <c r="D4440" s="15"/>
      <c r="E4440" s="18"/>
    </row>
    <row r="4441" spans="2:5" x14ac:dyDescent="0.4">
      <c r="B4441" s="17"/>
      <c r="C4441" s="15"/>
      <c r="D4441" s="15"/>
      <c r="E4441" s="18"/>
    </row>
    <row r="4442" spans="2:5" x14ac:dyDescent="0.4">
      <c r="B4442" s="17"/>
      <c r="C4442" s="15"/>
      <c r="D4442" s="15"/>
      <c r="E4442" s="18"/>
    </row>
    <row r="4443" spans="2:5" x14ac:dyDescent="0.4">
      <c r="B4443" s="17"/>
      <c r="C4443" s="15"/>
      <c r="D4443" s="15"/>
      <c r="E4443" s="18"/>
    </row>
    <row r="4444" spans="2:5" x14ac:dyDescent="0.4">
      <c r="B4444" s="17"/>
      <c r="C4444" s="15"/>
      <c r="D4444" s="15"/>
      <c r="E4444" s="18"/>
    </row>
    <row r="4445" spans="2:5" x14ac:dyDescent="0.4">
      <c r="B4445" s="17"/>
      <c r="C4445" s="15"/>
      <c r="D4445" s="15"/>
      <c r="E4445" s="18"/>
    </row>
    <row r="4446" spans="2:5" x14ac:dyDescent="0.4">
      <c r="B4446" s="17"/>
      <c r="C4446" s="15"/>
      <c r="D4446" s="15"/>
      <c r="E4446" s="18"/>
    </row>
    <row r="4447" spans="2:5" x14ac:dyDescent="0.4">
      <c r="B4447" s="17"/>
      <c r="C4447" s="15"/>
      <c r="D4447" s="15"/>
      <c r="E4447" s="18"/>
    </row>
    <row r="4448" spans="2:5" x14ac:dyDescent="0.4">
      <c r="B4448" s="17"/>
      <c r="C4448" s="15"/>
      <c r="D4448" s="15"/>
      <c r="E4448" s="18"/>
    </row>
    <row r="4449" spans="2:5" x14ac:dyDescent="0.4">
      <c r="B4449" s="17"/>
      <c r="C4449" s="15"/>
      <c r="D4449" s="15"/>
      <c r="E4449" s="18"/>
    </row>
    <row r="4450" spans="2:5" x14ac:dyDescent="0.4">
      <c r="B4450" s="17"/>
      <c r="C4450" s="15"/>
      <c r="D4450" s="15"/>
      <c r="E4450" s="18"/>
    </row>
    <row r="4451" spans="2:5" x14ac:dyDescent="0.4">
      <c r="B4451" s="17"/>
      <c r="C4451" s="15"/>
      <c r="D4451" s="15"/>
      <c r="E4451" s="18"/>
    </row>
    <row r="4452" spans="2:5" x14ac:dyDescent="0.4">
      <c r="B4452" s="17"/>
      <c r="C4452" s="15"/>
      <c r="D4452" s="15"/>
      <c r="E4452" s="18"/>
    </row>
    <row r="4453" spans="2:5" x14ac:dyDescent="0.4">
      <c r="B4453" s="17"/>
      <c r="C4453" s="15"/>
      <c r="D4453" s="15"/>
      <c r="E4453" s="18"/>
    </row>
    <row r="4454" spans="2:5" x14ac:dyDescent="0.4">
      <c r="B4454" s="17"/>
      <c r="C4454" s="15"/>
      <c r="D4454" s="15"/>
      <c r="E4454" s="18"/>
    </row>
    <row r="4455" spans="2:5" x14ac:dyDescent="0.4">
      <c r="B4455" s="17"/>
      <c r="C4455" s="15"/>
      <c r="D4455" s="15"/>
      <c r="E4455" s="18"/>
    </row>
    <row r="4456" spans="2:5" x14ac:dyDescent="0.4">
      <c r="B4456" s="17"/>
      <c r="C4456" s="15"/>
      <c r="D4456" s="15"/>
      <c r="E4456" s="18"/>
    </row>
    <row r="4457" spans="2:5" x14ac:dyDescent="0.4">
      <c r="B4457" s="17"/>
      <c r="C4457" s="15"/>
      <c r="D4457" s="15"/>
      <c r="E4457" s="18"/>
    </row>
    <row r="4458" spans="2:5" x14ac:dyDescent="0.4">
      <c r="B4458" s="17"/>
      <c r="C4458" s="15"/>
      <c r="D4458" s="15"/>
      <c r="E4458" s="18"/>
    </row>
    <row r="4459" spans="2:5" x14ac:dyDescent="0.4">
      <c r="B4459" s="17"/>
      <c r="C4459" s="15"/>
      <c r="D4459" s="15"/>
      <c r="E4459" s="18"/>
    </row>
    <row r="4460" spans="2:5" x14ac:dyDescent="0.4">
      <c r="B4460" s="17"/>
      <c r="C4460" s="15"/>
      <c r="D4460" s="15"/>
      <c r="E4460" s="18"/>
    </row>
    <row r="4461" spans="2:5" x14ac:dyDescent="0.4">
      <c r="B4461" s="17"/>
      <c r="C4461" s="15"/>
      <c r="D4461" s="15"/>
      <c r="E4461" s="18"/>
    </row>
    <row r="4462" spans="2:5" x14ac:dyDescent="0.4">
      <c r="B4462" s="17"/>
      <c r="C4462" s="15"/>
      <c r="D4462" s="15"/>
      <c r="E4462" s="18"/>
    </row>
    <row r="4463" spans="2:5" x14ac:dyDescent="0.4">
      <c r="B4463" s="17"/>
      <c r="C4463" s="15"/>
      <c r="D4463" s="15"/>
      <c r="E4463" s="18"/>
    </row>
    <row r="4464" spans="2:5" x14ac:dyDescent="0.4">
      <c r="B4464" s="17"/>
      <c r="C4464" s="15"/>
      <c r="D4464" s="15"/>
      <c r="E4464" s="18"/>
    </row>
    <row r="4465" spans="2:5" x14ac:dyDescent="0.4">
      <c r="B4465" s="17"/>
      <c r="C4465" s="15"/>
      <c r="D4465" s="15"/>
      <c r="E4465" s="18"/>
    </row>
    <row r="4466" spans="2:5" x14ac:dyDescent="0.4">
      <c r="B4466" s="17"/>
      <c r="C4466" s="15"/>
      <c r="D4466" s="15"/>
      <c r="E4466" s="18"/>
    </row>
    <row r="4467" spans="2:5" x14ac:dyDescent="0.4">
      <c r="B4467" s="17"/>
      <c r="C4467" s="15"/>
      <c r="D4467" s="15"/>
      <c r="E4467" s="18"/>
    </row>
    <row r="4468" spans="2:5" x14ac:dyDescent="0.4">
      <c r="B4468" s="17"/>
      <c r="C4468" s="15"/>
      <c r="D4468" s="15"/>
      <c r="E4468" s="18"/>
    </row>
    <row r="4469" spans="2:5" x14ac:dyDescent="0.4">
      <c r="B4469" s="17"/>
      <c r="C4469" s="15"/>
      <c r="D4469" s="15"/>
      <c r="E4469" s="18"/>
    </row>
    <row r="4470" spans="2:5" x14ac:dyDescent="0.4">
      <c r="B4470" s="17"/>
      <c r="C4470" s="15"/>
      <c r="D4470" s="15"/>
      <c r="E4470" s="18"/>
    </row>
    <row r="4471" spans="2:5" x14ac:dyDescent="0.4">
      <c r="B4471" s="17"/>
      <c r="C4471" s="15"/>
      <c r="D4471" s="15"/>
      <c r="E4471" s="18"/>
    </row>
    <row r="4472" spans="2:5" x14ac:dyDescent="0.4">
      <c r="B4472" s="17"/>
      <c r="C4472" s="15"/>
      <c r="D4472" s="15"/>
      <c r="E4472" s="18"/>
    </row>
    <row r="4473" spans="2:5" x14ac:dyDescent="0.4">
      <c r="B4473" s="17"/>
      <c r="C4473" s="15"/>
      <c r="D4473" s="15"/>
      <c r="E4473" s="18"/>
    </row>
    <row r="4474" spans="2:5" x14ac:dyDescent="0.4">
      <c r="B4474" s="17"/>
      <c r="C4474" s="15"/>
      <c r="D4474" s="15"/>
      <c r="E4474" s="18"/>
    </row>
    <row r="4475" spans="2:5" x14ac:dyDescent="0.4">
      <c r="B4475" s="17"/>
      <c r="C4475" s="15"/>
      <c r="D4475" s="15"/>
      <c r="E4475" s="18"/>
    </row>
    <row r="4476" spans="2:5" x14ac:dyDescent="0.4">
      <c r="B4476" s="17"/>
      <c r="C4476" s="15"/>
      <c r="D4476" s="15"/>
      <c r="E4476" s="18"/>
    </row>
    <row r="4477" spans="2:5" x14ac:dyDescent="0.4">
      <c r="B4477" s="17"/>
      <c r="C4477" s="15"/>
      <c r="D4477" s="15"/>
      <c r="E4477" s="18"/>
    </row>
    <row r="4478" spans="2:5" x14ac:dyDescent="0.4">
      <c r="B4478" s="17"/>
      <c r="C4478" s="15"/>
      <c r="D4478" s="15"/>
      <c r="E4478" s="18"/>
    </row>
    <row r="4479" spans="2:5" x14ac:dyDescent="0.4">
      <c r="B4479" s="17"/>
      <c r="C4479" s="15"/>
      <c r="D4479" s="15"/>
      <c r="E4479" s="18"/>
    </row>
    <row r="4480" spans="2:5" x14ac:dyDescent="0.4">
      <c r="B4480" s="17"/>
      <c r="C4480" s="15"/>
      <c r="D4480" s="15"/>
      <c r="E4480" s="18"/>
    </row>
    <row r="4481" spans="2:5" x14ac:dyDescent="0.4">
      <c r="B4481" s="17"/>
      <c r="C4481" s="15"/>
      <c r="D4481" s="15"/>
      <c r="E4481" s="18"/>
    </row>
    <row r="4482" spans="2:5" x14ac:dyDescent="0.4">
      <c r="B4482" s="17"/>
      <c r="C4482" s="15"/>
      <c r="D4482" s="15"/>
      <c r="E4482" s="18"/>
    </row>
    <row r="4483" spans="2:5" x14ac:dyDescent="0.4">
      <c r="B4483" s="17"/>
      <c r="C4483" s="15"/>
      <c r="D4483" s="15"/>
      <c r="E4483" s="18"/>
    </row>
    <row r="4484" spans="2:5" x14ac:dyDescent="0.4">
      <c r="B4484" s="17"/>
      <c r="C4484" s="15"/>
      <c r="D4484" s="15"/>
      <c r="E4484" s="18"/>
    </row>
    <row r="4485" spans="2:5" x14ac:dyDescent="0.4">
      <c r="B4485" s="17"/>
      <c r="C4485" s="15"/>
      <c r="D4485" s="15"/>
      <c r="E4485" s="18"/>
    </row>
    <row r="4486" spans="2:5" x14ac:dyDescent="0.4">
      <c r="B4486" s="17"/>
      <c r="C4486" s="15"/>
      <c r="D4486" s="15"/>
      <c r="E4486" s="18"/>
    </row>
    <row r="4487" spans="2:5" x14ac:dyDescent="0.4">
      <c r="B4487" s="17"/>
      <c r="C4487" s="15"/>
      <c r="D4487" s="15"/>
      <c r="E4487" s="18"/>
    </row>
    <row r="4488" spans="2:5" x14ac:dyDescent="0.4">
      <c r="B4488" s="17"/>
      <c r="C4488" s="15"/>
      <c r="D4488" s="15"/>
      <c r="E4488" s="18"/>
    </row>
    <row r="4489" spans="2:5" x14ac:dyDescent="0.4">
      <c r="B4489" s="17"/>
      <c r="C4489" s="15"/>
      <c r="D4489" s="15"/>
      <c r="E4489" s="18"/>
    </row>
    <row r="4490" spans="2:5" x14ac:dyDescent="0.4">
      <c r="B4490" s="17"/>
      <c r="C4490" s="15"/>
      <c r="D4490" s="15"/>
      <c r="E4490" s="18"/>
    </row>
    <row r="4491" spans="2:5" x14ac:dyDescent="0.4">
      <c r="B4491" s="17"/>
      <c r="C4491" s="15"/>
      <c r="D4491" s="15"/>
      <c r="E4491" s="18"/>
    </row>
    <row r="4492" spans="2:5" x14ac:dyDescent="0.4">
      <c r="B4492" s="17"/>
      <c r="C4492" s="15"/>
      <c r="D4492" s="15"/>
      <c r="E4492" s="18"/>
    </row>
    <row r="4493" spans="2:5" x14ac:dyDescent="0.4">
      <c r="B4493" s="17"/>
      <c r="C4493" s="15"/>
      <c r="D4493" s="15"/>
      <c r="E4493" s="18"/>
    </row>
    <row r="4494" spans="2:5" x14ac:dyDescent="0.4">
      <c r="B4494" s="17"/>
      <c r="C4494" s="15"/>
      <c r="D4494" s="15"/>
      <c r="E4494" s="18"/>
    </row>
    <row r="4495" spans="2:5" x14ac:dyDescent="0.4">
      <c r="B4495" s="17"/>
      <c r="C4495" s="15"/>
      <c r="D4495" s="15"/>
      <c r="E4495" s="18"/>
    </row>
    <row r="4496" spans="2:5" x14ac:dyDescent="0.4">
      <c r="B4496" s="17"/>
      <c r="C4496" s="15"/>
      <c r="D4496" s="15"/>
      <c r="E4496" s="18"/>
    </row>
    <row r="4497" spans="2:5" x14ac:dyDescent="0.4">
      <c r="B4497" s="17"/>
      <c r="C4497" s="15"/>
      <c r="D4497" s="15"/>
      <c r="E4497" s="18"/>
    </row>
    <row r="4498" spans="2:5" x14ac:dyDescent="0.4">
      <c r="B4498" s="17"/>
      <c r="C4498" s="15"/>
      <c r="D4498" s="15"/>
      <c r="E4498" s="18"/>
    </row>
    <row r="4499" spans="2:5" x14ac:dyDescent="0.4">
      <c r="B4499" s="17"/>
      <c r="C4499" s="15"/>
      <c r="D4499" s="15"/>
      <c r="E4499" s="18"/>
    </row>
    <row r="4500" spans="2:5" x14ac:dyDescent="0.4">
      <c r="B4500" s="17"/>
      <c r="C4500" s="15"/>
      <c r="D4500" s="15"/>
      <c r="E4500" s="18"/>
    </row>
    <row r="4501" spans="2:5" x14ac:dyDescent="0.4">
      <c r="B4501" s="17"/>
      <c r="C4501" s="15"/>
      <c r="D4501" s="15"/>
      <c r="E4501" s="18"/>
    </row>
    <row r="4502" spans="2:5" x14ac:dyDescent="0.4">
      <c r="B4502" s="17"/>
      <c r="C4502" s="15"/>
      <c r="D4502" s="15"/>
      <c r="E4502" s="18"/>
    </row>
    <row r="4503" spans="2:5" x14ac:dyDescent="0.4">
      <c r="B4503" s="17"/>
      <c r="C4503" s="15"/>
      <c r="D4503" s="15"/>
      <c r="E4503" s="18"/>
    </row>
    <row r="4504" spans="2:5" x14ac:dyDescent="0.4">
      <c r="B4504" s="17"/>
      <c r="C4504" s="15"/>
      <c r="D4504" s="15"/>
      <c r="E4504" s="18"/>
    </row>
    <row r="4505" spans="2:5" x14ac:dyDescent="0.4">
      <c r="B4505" s="17"/>
      <c r="C4505" s="15"/>
      <c r="D4505" s="15"/>
      <c r="E4505" s="18"/>
    </row>
    <row r="4506" spans="2:5" x14ac:dyDescent="0.4">
      <c r="B4506" s="17"/>
      <c r="C4506" s="15"/>
      <c r="D4506" s="15"/>
      <c r="E4506" s="18"/>
    </row>
    <row r="4507" spans="2:5" x14ac:dyDescent="0.4">
      <c r="B4507" s="17"/>
      <c r="C4507" s="15"/>
      <c r="D4507" s="15"/>
      <c r="E4507" s="18"/>
    </row>
    <row r="4508" spans="2:5" x14ac:dyDescent="0.4">
      <c r="B4508" s="17"/>
      <c r="C4508" s="15"/>
      <c r="D4508" s="15"/>
      <c r="E4508" s="18"/>
    </row>
    <row r="4509" spans="2:5" x14ac:dyDescent="0.4">
      <c r="B4509" s="17"/>
      <c r="C4509" s="15"/>
      <c r="D4509" s="15"/>
      <c r="E4509" s="18"/>
    </row>
    <row r="4510" spans="2:5" x14ac:dyDescent="0.4">
      <c r="B4510" s="17"/>
      <c r="C4510" s="15"/>
      <c r="D4510" s="15"/>
      <c r="E4510" s="18"/>
    </row>
    <row r="4511" spans="2:5" x14ac:dyDescent="0.4">
      <c r="B4511" s="17"/>
      <c r="C4511" s="15"/>
      <c r="D4511" s="15"/>
      <c r="E4511" s="18"/>
    </row>
    <row r="4512" spans="2:5" x14ac:dyDescent="0.4">
      <c r="B4512" s="17"/>
      <c r="C4512" s="15"/>
      <c r="D4512" s="15"/>
      <c r="E4512" s="18"/>
    </row>
    <row r="4513" spans="2:5" x14ac:dyDescent="0.4">
      <c r="B4513" s="17"/>
      <c r="C4513" s="15"/>
      <c r="D4513" s="15"/>
      <c r="E4513" s="18"/>
    </row>
    <row r="4514" spans="2:5" x14ac:dyDescent="0.4">
      <c r="B4514" s="17"/>
      <c r="C4514" s="15"/>
      <c r="D4514" s="15"/>
      <c r="E4514" s="18"/>
    </row>
    <row r="4515" spans="2:5" x14ac:dyDescent="0.4">
      <c r="B4515" s="17"/>
      <c r="C4515" s="15"/>
      <c r="D4515" s="15"/>
      <c r="E4515" s="18"/>
    </row>
    <row r="4516" spans="2:5" x14ac:dyDescent="0.4">
      <c r="B4516" s="17"/>
      <c r="C4516" s="15"/>
      <c r="D4516" s="15"/>
      <c r="E4516" s="18"/>
    </row>
    <row r="4517" spans="2:5" x14ac:dyDescent="0.4">
      <c r="B4517" s="17"/>
      <c r="C4517" s="15"/>
      <c r="D4517" s="15"/>
      <c r="E4517" s="18"/>
    </row>
    <row r="4518" spans="2:5" x14ac:dyDescent="0.4">
      <c r="B4518" s="17"/>
      <c r="C4518" s="15"/>
      <c r="D4518" s="15"/>
      <c r="E4518" s="18"/>
    </row>
    <row r="4519" spans="2:5" x14ac:dyDescent="0.4">
      <c r="B4519" s="17"/>
      <c r="C4519" s="15"/>
      <c r="D4519" s="15"/>
      <c r="E4519" s="18"/>
    </row>
    <row r="4520" spans="2:5" x14ac:dyDescent="0.4">
      <c r="B4520" s="17"/>
      <c r="C4520" s="15"/>
      <c r="D4520" s="15"/>
      <c r="E4520" s="18"/>
    </row>
    <row r="4521" spans="2:5" x14ac:dyDescent="0.4">
      <c r="B4521" s="17"/>
      <c r="C4521" s="15"/>
      <c r="D4521" s="15"/>
      <c r="E4521" s="18"/>
    </row>
    <row r="4522" spans="2:5" x14ac:dyDescent="0.4">
      <c r="B4522" s="17"/>
      <c r="C4522" s="15"/>
      <c r="D4522" s="15"/>
      <c r="E4522" s="18"/>
    </row>
    <row r="4523" spans="2:5" x14ac:dyDescent="0.4">
      <c r="B4523" s="17"/>
      <c r="C4523" s="15"/>
      <c r="D4523" s="15"/>
      <c r="E4523" s="18"/>
    </row>
    <row r="4524" spans="2:5" x14ac:dyDescent="0.4">
      <c r="B4524" s="17"/>
      <c r="C4524" s="15"/>
      <c r="D4524" s="15"/>
      <c r="E4524" s="18"/>
    </row>
    <row r="4525" spans="2:5" x14ac:dyDescent="0.4">
      <c r="B4525" s="17"/>
      <c r="C4525" s="15"/>
      <c r="D4525" s="15"/>
      <c r="E4525" s="18"/>
    </row>
    <row r="4526" spans="2:5" x14ac:dyDescent="0.4">
      <c r="B4526" s="17"/>
      <c r="C4526" s="15"/>
      <c r="D4526" s="15"/>
      <c r="E4526" s="18"/>
    </row>
    <row r="4527" spans="2:5" x14ac:dyDescent="0.4">
      <c r="B4527" s="17"/>
      <c r="C4527" s="15"/>
      <c r="D4527" s="15"/>
      <c r="E4527" s="18"/>
    </row>
    <row r="4528" spans="2:5" x14ac:dyDescent="0.4">
      <c r="B4528" s="17"/>
      <c r="C4528" s="15"/>
      <c r="D4528" s="15"/>
      <c r="E4528" s="18"/>
    </row>
    <row r="4529" spans="2:5" x14ac:dyDescent="0.4">
      <c r="B4529" s="17"/>
      <c r="C4529" s="15"/>
      <c r="D4529" s="15"/>
      <c r="E4529" s="18"/>
    </row>
    <row r="4530" spans="2:5" x14ac:dyDescent="0.4">
      <c r="B4530" s="17"/>
      <c r="C4530" s="15"/>
      <c r="D4530" s="15"/>
      <c r="E4530" s="18"/>
    </row>
    <row r="4531" spans="2:5" x14ac:dyDescent="0.4">
      <c r="B4531" s="17"/>
      <c r="C4531" s="15"/>
      <c r="D4531" s="15"/>
      <c r="E4531" s="18"/>
    </row>
    <row r="4532" spans="2:5" x14ac:dyDescent="0.4">
      <c r="B4532" s="17"/>
      <c r="C4532" s="15"/>
      <c r="D4532" s="15"/>
      <c r="E4532" s="18"/>
    </row>
    <row r="4533" spans="2:5" x14ac:dyDescent="0.4">
      <c r="B4533" s="17"/>
      <c r="C4533" s="15"/>
      <c r="D4533" s="15"/>
      <c r="E4533" s="18"/>
    </row>
    <row r="4534" spans="2:5" x14ac:dyDescent="0.4">
      <c r="B4534" s="17"/>
      <c r="C4534" s="15"/>
      <c r="D4534" s="15"/>
      <c r="E4534" s="18"/>
    </row>
    <row r="4535" spans="2:5" x14ac:dyDescent="0.4">
      <c r="B4535" s="17"/>
      <c r="C4535" s="15"/>
      <c r="D4535" s="15"/>
      <c r="E4535" s="18"/>
    </row>
    <row r="4536" spans="2:5" x14ac:dyDescent="0.4">
      <c r="B4536" s="17"/>
      <c r="C4536" s="15"/>
      <c r="D4536" s="15"/>
      <c r="E4536" s="18"/>
    </row>
    <row r="4537" spans="2:5" x14ac:dyDescent="0.4">
      <c r="B4537" s="17"/>
      <c r="C4537" s="15"/>
      <c r="D4537" s="15"/>
      <c r="E4537" s="18"/>
    </row>
    <row r="4538" spans="2:5" x14ac:dyDescent="0.4">
      <c r="B4538" s="17"/>
      <c r="C4538" s="15"/>
      <c r="D4538" s="15"/>
      <c r="E4538" s="18"/>
    </row>
    <row r="4539" spans="2:5" x14ac:dyDescent="0.4">
      <c r="B4539" s="17"/>
      <c r="C4539" s="15"/>
      <c r="D4539" s="15"/>
      <c r="E4539" s="18"/>
    </row>
    <row r="4540" spans="2:5" x14ac:dyDescent="0.4">
      <c r="B4540" s="17"/>
      <c r="C4540" s="15"/>
      <c r="D4540" s="15"/>
      <c r="E4540" s="18"/>
    </row>
    <row r="4541" spans="2:5" x14ac:dyDescent="0.4">
      <c r="B4541" s="17"/>
      <c r="C4541" s="15"/>
      <c r="D4541" s="15"/>
      <c r="E4541" s="18"/>
    </row>
    <row r="4542" spans="2:5" x14ac:dyDescent="0.4">
      <c r="B4542" s="17"/>
      <c r="C4542" s="15"/>
      <c r="D4542" s="15"/>
      <c r="E4542" s="18"/>
    </row>
    <row r="4543" spans="2:5" x14ac:dyDescent="0.4">
      <c r="B4543" s="17"/>
      <c r="C4543" s="15"/>
      <c r="D4543" s="15"/>
      <c r="E4543" s="18"/>
    </row>
    <row r="4544" spans="2:5" x14ac:dyDescent="0.4">
      <c r="B4544" s="17"/>
      <c r="C4544" s="15"/>
      <c r="D4544" s="15"/>
      <c r="E4544" s="18"/>
    </row>
    <row r="4545" spans="2:5" x14ac:dyDescent="0.4">
      <c r="B4545" s="17"/>
      <c r="C4545" s="15"/>
      <c r="D4545" s="15"/>
      <c r="E4545" s="18"/>
    </row>
    <row r="4546" spans="2:5" x14ac:dyDescent="0.4">
      <c r="B4546" s="17"/>
      <c r="C4546" s="15"/>
      <c r="D4546" s="15"/>
      <c r="E4546" s="18"/>
    </row>
    <row r="4547" spans="2:5" x14ac:dyDescent="0.4">
      <c r="B4547" s="17"/>
      <c r="C4547" s="15"/>
      <c r="D4547" s="15"/>
      <c r="E4547" s="18"/>
    </row>
    <row r="4548" spans="2:5" x14ac:dyDescent="0.4">
      <c r="B4548" s="17"/>
      <c r="C4548" s="15"/>
      <c r="D4548" s="15"/>
      <c r="E4548" s="18"/>
    </row>
    <row r="4549" spans="2:5" x14ac:dyDescent="0.4">
      <c r="B4549" s="17"/>
      <c r="C4549" s="15"/>
      <c r="D4549" s="15"/>
      <c r="E4549" s="18"/>
    </row>
    <row r="4550" spans="2:5" x14ac:dyDescent="0.4">
      <c r="B4550" s="17"/>
      <c r="C4550" s="15"/>
      <c r="D4550" s="15"/>
      <c r="E4550" s="18"/>
    </row>
    <row r="4551" spans="2:5" x14ac:dyDescent="0.4">
      <c r="B4551" s="17"/>
      <c r="C4551" s="15"/>
      <c r="D4551" s="15"/>
      <c r="E4551" s="18"/>
    </row>
    <row r="4552" spans="2:5" x14ac:dyDescent="0.4">
      <c r="B4552" s="17"/>
      <c r="C4552" s="15"/>
      <c r="D4552" s="15"/>
      <c r="E4552" s="18"/>
    </row>
    <row r="4553" spans="2:5" x14ac:dyDescent="0.4">
      <c r="B4553" s="17"/>
      <c r="C4553" s="15"/>
      <c r="D4553" s="15"/>
      <c r="E4553" s="18"/>
    </row>
    <row r="4554" spans="2:5" x14ac:dyDescent="0.4">
      <c r="B4554" s="17"/>
      <c r="C4554" s="15"/>
      <c r="D4554" s="15"/>
      <c r="E4554" s="18"/>
    </row>
    <row r="4555" spans="2:5" x14ac:dyDescent="0.4">
      <c r="B4555" s="17"/>
      <c r="C4555" s="15"/>
      <c r="D4555" s="15"/>
      <c r="E4555" s="18"/>
    </row>
    <row r="4556" spans="2:5" x14ac:dyDescent="0.4">
      <c r="B4556" s="17"/>
      <c r="C4556" s="15"/>
      <c r="D4556" s="15"/>
      <c r="E4556" s="18"/>
    </row>
    <row r="4557" spans="2:5" x14ac:dyDescent="0.4">
      <c r="B4557" s="17"/>
      <c r="C4557" s="15"/>
      <c r="D4557" s="15"/>
      <c r="E4557" s="18"/>
    </row>
    <row r="4558" spans="2:5" x14ac:dyDescent="0.4">
      <c r="B4558" s="17"/>
      <c r="C4558" s="15"/>
      <c r="D4558" s="15"/>
      <c r="E4558" s="18"/>
    </row>
    <row r="4559" spans="2:5" x14ac:dyDescent="0.4">
      <c r="B4559" s="17"/>
      <c r="C4559" s="15"/>
      <c r="D4559" s="15"/>
      <c r="E4559" s="18"/>
    </row>
    <row r="4560" spans="2:5" x14ac:dyDescent="0.4">
      <c r="B4560" s="17"/>
      <c r="C4560" s="15"/>
      <c r="D4560" s="15"/>
      <c r="E4560" s="18"/>
    </row>
    <row r="4561" spans="2:5" x14ac:dyDescent="0.4">
      <c r="B4561" s="17"/>
      <c r="C4561" s="15"/>
      <c r="D4561" s="15"/>
      <c r="E4561" s="18"/>
    </row>
    <row r="4562" spans="2:5" x14ac:dyDescent="0.4">
      <c r="B4562" s="17"/>
      <c r="C4562" s="15"/>
      <c r="D4562" s="15"/>
      <c r="E4562" s="18"/>
    </row>
    <row r="4563" spans="2:5" x14ac:dyDescent="0.4">
      <c r="B4563" s="17"/>
      <c r="C4563" s="15"/>
      <c r="D4563" s="15"/>
      <c r="E4563" s="18"/>
    </row>
    <row r="4564" spans="2:5" x14ac:dyDescent="0.4">
      <c r="B4564" s="17"/>
      <c r="C4564" s="15"/>
      <c r="D4564" s="15"/>
      <c r="E4564" s="18"/>
    </row>
    <row r="4565" spans="2:5" x14ac:dyDescent="0.4">
      <c r="B4565" s="17"/>
      <c r="C4565" s="15"/>
      <c r="D4565" s="15"/>
      <c r="E4565" s="18"/>
    </row>
    <row r="4566" spans="2:5" x14ac:dyDescent="0.4">
      <c r="B4566" s="17"/>
      <c r="C4566" s="15"/>
      <c r="D4566" s="15"/>
      <c r="E4566" s="18"/>
    </row>
    <row r="4567" spans="2:5" x14ac:dyDescent="0.4">
      <c r="B4567" s="17"/>
      <c r="C4567" s="15"/>
      <c r="D4567" s="15"/>
      <c r="E4567" s="18"/>
    </row>
    <row r="4568" spans="2:5" x14ac:dyDescent="0.4">
      <c r="B4568" s="17"/>
      <c r="C4568" s="15"/>
      <c r="D4568" s="15"/>
      <c r="E4568" s="18"/>
    </row>
    <row r="4569" spans="2:5" x14ac:dyDescent="0.4">
      <c r="B4569" s="17"/>
      <c r="C4569" s="15"/>
      <c r="D4569" s="15"/>
      <c r="E4569" s="18"/>
    </row>
    <row r="4570" spans="2:5" x14ac:dyDescent="0.4">
      <c r="B4570" s="17"/>
      <c r="C4570" s="15"/>
      <c r="D4570" s="15"/>
      <c r="E4570" s="18"/>
    </row>
    <row r="4571" spans="2:5" x14ac:dyDescent="0.4">
      <c r="B4571" s="17"/>
      <c r="C4571" s="15"/>
      <c r="D4571" s="15"/>
      <c r="E4571" s="18"/>
    </row>
    <row r="4572" spans="2:5" x14ac:dyDescent="0.4">
      <c r="B4572" s="17"/>
      <c r="C4572" s="15"/>
      <c r="D4572" s="15"/>
      <c r="E4572" s="18"/>
    </row>
    <row r="4573" spans="2:5" x14ac:dyDescent="0.4">
      <c r="B4573" s="17"/>
      <c r="C4573" s="15"/>
      <c r="D4573" s="15"/>
      <c r="E4573" s="18"/>
    </row>
    <row r="4574" spans="2:5" x14ac:dyDescent="0.4">
      <c r="B4574" s="17"/>
      <c r="C4574" s="15"/>
      <c r="D4574" s="15"/>
      <c r="E4574" s="18"/>
    </row>
    <row r="4575" spans="2:5" x14ac:dyDescent="0.4">
      <c r="B4575" s="17"/>
      <c r="C4575" s="15"/>
      <c r="D4575" s="15"/>
      <c r="E4575" s="18"/>
    </row>
    <row r="4576" spans="2:5" x14ac:dyDescent="0.4">
      <c r="B4576" s="17"/>
      <c r="C4576" s="15"/>
      <c r="D4576" s="15"/>
      <c r="E4576" s="18"/>
    </row>
    <row r="4577" spans="2:5" x14ac:dyDescent="0.4">
      <c r="B4577" s="17"/>
      <c r="C4577" s="15"/>
      <c r="D4577" s="15"/>
      <c r="E4577" s="18"/>
    </row>
    <row r="4578" spans="2:5" x14ac:dyDescent="0.4">
      <c r="B4578" s="17"/>
      <c r="C4578" s="15"/>
      <c r="D4578" s="15"/>
      <c r="E4578" s="18"/>
    </row>
    <row r="4579" spans="2:5" x14ac:dyDescent="0.4">
      <c r="B4579" s="17"/>
      <c r="C4579" s="15"/>
      <c r="D4579" s="15"/>
      <c r="E4579" s="18"/>
    </row>
    <row r="4580" spans="2:5" x14ac:dyDescent="0.4">
      <c r="B4580" s="17"/>
      <c r="C4580" s="15"/>
      <c r="D4580" s="15"/>
      <c r="E4580" s="18"/>
    </row>
    <row r="4581" spans="2:5" x14ac:dyDescent="0.4">
      <c r="B4581" s="17"/>
      <c r="C4581" s="15"/>
      <c r="D4581" s="15"/>
      <c r="E4581" s="18"/>
    </row>
    <row r="4582" spans="2:5" x14ac:dyDescent="0.4">
      <c r="B4582" s="17"/>
      <c r="C4582" s="15"/>
      <c r="D4582" s="15"/>
      <c r="E4582" s="18"/>
    </row>
    <row r="4583" spans="2:5" x14ac:dyDescent="0.4">
      <c r="B4583" s="17"/>
      <c r="C4583" s="15"/>
      <c r="D4583" s="15"/>
      <c r="E4583" s="18"/>
    </row>
    <row r="4584" spans="2:5" x14ac:dyDescent="0.4">
      <c r="B4584" s="17"/>
      <c r="C4584" s="15"/>
      <c r="D4584" s="15"/>
      <c r="E4584" s="18"/>
    </row>
    <row r="4585" spans="2:5" x14ac:dyDescent="0.4">
      <c r="B4585" s="17"/>
      <c r="C4585" s="15"/>
      <c r="D4585" s="15"/>
      <c r="E4585" s="18"/>
    </row>
    <row r="4586" spans="2:5" x14ac:dyDescent="0.4">
      <c r="B4586" s="17"/>
      <c r="C4586" s="15"/>
      <c r="D4586" s="15"/>
      <c r="E4586" s="18"/>
    </row>
    <row r="4587" spans="2:5" x14ac:dyDescent="0.4">
      <c r="B4587" s="17"/>
      <c r="C4587" s="15"/>
      <c r="D4587" s="15"/>
      <c r="E4587" s="18"/>
    </row>
    <row r="4588" spans="2:5" x14ac:dyDescent="0.4">
      <c r="B4588" s="17"/>
      <c r="C4588" s="15"/>
      <c r="D4588" s="15"/>
      <c r="E4588" s="18"/>
    </row>
    <row r="4589" spans="2:5" x14ac:dyDescent="0.4">
      <c r="B4589" s="17"/>
      <c r="C4589" s="15"/>
      <c r="D4589" s="15"/>
      <c r="E4589" s="18"/>
    </row>
    <row r="4590" spans="2:5" x14ac:dyDescent="0.4">
      <c r="B4590" s="17"/>
      <c r="C4590" s="15"/>
      <c r="D4590" s="15"/>
      <c r="E4590" s="18"/>
    </row>
    <row r="4591" spans="2:5" x14ac:dyDescent="0.4">
      <c r="B4591" s="17"/>
      <c r="C4591" s="15"/>
      <c r="D4591" s="15"/>
      <c r="E4591" s="18"/>
    </row>
    <row r="4592" spans="2:5" x14ac:dyDescent="0.4">
      <c r="B4592" s="17"/>
      <c r="C4592" s="15"/>
      <c r="D4592" s="15"/>
      <c r="E4592" s="18"/>
    </row>
    <row r="4593" spans="2:5" x14ac:dyDescent="0.4">
      <c r="B4593" s="17"/>
      <c r="C4593" s="15"/>
      <c r="D4593" s="15"/>
      <c r="E4593" s="18"/>
    </row>
    <row r="4594" spans="2:5" x14ac:dyDescent="0.4">
      <c r="B4594" s="17"/>
      <c r="C4594" s="15"/>
      <c r="D4594" s="15"/>
      <c r="E4594" s="18"/>
    </row>
    <row r="4595" spans="2:5" x14ac:dyDescent="0.4">
      <c r="B4595" s="17"/>
      <c r="C4595" s="15"/>
      <c r="D4595" s="15"/>
      <c r="E4595" s="18"/>
    </row>
    <row r="4596" spans="2:5" x14ac:dyDescent="0.4">
      <c r="B4596" s="17"/>
      <c r="C4596" s="15"/>
      <c r="D4596" s="15"/>
      <c r="E4596" s="18"/>
    </row>
    <row r="4597" spans="2:5" x14ac:dyDescent="0.4">
      <c r="B4597" s="17"/>
      <c r="C4597" s="15"/>
      <c r="D4597" s="15"/>
      <c r="E4597" s="18"/>
    </row>
    <row r="4598" spans="2:5" x14ac:dyDescent="0.4">
      <c r="B4598" s="17"/>
      <c r="C4598" s="15"/>
      <c r="D4598" s="15"/>
      <c r="E4598" s="18"/>
    </row>
    <row r="4599" spans="2:5" x14ac:dyDescent="0.4">
      <c r="B4599" s="17"/>
      <c r="C4599" s="15"/>
      <c r="D4599" s="15"/>
      <c r="E4599" s="18"/>
    </row>
    <row r="4600" spans="2:5" x14ac:dyDescent="0.4">
      <c r="B4600" s="17"/>
      <c r="C4600" s="15"/>
      <c r="D4600" s="15"/>
      <c r="E4600" s="18"/>
    </row>
    <row r="4601" spans="2:5" x14ac:dyDescent="0.4">
      <c r="B4601" s="17"/>
      <c r="C4601" s="15"/>
      <c r="D4601" s="15"/>
      <c r="E4601" s="18"/>
    </row>
    <row r="4602" spans="2:5" x14ac:dyDescent="0.4">
      <c r="B4602" s="17"/>
      <c r="C4602" s="15"/>
      <c r="D4602" s="15"/>
      <c r="E4602" s="18"/>
    </row>
    <row r="4603" spans="2:5" x14ac:dyDescent="0.4">
      <c r="B4603" s="17"/>
      <c r="C4603" s="15"/>
      <c r="D4603" s="15"/>
      <c r="E4603" s="18"/>
    </row>
    <row r="4604" spans="2:5" x14ac:dyDescent="0.4">
      <c r="B4604" s="17"/>
      <c r="C4604" s="15"/>
      <c r="D4604" s="15"/>
      <c r="E4604" s="18"/>
    </row>
    <row r="4605" spans="2:5" x14ac:dyDescent="0.4">
      <c r="B4605" s="17"/>
      <c r="C4605" s="15"/>
      <c r="D4605" s="15"/>
      <c r="E4605" s="18"/>
    </row>
    <row r="4606" spans="2:5" x14ac:dyDescent="0.4">
      <c r="B4606" s="17"/>
      <c r="C4606" s="15"/>
      <c r="D4606" s="15"/>
      <c r="E4606" s="18"/>
    </row>
    <row r="4607" spans="2:5" x14ac:dyDescent="0.4">
      <c r="B4607" s="17"/>
      <c r="C4607" s="15"/>
      <c r="D4607" s="15"/>
      <c r="E4607" s="18"/>
    </row>
    <row r="4608" spans="2:5" x14ac:dyDescent="0.4">
      <c r="B4608" s="17"/>
      <c r="C4608" s="15"/>
      <c r="D4608" s="15"/>
      <c r="E4608" s="18"/>
    </row>
    <row r="4609" spans="2:5" x14ac:dyDescent="0.4">
      <c r="B4609" s="17"/>
      <c r="C4609" s="15"/>
      <c r="D4609" s="15"/>
      <c r="E4609" s="18"/>
    </row>
    <row r="4610" spans="2:5" x14ac:dyDescent="0.4">
      <c r="B4610" s="17"/>
      <c r="C4610" s="15"/>
      <c r="D4610" s="15"/>
      <c r="E4610" s="18"/>
    </row>
    <row r="4611" spans="2:5" x14ac:dyDescent="0.4">
      <c r="B4611" s="17"/>
      <c r="C4611" s="15"/>
      <c r="D4611" s="15"/>
      <c r="E4611" s="18"/>
    </row>
    <row r="4612" spans="2:5" x14ac:dyDescent="0.4">
      <c r="B4612" s="17"/>
      <c r="C4612" s="15"/>
      <c r="D4612" s="15"/>
      <c r="E4612" s="18"/>
    </row>
    <row r="4613" spans="2:5" x14ac:dyDescent="0.4">
      <c r="B4613" s="17"/>
      <c r="C4613" s="15"/>
      <c r="D4613" s="15"/>
      <c r="E4613" s="18"/>
    </row>
    <row r="4614" spans="2:5" x14ac:dyDescent="0.4">
      <c r="B4614" s="17"/>
      <c r="C4614" s="15"/>
      <c r="D4614" s="15"/>
      <c r="E4614" s="18"/>
    </row>
    <row r="4615" spans="2:5" x14ac:dyDescent="0.4">
      <c r="B4615" s="17"/>
      <c r="C4615" s="15"/>
      <c r="D4615" s="15"/>
      <c r="E4615" s="18"/>
    </row>
    <row r="4616" spans="2:5" x14ac:dyDescent="0.4">
      <c r="B4616" s="17"/>
      <c r="C4616" s="15"/>
      <c r="D4616" s="15"/>
      <c r="E4616" s="18"/>
    </row>
    <row r="4617" spans="2:5" x14ac:dyDescent="0.4">
      <c r="B4617" s="17"/>
      <c r="C4617" s="15"/>
      <c r="D4617" s="15"/>
      <c r="E4617" s="18"/>
    </row>
    <row r="4618" spans="2:5" x14ac:dyDescent="0.4">
      <c r="B4618" s="17"/>
      <c r="C4618" s="15"/>
      <c r="D4618" s="15"/>
      <c r="E4618" s="18"/>
    </row>
    <row r="4619" spans="2:5" x14ac:dyDescent="0.4">
      <c r="B4619" s="17"/>
      <c r="C4619" s="15"/>
      <c r="D4619" s="15"/>
      <c r="E4619" s="18"/>
    </row>
    <row r="4620" spans="2:5" x14ac:dyDescent="0.4">
      <c r="B4620" s="17"/>
      <c r="C4620" s="15"/>
      <c r="D4620" s="15"/>
      <c r="E4620" s="18"/>
    </row>
    <row r="4621" spans="2:5" x14ac:dyDescent="0.4">
      <c r="B4621" s="17"/>
      <c r="C4621" s="15"/>
      <c r="D4621" s="15"/>
      <c r="E4621" s="18"/>
    </row>
    <row r="4622" spans="2:5" x14ac:dyDescent="0.4">
      <c r="B4622" s="17"/>
      <c r="C4622" s="15"/>
      <c r="D4622" s="15"/>
      <c r="E4622" s="18"/>
    </row>
    <row r="4623" spans="2:5" x14ac:dyDescent="0.4">
      <c r="B4623" s="17"/>
      <c r="C4623" s="15"/>
      <c r="D4623" s="15"/>
      <c r="E4623" s="18"/>
    </row>
    <row r="4624" spans="2:5" x14ac:dyDescent="0.4">
      <c r="B4624" s="17"/>
      <c r="C4624" s="15"/>
      <c r="D4624" s="15"/>
      <c r="E4624" s="18"/>
    </row>
    <row r="4625" spans="2:5" x14ac:dyDescent="0.4">
      <c r="B4625" s="17"/>
      <c r="C4625" s="15"/>
      <c r="D4625" s="15"/>
      <c r="E4625" s="18"/>
    </row>
    <row r="4626" spans="2:5" x14ac:dyDescent="0.4">
      <c r="B4626" s="17"/>
      <c r="C4626" s="15"/>
      <c r="D4626" s="15"/>
      <c r="E4626" s="18"/>
    </row>
    <row r="4627" spans="2:5" x14ac:dyDescent="0.4">
      <c r="B4627" s="17"/>
      <c r="C4627" s="15"/>
      <c r="D4627" s="15"/>
      <c r="E4627" s="18"/>
    </row>
    <row r="4628" spans="2:5" x14ac:dyDescent="0.4">
      <c r="B4628" s="17"/>
      <c r="C4628" s="15"/>
      <c r="D4628" s="15"/>
      <c r="E4628" s="18"/>
    </row>
    <row r="4629" spans="2:5" x14ac:dyDescent="0.4">
      <c r="B4629" s="17"/>
      <c r="C4629" s="15"/>
      <c r="D4629" s="15"/>
      <c r="E4629" s="18"/>
    </row>
    <row r="4630" spans="2:5" x14ac:dyDescent="0.4">
      <c r="B4630" s="17"/>
      <c r="C4630" s="15"/>
      <c r="D4630" s="15"/>
      <c r="E4630" s="18"/>
    </row>
    <row r="4631" spans="2:5" x14ac:dyDescent="0.4">
      <c r="B4631" s="17"/>
      <c r="C4631" s="15"/>
      <c r="D4631" s="15"/>
      <c r="E4631" s="18"/>
    </row>
    <row r="4632" spans="2:5" x14ac:dyDescent="0.4">
      <c r="B4632" s="17"/>
      <c r="C4632" s="15"/>
      <c r="D4632" s="15"/>
      <c r="E4632" s="18"/>
    </row>
    <row r="4633" spans="2:5" x14ac:dyDescent="0.4">
      <c r="B4633" s="17"/>
      <c r="C4633" s="15"/>
      <c r="D4633" s="15"/>
      <c r="E4633" s="18"/>
    </row>
    <row r="4634" spans="2:5" x14ac:dyDescent="0.4">
      <c r="B4634" s="17"/>
      <c r="C4634" s="15"/>
      <c r="D4634" s="15"/>
      <c r="E4634" s="18"/>
    </row>
    <row r="4635" spans="2:5" x14ac:dyDescent="0.4">
      <c r="B4635" s="17"/>
      <c r="C4635" s="15"/>
      <c r="D4635" s="15"/>
      <c r="E4635" s="18"/>
    </row>
    <row r="4636" spans="2:5" x14ac:dyDescent="0.4">
      <c r="B4636" s="17"/>
      <c r="C4636" s="15"/>
      <c r="D4636" s="15"/>
      <c r="E4636" s="18"/>
    </row>
    <row r="4637" spans="2:5" x14ac:dyDescent="0.4">
      <c r="B4637" s="17"/>
      <c r="C4637" s="15"/>
      <c r="D4637" s="15"/>
      <c r="E4637" s="18"/>
    </row>
    <row r="4638" spans="2:5" x14ac:dyDescent="0.4">
      <c r="B4638" s="17"/>
      <c r="C4638" s="15"/>
      <c r="D4638" s="15"/>
      <c r="E4638" s="18"/>
    </row>
    <row r="4639" spans="2:5" x14ac:dyDescent="0.4">
      <c r="B4639" s="17"/>
      <c r="C4639" s="15"/>
      <c r="D4639" s="15"/>
      <c r="E4639" s="18"/>
    </row>
    <row r="4640" spans="2:5" x14ac:dyDescent="0.4">
      <c r="B4640" s="17"/>
      <c r="C4640" s="15"/>
      <c r="D4640" s="15"/>
      <c r="E4640" s="18"/>
    </row>
    <row r="4641" spans="2:5" x14ac:dyDescent="0.4">
      <c r="B4641" s="17"/>
      <c r="C4641" s="15"/>
      <c r="D4641" s="15"/>
      <c r="E4641" s="18"/>
    </row>
    <row r="4642" spans="2:5" x14ac:dyDescent="0.4">
      <c r="B4642" s="17"/>
      <c r="C4642" s="15"/>
      <c r="D4642" s="15"/>
      <c r="E4642" s="18"/>
    </row>
    <row r="4643" spans="2:5" x14ac:dyDescent="0.4">
      <c r="B4643" s="17"/>
      <c r="C4643" s="15"/>
      <c r="D4643" s="15"/>
      <c r="E4643" s="18"/>
    </row>
    <row r="4644" spans="2:5" x14ac:dyDescent="0.4">
      <c r="B4644" s="17"/>
      <c r="C4644" s="15"/>
      <c r="D4644" s="15"/>
      <c r="E4644" s="18"/>
    </row>
    <row r="4645" spans="2:5" x14ac:dyDescent="0.4">
      <c r="B4645" s="17"/>
      <c r="C4645" s="15"/>
      <c r="D4645" s="15"/>
      <c r="E4645" s="18"/>
    </row>
    <row r="4646" spans="2:5" x14ac:dyDescent="0.4">
      <c r="B4646" s="17"/>
      <c r="C4646" s="15"/>
      <c r="D4646" s="15"/>
      <c r="E4646" s="18"/>
    </row>
    <row r="4647" spans="2:5" x14ac:dyDescent="0.4">
      <c r="B4647" s="17"/>
      <c r="C4647" s="15"/>
      <c r="D4647" s="15"/>
      <c r="E4647" s="18"/>
    </row>
    <row r="4648" spans="2:5" x14ac:dyDescent="0.4">
      <c r="B4648" s="17"/>
      <c r="C4648" s="15"/>
      <c r="D4648" s="15"/>
      <c r="E4648" s="18"/>
    </row>
    <row r="4649" spans="2:5" x14ac:dyDescent="0.4">
      <c r="B4649" s="17"/>
      <c r="C4649" s="15"/>
      <c r="D4649" s="15"/>
      <c r="E4649" s="18"/>
    </row>
    <row r="4650" spans="2:5" x14ac:dyDescent="0.4">
      <c r="B4650" s="17"/>
      <c r="C4650" s="15"/>
      <c r="D4650" s="15"/>
      <c r="E4650" s="18"/>
    </row>
    <row r="4651" spans="2:5" x14ac:dyDescent="0.4">
      <c r="B4651" s="17"/>
      <c r="C4651" s="15"/>
      <c r="D4651" s="15"/>
      <c r="E4651" s="18"/>
    </row>
    <row r="4652" spans="2:5" x14ac:dyDescent="0.4">
      <c r="B4652" s="17"/>
      <c r="C4652" s="15"/>
      <c r="D4652" s="15"/>
      <c r="E4652" s="18"/>
    </row>
    <row r="4653" spans="2:5" x14ac:dyDescent="0.4">
      <c r="B4653" s="17"/>
      <c r="C4653" s="15"/>
      <c r="D4653" s="15"/>
      <c r="E4653" s="18"/>
    </row>
    <row r="4654" spans="2:5" x14ac:dyDescent="0.4">
      <c r="B4654" s="17"/>
      <c r="C4654" s="15"/>
      <c r="D4654" s="15"/>
      <c r="E4654" s="18"/>
    </row>
    <row r="4655" spans="2:5" x14ac:dyDescent="0.4">
      <c r="B4655" s="17"/>
      <c r="C4655" s="15"/>
      <c r="D4655" s="15"/>
      <c r="E4655" s="18"/>
    </row>
    <row r="4656" spans="2:5" x14ac:dyDescent="0.4">
      <c r="B4656" s="17"/>
      <c r="C4656" s="15"/>
      <c r="D4656" s="15"/>
      <c r="E4656" s="18"/>
    </row>
    <row r="4657" spans="2:5" x14ac:dyDescent="0.4">
      <c r="B4657" s="17"/>
      <c r="C4657" s="15"/>
      <c r="D4657" s="15"/>
      <c r="E4657" s="18"/>
    </row>
    <row r="4658" spans="2:5" x14ac:dyDescent="0.4">
      <c r="B4658" s="17"/>
      <c r="C4658" s="15"/>
      <c r="D4658" s="15"/>
      <c r="E4658" s="18"/>
    </row>
    <row r="4659" spans="2:5" x14ac:dyDescent="0.4">
      <c r="B4659" s="17"/>
      <c r="C4659" s="15"/>
      <c r="D4659" s="15"/>
      <c r="E4659" s="18"/>
    </row>
    <row r="4660" spans="2:5" x14ac:dyDescent="0.4">
      <c r="B4660" s="17"/>
      <c r="C4660" s="15"/>
      <c r="D4660" s="15"/>
      <c r="E4660" s="18"/>
    </row>
    <row r="4661" spans="2:5" x14ac:dyDescent="0.4">
      <c r="B4661" s="17"/>
      <c r="C4661" s="15"/>
      <c r="D4661" s="15"/>
      <c r="E4661" s="18"/>
    </row>
    <row r="4662" spans="2:5" x14ac:dyDescent="0.4">
      <c r="B4662" s="17"/>
      <c r="C4662" s="15"/>
      <c r="D4662" s="15"/>
      <c r="E4662" s="18"/>
    </row>
    <row r="4663" spans="2:5" x14ac:dyDescent="0.4">
      <c r="B4663" s="17"/>
      <c r="C4663" s="15"/>
      <c r="D4663" s="15"/>
      <c r="E4663" s="18"/>
    </row>
    <row r="4664" spans="2:5" x14ac:dyDescent="0.4">
      <c r="B4664" s="17"/>
      <c r="C4664" s="15"/>
      <c r="D4664" s="15"/>
      <c r="E4664" s="18"/>
    </row>
    <row r="4665" spans="2:5" x14ac:dyDescent="0.4">
      <c r="B4665" s="17"/>
      <c r="C4665" s="15"/>
      <c r="D4665" s="15"/>
      <c r="E4665" s="18"/>
    </row>
    <row r="4666" spans="2:5" x14ac:dyDescent="0.4">
      <c r="B4666" s="17"/>
      <c r="C4666" s="15"/>
      <c r="D4666" s="15"/>
      <c r="E4666" s="18"/>
    </row>
    <row r="4667" spans="2:5" x14ac:dyDescent="0.4">
      <c r="B4667" s="17"/>
      <c r="C4667" s="15"/>
      <c r="D4667" s="15"/>
      <c r="E4667" s="18"/>
    </row>
    <row r="4668" spans="2:5" x14ac:dyDescent="0.4">
      <c r="B4668" s="17"/>
      <c r="C4668" s="15"/>
      <c r="D4668" s="15"/>
      <c r="E4668" s="18"/>
    </row>
    <row r="4669" spans="2:5" x14ac:dyDescent="0.4">
      <c r="B4669" s="17"/>
      <c r="C4669" s="15"/>
      <c r="D4669" s="15"/>
      <c r="E4669" s="18"/>
    </row>
    <row r="4670" spans="2:5" x14ac:dyDescent="0.4">
      <c r="B4670" s="17"/>
      <c r="C4670" s="15"/>
      <c r="D4670" s="15"/>
      <c r="E4670" s="18"/>
    </row>
    <row r="4671" spans="2:5" x14ac:dyDescent="0.4">
      <c r="B4671" s="17"/>
      <c r="C4671" s="15"/>
      <c r="D4671" s="15"/>
      <c r="E4671" s="18"/>
    </row>
    <row r="4672" spans="2:5" x14ac:dyDescent="0.4">
      <c r="B4672" s="17"/>
      <c r="C4672" s="15"/>
      <c r="D4672" s="15"/>
      <c r="E4672" s="18"/>
    </row>
    <row r="4673" spans="2:5" x14ac:dyDescent="0.4">
      <c r="B4673" s="17"/>
      <c r="C4673" s="15"/>
      <c r="D4673" s="15"/>
      <c r="E4673" s="18"/>
    </row>
    <row r="4674" spans="2:5" x14ac:dyDescent="0.4">
      <c r="B4674" s="17"/>
      <c r="C4674" s="15"/>
      <c r="D4674" s="15"/>
      <c r="E4674" s="18"/>
    </row>
    <row r="4675" spans="2:5" x14ac:dyDescent="0.4">
      <c r="B4675" s="17"/>
      <c r="C4675" s="15"/>
      <c r="D4675" s="15"/>
      <c r="E4675" s="18"/>
    </row>
    <row r="4676" spans="2:5" x14ac:dyDescent="0.4">
      <c r="B4676" s="17"/>
      <c r="C4676" s="15"/>
      <c r="D4676" s="15"/>
      <c r="E4676" s="18"/>
    </row>
    <row r="4677" spans="2:5" x14ac:dyDescent="0.4">
      <c r="B4677" s="17"/>
      <c r="C4677" s="15"/>
      <c r="D4677" s="15"/>
      <c r="E4677" s="18"/>
    </row>
    <row r="4678" spans="2:5" x14ac:dyDescent="0.4">
      <c r="B4678" s="17"/>
      <c r="C4678" s="15"/>
      <c r="D4678" s="15"/>
      <c r="E4678" s="18"/>
    </row>
    <row r="4679" spans="2:5" x14ac:dyDescent="0.4">
      <c r="B4679" s="17"/>
      <c r="C4679" s="15"/>
      <c r="D4679" s="15"/>
      <c r="E4679" s="18"/>
    </row>
    <row r="4680" spans="2:5" x14ac:dyDescent="0.4">
      <c r="B4680" s="17"/>
      <c r="C4680" s="15"/>
      <c r="D4680" s="15"/>
      <c r="E4680" s="18"/>
    </row>
    <row r="4681" spans="2:5" x14ac:dyDescent="0.4">
      <c r="B4681" s="17"/>
      <c r="C4681" s="15"/>
      <c r="D4681" s="15"/>
      <c r="E4681" s="18"/>
    </row>
    <row r="4682" spans="2:5" x14ac:dyDescent="0.4">
      <c r="B4682" s="17"/>
      <c r="C4682" s="15"/>
      <c r="D4682" s="15"/>
      <c r="E4682" s="18"/>
    </row>
    <row r="4683" spans="2:5" x14ac:dyDescent="0.4">
      <c r="B4683" s="17"/>
      <c r="C4683" s="15"/>
      <c r="D4683" s="15"/>
      <c r="E4683" s="18"/>
    </row>
    <row r="4684" spans="2:5" x14ac:dyDescent="0.4">
      <c r="B4684" s="17"/>
      <c r="C4684" s="15"/>
      <c r="D4684" s="15"/>
      <c r="E4684" s="18"/>
    </row>
    <row r="4685" spans="2:5" x14ac:dyDescent="0.4">
      <c r="B4685" s="17"/>
      <c r="C4685" s="15"/>
      <c r="D4685" s="15"/>
      <c r="E4685" s="18"/>
    </row>
    <row r="4686" spans="2:5" x14ac:dyDescent="0.4">
      <c r="B4686" s="17"/>
      <c r="C4686" s="15"/>
      <c r="D4686" s="15"/>
      <c r="E4686" s="18"/>
    </row>
    <row r="4687" spans="2:5" x14ac:dyDescent="0.4">
      <c r="B4687" s="17"/>
      <c r="C4687" s="15"/>
      <c r="D4687" s="15"/>
      <c r="E4687" s="18"/>
    </row>
    <row r="4688" spans="2:5" x14ac:dyDescent="0.4">
      <c r="B4688" s="17"/>
      <c r="C4688" s="15"/>
      <c r="D4688" s="15"/>
      <c r="E4688" s="18"/>
    </row>
    <row r="4689" spans="2:5" x14ac:dyDescent="0.4">
      <c r="B4689" s="17"/>
      <c r="C4689" s="15"/>
      <c r="D4689" s="15"/>
      <c r="E4689" s="18"/>
    </row>
    <row r="4690" spans="2:5" x14ac:dyDescent="0.4">
      <c r="B4690" s="17"/>
      <c r="C4690" s="15"/>
      <c r="D4690" s="15"/>
      <c r="E4690" s="18"/>
    </row>
    <row r="4691" spans="2:5" x14ac:dyDescent="0.4">
      <c r="B4691" s="17"/>
      <c r="C4691" s="15"/>
      <c r="D4691" s="15"/>
      <c r="E4691" s="18"/>
    </row>
    <row r="4692" spans="2:5" x14ac:dyDescent="0.4">
      <c r="B4692" s="17"/>
      <c r="C4692" s="15"/>
      <c r="D4692" s="15"/>
      <c r="E4692" s="18"/>
    </row>
    <row r="4693" spans="2:5" x14ac:dyDescent="0.4">
      <c r="B4693" s="17"/>
      <c r="C4693" s="15"/>
      <c r="D4693" s="15"/>
      <c r="E4693" s="18"/>
    </row>
    <row r="4694" spans="2:5" x14ac:dyDescent="0.4">
      <c r="B4694" s="17"/>
      <c r="C4694" s="15"/>
      <c r="D4694" s="15"/>
      <c r="E4694" s="18"/>
    </row>
    <row r="4695" spans="2:5" x14ac:dyDescent="0.4">
      <c r="B4695" s="17"/>
      <c r="C4695" s="15"/>
      <c r="D4695" s="15"/>
      <c r="E4695" s="18"/>
    </row>
    <row r="4696" spans="2:5" x14ac:dyDescent="0.4">
      <c r="B4696" s="17"/>
      <c r="C4696" s="15"/>
      <c r="D4696" s="15"/>
      <c r="E4696" s="18"/>
    </row>
    <row r="4697" spans="2:5" x14ac:dyDescent="0.4">
      <c r="B4697" s="17"/>
      <c r="C4697" s="15"/>
      <c r="D4697" s="15"/>
      <c r="E4697" s="18"/>
    </row>
    <row r="4698" spans="2:5" x14ac:dyDescent="0.4">
      <c r="B4698" s="17"/>
      <c r="C4698" s="15"/>
      <c r="D4698" s="15"/>
      <c r="E4698" s="18"/>
    </row>
    <row r="4699" spans="2:5" x14ac:dyDescent="0.4">
      <c r="B4699" s="17"/>
      <c r="C4699" s="15"/>
      <c r="D4699" s="15"/>
      <c r="E4699" s="18"/>
    </row>
    <row r="4700" spans="2:5" x14ac:dyDescent="0.4">
      <c r="B4700" s="17"/>
      <c r="C4700" s="15"/>
      <c r="D4700" s="15"/>
      <c r="E4700" s="18"/>
    </row>
    <row r="4701" spans="2:5" x14ac:dyDescent="0.4">
      <c r="B4701" s="17"/>
      <c r="C4701" s="15"/>
      <c r="D4701" s="15"/>
      <c r="E4701" s="18"/>
    </row>
    <row r="4702" spans="2:5" x14ac:dyDescent="0.4">
      <c r="B4702" s="17"/>
      <c r="C4702" s="15"/>
      <c r="D4702" s="15"/>
      <c r="E4702" s="18"/>
    </row>
    <row r="4703" spans="2:5" x14ac:dyDescent="0.4">
      <c r="B4703" s="17"/>
      <c r="C4703" s="15"/>
      <c r="D4703" s="15"/>
      <c r="E4703" s="18"/>
    </row>
    <row r="4704" spans="2:5" x14ac:dyDescent="0.4">
      <c r="B4704" s="17"/>
      <c r="C4704" s="15"/>
      <c r="D4704" s="15"/>
      <c r="E4704" s="18"/>
    </row>
    <row r="4705" spans="2:5" x14ac:dyDescent="0.4">
      <c r="B4705" s="17"/>
      <c r="C4705" s="15"/>
      <c r="D4705" s="15"/>
      <c r="E4705" s="18"/>
    </row>
    <row r="4706" spans="2:5" x14ac:dyDescent="0.4">
      <c r="B4706" s="17"/>
      <c r="C4706" s="15"/>
      <c r="D4706" s="15"/>
      <c r="E4706" s="18"/>
    </row>
    <row r="4707" spans="2:5" x14ac:dyDescent="0.4">
      <c r="B4707" s="17"/>
      <c r="C4707" s="15"/>
      <c r="D4707" s="15"/>
      <c r="E4707" s="18"/>
    </row>
    <row r="4708" spans="2:5" x14ac:dyDescent="0.4">
      <c r="B4708" s="17"/>
      <c r="C4708" s="15"/>
      <c r="D4708" s="15"/>
      <c r="E4708" s="18"/>
    </row>
    <row r="4709" spans="2:5" x14ac:dyDescent="0.4">
      <c r="B4709" s="17"/>
      <c r="C4709" s="15"/>
      <c r="D4709" s="15"/>
      <c r="E4709" s="18"/>
    </row>
    <row r="4710" spans="2:5" x14ac:dyDescent="0.4">
      <c r="B4710" s="17"/>
      <c r="C4710" s="15"/>
      <c r="D4710" s="15"/>
      <c r="E4710" s="18"/>
    </row>
    <row r="4711" spans="2:5" x14ac:dyDescent="0.4">
      <c r="B4711" s="17"/>
      <c r="C4711" s="15"/>
      <c r="D4711" s="15"/>
      <c r="E4711" s="18"/>
    </row>
    <row r="4712" spans="2:5" x14ac:dyDescent="0.4">
      <c r="B4712" s="17"/>
      <c r="C4712" s="15"/>
      <c r="D4712" s="15"/>
      <c r="E4712" s="18"/>
    </row>
    <row r="4713" spans="2:5" x14ac:dyDescent="0.4">
      <c r="B4713" s="17"/>
      <c r="C4713" s="15"/>
      <c r="D4713" s="15"/>
      <c r="E4713" s="18"/>
    </row>
    <row r="4714" spans="2:5" x14ac:dyDescent="0.4">
      <c r="B4714" s="17"/>
      <c r="C4714" s="15"/>
      <c r="D4714" s="15"/>
      <c r="E4714" s="18"/>
    </row>
    <row r="4715" spans="2:5" x14ac:dyDescent="0.4">
      <c r="B4715" s="17"/>
      <c r="C4715" s="15"/>
      <c r="D4715" s="15"/>
      <c r="E4715" s="18"/>
    </row>
    <row r="4716" spans="2:5" x14ac:dyDescent="0.4">
      <c r="B4716" s="17"/>
      <c r="C4716" s="15"/>
      <c r="D4716" s="15"/>
      <c r="E4716" s="18"/>
    </row>
    <row r="4717" spans="2:5" x14ac:dyDescent="0.4">
      <c r="B4717" s="17"/>
      <c r="C4717" s="15"/>
      <c r="D4717" s="15"/>
      <c r="E4717" s="18"/>
    </row>
    <row r="4718" spans="2:5" x14ac:dyDescent="0.4">
      <c r="B4718" s="17"/>
      <c r="C4718" s="15"/>
      <c r="D4718" s="15"/>
      <c r="E4718" s="18"/>
    </row>
    <row r="4719" spans="2:5" x14ac:dyDescent="0.4">
      <c r="B4719" s="17"/>
      <c r="C4719" s="15"/>
      <c r="D4719" s="15"/>
      <c r="E4719" s="18"/>
    </row>
    <row r="4720" spans="2:5" x14ac:dyDescent="0.4">
      <c r="B4720" s="17"/>
      <c r="C4720" s="15"/>
      <c r="D4720" s="15"/>
      <c r="E4720" s="18"/>
    </row>
    <row r="4721" spans="2:5" x14ac:dyDescent="0.4">
      <c r="B4721" s="17"/>
      <c r="C4721" s="15"/>
      <c r="D4721" s="15"/>
      <c r="E4721" s="18"/>
    </row>
    <row r="4722" spans="2:5" x14ac:dyDescent="0.4">
      <c r="B4722" s="17"/>
      <c r="C4722" s="15"/>
      <c r="D4722" s="15"/>
      <c r="E4722" s="18"/>
    </row>
    <row r="4723" spans="2:5" x14ac:dyDescent="0.4">
      <c r="B4723" s="17"/>
      <c r="C4723" s="15"/>
      <c r="D4723" s="15"/>
      <c r="E4723" s="18"/>
    </row>
    <row r="4724" spans="2:5" x14ac:dyDescent="0.4">
      <c r="B4724" s="17"/>
      <c r="C4724" s="15"/>
      <c r="D4724" s="15"/>
      <c r="E4724" s="18"/>
    </row>
    <row r="4725" spans="2:5" x14ac:dyDescent="0.4">
      <c r="B4725" s="17"/>
      <c r="C4725" s="15"/>
      <c r="D4725" s="15"/>
      <c r="E4725" s="18"/>
    </row>
    <row r="4726" spans="2:5" x14ac:dyDescent="0.4">
      <c r="B4726" s="17"/>
      <c r="C4726" s="15"/>
      <c r="D4726" s="15"/>
      <c r="E4726" s="18"/>
    </row>
    <row r="4727" spans="2:5" x14ac:dyDescent="0.4">
      <c r="B4727" s="17"/>
      <c r="C4727" s="15"/>
      <c r="D4727" s="15"/>
      <c r="E4727" s="18"/>
    </row>
    <row r="4728" spans="2:5" x14ac:dyDescent="0.4">
      <c r="B4728" s="17"/>
      <c r="C4728" s="15"/>
      <c r="D4728" s="15"/>
      <c r="E4728" s="18"/>
    </row>
    <row r="4729" spans="2:5" x14ac:dyDescent="0.4">
      <c r="B4729" s="17"/>
      <c r="C4729" s="15"/>
      <c r="D4729" s="15"/>
      <c r="E4729" s="18"/>
    </row>
    <row r="4730" spans="2:5" x14ac:dyDescent="0.4">
      <c r="B4730" s="17"/>
      <c r="C4730" s="15"/>
      <c r="D4730" s="15"/>
      <c r="E4730" s="18"/>
    </row>
    <row r="4731" spans="2:5" x14ac:dyDescent="0.4">
      <c r="B4731" s="17"/>
      <c r="C4731" s="15"/>
      <c r="D4731" s="15"/>
      <c r="E4731" s="18"/>
    </row>
    <row r="4732" spans="2:5" x14ac:dyDescent="0.4">
      <c r="B4732" s="17"/>
      <c r="C4732" s="15"/>
      <c r="D4732" s="15"/>
      <c r="E4732" s="18"/>
    </row>
    <row r="4733" spans="2:5" x14ac:dyDescent="0.4">
      <c r="B4733" s="17"/>
      <c r="C4733" s="15"/>
      <c r="D4733" s="15"/>
      <c r="E4733" s="18"/>
    </row>
    <row r="4734" spans="2:5" x14ac:dyDescent="0.4">
      <c r="B4734" s="17"/>
      <c r="C4734" s="15"/>
      <c r="D4734" s="15"/>
      <c r="E4734" s="18"/>
    </row>
    <row r="4735" spans="2:5" x14ac:dyDescent="0.4">
      <c r="B4735" s="17"/>
      <c r="C4735" s="15"/>
      <c r="D4735" s="15"/>
      <c r="E4735" s="18"/>
    </row>
    <row r="4736" spans="2:5" x14ac:dyDescent="0.4">
      <c r="B4736" s="17"/>
      <c r="C4736" s="15"/>
      <c r="D4736" s="15"/>
      <c r="E4736" s="18"/>
    </row>
    <row r="4737" spans="2:5" x14ac:dyDescent="0.4">
      <c r="B4737" s="17"/>
      <c r="C4737" s="15"/>
      <c r="D4737" s="15"/>
      <c r="E4737" s="18"/>
    </row>
    <row r="4738" spans="2:5" x14ac:dyDescent="0.4">
      <c r="B4738" s="17"/>
      <c r="C4738" s="15"/>
      <c r="D4738" s="15"/>
      <c r="E4738" s="18"/>
    </row>
    <row r="4739" spans="2:5" x14ac:dyDescent="0.4">
      <c r="B4739" s="17"/>
      <c r="C4739" s="15"/>
      <c r="D4739" s="15"/>
      <c r="E4739" s="18"/>
    </row>
    <row r="4740" spans="2:5" x14ac:dyDescent="0.4">
      <c r="B4740" s="17"/>
      <c r="C4740" s="15"/>
      <c r="D4740" s="15"/>
      <c r="E4740" s="18"/>
    </row>
    <row r="4741" spans="2:5" x14ac:dyDescent="0.4">
      <c r="B4741" s="17"/>
      <c r="C4741" s="15"/>
      <c r="D4741" s="15"/>
      <c r="E4741" s="18"/>
    </row>
    <row r="4742" spans="2:5" x14ac:dyDescent="0.4">
      <c r="B4742" s="17"/>
      <c r="C4742" s="15"/>
      <c r="D4742" s="15"/>
      <c r="E4742" s="18"/>
    </row>
    <row r="4743" spans="2:5" x14ac:dyDescent="0.4">
      <c r="B4743" s="17"/>
      <c r="C4743" s="15"/>
      <c r="D4743" s="15"/>
      <c r="E4743" s="18"/>
    </row>
    <row r="4744" spans="2:5" x14ac:dyDescent="0.4">
      <c r="B4744" s="17"/>
      <c r="C4744" s="15"/>
      <c r="D4744" s="15"/>
      <c r="E4744" s="18"/>
    </row>
    <row r="4745" spans="2:5" x14ac:dyDescent="0.4">
      <c r="B4745" s="17"/>
      <c r="C4745" s="15"/>
      <c r="D4745" s="15"/>
      <c r="E4745" s="18"/>
    </row>
    <row r="4746" spans="2:5" x14ac:dyDescent="0.4">
      <c r="B4746" s="17"/>
      <c r="C4746" s="15"/>
      <c r="D4746" s="15"/>
      <c r="E4746" s="18"/>
    </row>
    <row r="4747" spans="2:5" x14ac:dyDescent="0.4">
      <c r="B4747" s="17"/>
      <c r="C4747" s="15"/>
      <c r="D4747" s="15"/>
      <c r="E4747" s="18"/>
    </row>
    <row r="4748" spans="2:5" x14ac:dyDescent="0.4">
      <c r="B4748" s="17"/>
      <c r="C4748" s="15"/>
      <c r="D4748" s="15"/>
      <c r="E4748" s="18"/>
    </row>
    <row r="4749" spans="2:5" x14ac:dyDescent="0.4">
      <c r="B4749" s="17"/>
      <c r="C4749" s="15"/>
      <c r="D4749" s="15"/>
      <c r="E4749" s="18"/>
    </row>
    <row r="4750" spans="2:5" x14ac:dyDescent="0.4">
      <c r="B4750" s="17"/>
      <c r="C4750" s="15"/>
      <c r="D4750" s="15"/>
      <c r="E4750" s="18"/>
    </row>
    <row r="4751" spans="2:5" x14ac:dyDescent="0.4">
      <c r="B4751" s="17"/>
      <c r="C4751" s="15"/>
      <c r="D4751" s="15"/>
      <c r="E4751" s="18"/>
    </row>
    <row r="4752" spans="2:5" x14ac:dyDescent="0.4">
      <c r="B4752" s="17"/>
      <c r="C4752" s="15"/>
      <c r="D4752" s="15"/>
      <c r="E4752" s="18"/>
    </row>
    <row r="4753" spans="2:5" x14ac:dyDescent="0.4">
      <c r="B4753" s="17"/>
      <c r="C4753" s="15"/>
      <c r="D4753" s="15"/>
      <c r="E4753" s="18"/>
    </row>
    <row r="4754" spans="2:5" x14ac:dyDescent="0.4">
      <c r="B4754" s="17"/>
      <c r="C4754" s="15"/>
      <c r="D4754" s="15"/>
      <c r="E4754" s="18"/>
    </row>
    <row r="4755" spans="2:5" x14ac:dyDescent="0.4">
      <c r="B4755" s="17"/>
      <c r="C4755" s="15"/>
      <c r="D4755" s="15"/>
      <c r="E4755" s="18"/>
    </row>
    <row r="4756" spans="2:5" x14ac:dyDescent="0.4">
      <c r="B4756" s="17"/>
      <c r="C4756" s="15"/>
      <c r="D4756" s="15"/>
      <c r="E4756" s="18"/>
    </row>
    <row r="4757" spans="2:5" x14ac:dyDescent="0.4">
      <c r="B4757" s="17"/>
      <c r="C4757" s="15"/>
      <c r="D4757" s="15"/>
      <c r="E4757" s="18"/>
    </row>
    <row r="4758" spans="2:5" x14ac:dyDescent="0.4">
      <c r="B4758" s="17"/>
      <c r="C4758" s="15"/>
      <c r="D4758" s="15"/>
      <c r="E4758" s="18"/>
    </row>
    <row r="4759" spans="2:5" x14ac:dyDescent="0.4">
      <c r="B4759" s="17"/>
      <c r="C4759" s="15"/>
      <c r="D4759" s="15"/>
      <c r="E4759" s="18"/>
    </row>
    <row r="4760" spans="2:5" x14ac:dyDescent="0.4">
      <c r="B4760" s="17"/>
      <c r="C4760" s="15"/>
      <c r="D4760" s="15"/>
      <c r="E4760" s="18"/>
    </row>
    <row r="4761" spans="2:5" x14ac:dyDescent="0.4">
      <c r="B4761" s="17"/>
      <c r="C4761" s="15"/>
      <c r="D4761" s="15"/>
      <c r="E4761" s="18"/>
    </row>
    <row r="4762" spans="2:5" x14ac:dyDescent="0.4">
      <c r="B4762" s="17"/>
      <c r="C4762" s="15"/>
      <c r="D4762" s="15"/>
      <c r="E4762" s="18"/>
    </row>
    <row r="4763" spans="2:5" x14ac:dyDescent="0.4">
      <c r="B4763" s="17"/>
      <c r="C4763" s="15"/>
      <c r="D4763" s="15"/>
      <c r="E4763" s="18"/>
    </row>
    <row r="4764" spans="2:5" x14ac:dyDescent="0.4">
      <c r="B4764" s="17"/>
      <c r="C4764" s="15"/>
      <c r="D4764" s="15"/>
      <c r="E4764" s="18"/>
    </row>
    <row r="4765" spans="2:5" x14ac:dyDescent="0.4">
      <c r="B4765" s="17"/>
      <c r="C4765" s="15"/>
      <c r="D4765" s="15"/>
      <c r="E4765" s="18"/>
    </row>
    <row r="4766" spans="2:5" x14ac:dyDescent="0.4">
      <c r="B4766" s="17"/>
      <c r="C4766" s="15"/>
      <c r="D4766" s="15"/>
      <c r="E4766" s="18"/>
    </row>
    <row r="4767" spans="2:5" x14ac:dyDescent="0.4">
      <c r="B4767" s="17"/>
      <c r="C4767" s="15"/>
      <c r="D4767" s="15"/>
      <c r="E4767" s="18"/>
    </row>
    <row r="4768" spans="2:5" x14ac:dyDescent="0.4">
      <c r="B4768" s="17"/>
      <c r="C4768" s="15"/>
      <c r="D4768" s="15"/>
      <c r="E4768" s="18"/>
    </row>
    <row r="4769" spans="2:5" x14ac:dyDescent="0.4">
      <c r="B4769" s="17"/>
      <c r="C4769" s="15"/>
      <c r="D4769" s="15"/>
      <c r="E4769" s="18"/>
    </row>
    <row r="4770" spans="2:5" x14ac:dyDescent="0.4">
      <c r="B4770" s="17"/>
      <c r="C4770" s="15"/>
      <c r="D4770" s="15"/>
      <c r="E4770" s="18"/>
    </row>
    <row r="4771" spans="2:5" x14ac:dyDescent="0.4">
      <c r="B4771" s="17"/>
      <c r="C4771" s="15"/>
      <c r="D4771" s="15"/>
      <c r="E4771" s="18"/>
    </row>
    <row r="4772" spans="2:5" x14ac:dyDescent="0.4">
      <c r="B4772" s="17"/>
      <c r="C4772" s="15"/>
      <c r="D4772" s="15"/>
      <c r="E4772" s="18"/>
    </row>
    <row r="4773" spans="2:5" x14ac:dyDescent="0.4">
      <c r="B4773" s="17"/>
      <c r="C4773" s="15"/>
      <c r="D4773" s="15"/>
      <c r="E4773" s="18"/>
    </row>
    <row r="4774" spans="2:5" x14ac:dyDescent="0.4">
      <c r="B4774" s="17"/>
      <c r="C4774" s="15"/>
      <c r="D4774" s="15"/>
      <c r="E4774" s="18"/>
    </row>
    <row r="4775" spans="2:5" x14ac:dyDescent="0.4">
      <c r="B4775" s="17"/>
      <c r="C4775" s="15"/>
      <c r="D4775" s="15"/>
      <c r="E4775" s="18"/>
    </row>
    <row r="4776" spans="2:5" x14ac:dyDescent="0.4">
      <c r="B4776" s="17"/>
      <c r="C4776" s="15"/>
      <c r="D4776" s="15"/>
      <c r="E4776" s="18"/>
    </row>
    <row r="4777" spans="2:5" x14ac:dyDescent="0.4">
      <c r="B4777" s="17"/>
      <c r="C4777" s="15"/>
      <c r="D4777" s="15"/>
      <c r="E4777" s="18"/>
    </row>
    <row r="4778" spans="2:5" x14ac:dyDescent="0.4">
      <c r="B4778" s="17"/>
      <c r="C4778" s="15"/>
      <c r="D4778" s="15"/>
      <c r="E4778" s="18"/>
    </row>
    <row r="4779" spans="2:5" x14ac:dyDescent="0.4">
      <c r="B4779" s="17"/>
      <c r="C4779" s="15"/>
      <c r="D4779" s="15"/>
      <c r="E4779" s="18"/>
    </row>
    <row r="4780" spans="2:5" x14ac:dyDescent="0.4">
      <c r="B4780" s="17"/>
      <c r="C4780" s="15"/>
      <c r="D4780" s="15"/>
      <c r="E4780" s="18"/>
    </row>
    <row r="4781" spans="2:5" x14ac:dyDescent="0.4">
      <c r="B4781" s="17"/>
      <c r="C4781" s="15"/>
      <c r="D4781" s="15"/>
      <c r="E4781" s="18"/>
    </row>
    <row r="4782" spans="2:5" x14ac:dyDescent="0.4">
      <c r="B4782" s="17"/>
      <c r="C4782" s="15"/>
      <c r="D4782" s="15"/>
      <c r="E4782" s="18"/>
    </row>
    <row r="4783" spans="2:5" x14ac:dyDescent="0.4">
      <c r="B4783" s="17"/>
      <c r="C4783" s="15"/>
      <c r="D4783" s="15"/>
      <c r="E4783" s="18"/>
    </row>
    <row r="4784" spans="2:5" x14ac:dyDescent="0.4">
      <c r="B4784" s="17"/>
      <c r="C4784" s="15"/>
      <c r="D4784" s="15"/>
      <c r="E4784" s="18"/>
    </row>
    <row r="4785" spans="2:5" x14ac:dyDescent="0.4">
      <c r="B4785" s="17"/>
      <c r="C4785" s="15"/>
      <c r="D4785" s="15"/>
      <c r="E4785" s="18"/>
    </row>
    <row r="4786" spans="2:5" x14ac:dyDescent="0.4">
      <c r="B4786" s="17"/>
      <c r="C4786" s="15"/>
      <c r="D4786" s="15"/>
      <c r="E4786" s="18"/>
    </row>
    <row r="4787" spans="2:5" x14ac:dyDescent="0.4">
      <c r="B4787" s="17"/>
      <c r="C4787" s="15"/>
      <c r="D4787" s="15"/>
      <c r="E4787" s="18"/>
    </row>
    <row r="4788" spans="2:5" x14ac:dyDescent="0.4">
      <c r="B4788" s="17"/>
      <c r="C4788" s="15"/>
      <c r="D4788" s="15"/>
      <c r="E4788" s="18"/>
    </row>
    <row r="4789" spans="2:5" x14ac:dyDescent="0.4">
      <c r="B4789" s="17"/>
      <c r="C4789" s="15"/>
      <c r="D4789" s="15"/>
      <c r="E4789" s="18"/>
    </row>
    <row r="4790" spans="2:5" x14ac:dyDescent="0.4">
      <c r="B4790" s="17"/>
      <c r="C4790" s="15"/>
      <c r="D4790" s="15"/>
      <c r="E4790" s="18"/>
    </row>
    <row r="4791" spans="2:5" x14ac:dyDescent="0.4">
      <c r="B4791" s="17"/>
      <c r="C4791" s="15"/>
      <c r="D4791" s="15"/>
      <c r="E4791" s="18"/>
    </row>
    <row r="4792" spans="2:5" x14ac:dyDescent="0.4">
      <c r="B4792" s="17"/>
      <c r="C4792" s="15"/>
      <c r="D4792" s="15"/>
      <c r="E4792" s="18"/>
    </row>
    <row r="4793" spans="2:5" x14ac:dyDescent="0.4">
      <c r="B4793" s="17"/>
      <c r="C4793" s="15"/>
      <c r="D4793" s="15"/>
      <c r="E4793" s="18"/>
    </row>
    <row r="4794" spans="2:5" x14ac:dyDescent="0.4">
      <c r="B4794" s="17"/>
      <c r="C4794" s="15"/>
      <c r="D4794" s="15"/>
      <c r="E4794" s="18"/>
    </row>
    <row r="4795" spans="2:5" x14ac:dyDescent="0.4">
      <c r="B4795" s="17"/>
      <c r="C4795" s="15"/>
      <c r="D4795" s="15"/>
      <c r="E4795" s="18"/>
    </row>
    <row r="4796" spans="2:5" x14ac:dyDescent="0.4">
      <c r="B4796" s="17"/>
      <c r="C4796" s="15"/>
      <c r="D4796" s="15"/>
      <c r="E4796" s="18"/>
    </row>
    <row r="4797" spans="2:5" x14ac:dyDescent="0.4">
      <c r="B4797" s="17"/>
      <c r="C4797" s="15"/>
      <c r="D4797" s="15"/>
      <c r="E4797" s="18"/>
    </row>
    <row r="4798" spans="2:5" x14ac:dyDescent="0.4">
      <c r="B4798" s="17"/>
      <c r="C4798" s="15"/>
      <c r="D4798" s="15"/>
      <c r="E4798" s="18"/>
    </row>
    <row r="4799" spans="2:5" x14ac:dyDescent="0.4">
      <c r="B4799" s="17"/>
      <c r="C4799" s="15"/>
      <c r="D4799" s="15"/>
      <c r="E4799" s="18"/>
    </row>
    <row r="4800" spans="2:5" x14ac:dyDescent="0.4">
      <c r="B4800" s="17"/>
      <c r="C4800" s="15"/>
      <c r="D4800" s="15"/>
      <c r="E4800" s="18"/>
    </row>
    <row r="4801" spans="2:5" x14ac:dyDescent="0.4">
      <c r="B4801" s="17"/>
      <c r="C4801" s="15"/>
      <c r="D4801" s="15"/>
      <c r="E4801" s="18"/>
    </row>
    <row r="4802" spans="2:5" x14ac:dyDescent="0.4">
      <c r="B4802" s="17"/>
      <c r="C4802" s="15"/>
      <c r="D4802" s="15"/>
      <c r="E4802" s="18"/>
    </row>
    <row r="4803" spans="2:5" x14ac:dyDescent="0.4">
      <c r="B4803" s="17"/>
      <c r="C4803" s="15"/>
      <c r="D4803" s="15"/>
      <c r="E4803" s="18"/>
    </row>
    <row r="4804" spans="2:5" x14ac:dyDescent="0.4">
      <c r="B4804" s="17"/>
      <c r="C4804" s="15"/>
      <c r="D4804" s="15"/>
      <c r="E4804" s="18"/>
    </row>
    <row r="4805" spans="2:5" x14ac:dyDescent="0.4">
      <c r="B4805" s="17"/>
      <c r="C4805" s="15"/>
      <c r="D4805" s="15"/>
      <c r="E4805" s="18"/>
    </row>
    <row r="4806" spans="2:5" x14ac:dyDescent="0.4">
      <c r="B4806" s="17"/>
      <c r="C4806" s="15"/>
      <c r="D4806" s="15"/>
      <c r="E4806" s="18"/>
    </row>
    <row r="4807" spans="2:5" x14ac:dyDescent="0.4">
      <c r="B4807" s="17"/>
      <c r="C4807" s="15"/>
      <c r="D4807" s="15"/>
      <c r="E4807" s="18"/>
    </row>
    <row r="4808" spans="2:5" x14ac:dyDescent="0.4">
      <c r="B4808" s="17"/>
      <c r="C4808" s="15"/>
      <c r="D4808" s="15"/>
      <c r="E4808" s="18"/>
    </row>
    <row r="4809" spans="2:5" x14ac:dyDescent="0.4">
      <c r="B4809" s="17"/>
      <c r="C4809" s="15"/>
      <c r="D4809" s="15"/>
      <c r="E4809" s="18"/>
    </row>
    <row r="4810" spans="2:5" x14ac:dyDescent="0.4">
      <c r="B4810" s="17"/>
      <c r="C4810" s="15"/>
      <c r="D4810" s="15"/>
      <c r="E4810" s="18"/>
    </row>
    <row r="4811" spans="2:5" x14ac:dyDescent="0.4">
      <c r="B4811" s="17"/>
      <c r="C4811" s="15"/>
      <c r="D4811" s="15"/>
      <c r="E4811" s="18"/>
    </row>
    <row r="4812" spans="2:5" x14ac:dyDescent="0.4">
      <c r="B4812" s="17"/>
      <c r="C4812" s="15"/>
      <c r="D4812" s="15"/>
      <c r="E4812" s="18"/>
    </row>
    <row r="4813" spans="2:5" x14ac:dyDescent="0.4">
      <c r="B4813" s="17"/>
      <c r="C4813" s="15"/>
      <c r="D4813" s="15"/>
      <c r="E4813" s="18"/>
    </row>
    <row r="4814" spans="2:5" x14ac:dyDescent="0.4">
      <c r="B4814" s="17"/>
      <c r="C4814" s="15"/>
      <c r="D4814" s="15"/>
      <c r="E4814" s="18"/>
    </row>
    <row r="4815" spans="2:5" x14ac:dyDescent="0.4">
      <c r="B4815" s="17"/>
      <c r="C4815" s="15"/>
      <c r="D4815" s="15"/>
      <c r="E4815" s="18"/>
    </row>
    <row r="4816" spans="2:5" x14ac:dyDescent="0.4">
      <c r="B4816" s="17"/>
      <c r="C4816" s="15"/>
      <c r="D4816" s="15"/>
      <c r="E4816" s="18"/>
    </row>
    <row r="4817" spans="2:5" x14ac:dyDescent="0.4">
      <c r="B4817" s="17"/>
      <c r="C4817" s="15"/>
      <c r="D4817" s="15"/>
      <c r="E4817" s="18"/>
    </row>
    <row r="4818" spans="2:5" x14ac:dyDescent="0.4">
      <c r="B4818" s="17"/>
      <c r="C4818" s="15"/>
      <c r="D4818" s="15"/>
      <c r="E4818" s="18"/>
    </row>
    <row r="4819" spans="2:5" x14ac:dyDescent="0.4">
      <c r="B4819" s="17"/>
      <c r="C4819" s="15"/>
      <c r="D4819" s="15"/>
      <c r="E4819" s="18"/>
    </row>
    <row r="4820" spans="2:5" x14ac:dyDescent="0.4">
      <c r="B4820" s="17"/>
      <c r="C4820" s="15"/>
      <c r="D4820" s="15"/>
      <c r="E4820" s="18"/>
    </row>
    <row r="4821" spans="2:5" x14ac:dyDescent="0.4">
      <c r="B4821" s="17"/>
      <c r="C4821" s="15"/>
      <c r="D4821" s="15"/>
      <c r="E4821" s="18"/>
    </row>
    <row r="4822" spans="2:5" x14ac:dyDescent="0.4">
      <c r="B4822" s="17"/>
      <c r="C4822" s="15"/>
      <c r="D4822" s="15"/>
      <c r="E4822" s="18"/>
    </row>
    <row r="4823" spans="2:5" x14ac:dyDescent="0.4">
      <c r="B4823" s="17"/>
      <c r="C4823" s="15"/>
      <c r="D4823" s="15"/>
      <c r="E4823" s="18"/>
    </row>
    <row r="4824" spans="2:5" x14ac:dyDescent="0.4">
      <c r="B4824" s="17"/>
      <c r="C4824" s="15"/>
      <c r="D4824" s="15"/>
      <c r="E4824" s="18"/>
    </row>
    <row r="4825" spans="2:5" x14ac:dyDescent="0.4">
      <c r="B4825" s="17"/>
      <c r="C4825" s="15"/>
      <c r="D4825" s="15"/>
      <c r="E4825" s="18"/>
    </row>
    <row r="4826" spans="2:5" x14ac:dyDescent="0.4">
      <c r="B4826" s="17"/>
      <c r="C4826" s="15"/>
      <c r="D4826" s="15"/>
      <c r="E4826" s="18"/>
    </row>
    <row r="4827" spans="2:5" x14ac:dyDescent="0.4">
      <c r="B4827" s="17"/>
      <c r="C4827" s="15"/>
      <c r="D4827" s="15"/>
      <c r="E4827" s="18"/>
    </row>
    <row r="4828" spans="2:5" x14ac:dyDescent="0.4">
      <c r="B4828" s="17"/>
      <c r="C4828" s="15"/>
      <c r="D4828" s="15"/>
      <c r="E4828" s="18"/>
    </row>
    <row r="4829" spans="2:5" x14ac:dyDescent="0.4">
      <c r="B4829" s="17"/>
      <c r="C4829" s="15"/>
      <c r="D4829" s="15"/>
      <c r="E4829" s="18"/>
    </row>
    <row r="4830" spans="2:5" x14ac:dyDescent="0.4">
      <c r="B4830" s="17"/>
      <c r="C4830" s="15"/>
      <c r="D4830" s="15"/>
      <c r="E4830" s="18"/>
    </row>
    <row r="4831" spans="2:5" x14ac:dyDescent="0.4">
      <c r="B4831" s="17"/>
      <c r="C4831" s="15"/>
      <c r="D4831" s="15"/>
      <c r="E4831" s="18"/>
    </row>
    <row r="4832" spans="2:5" x14ac:dyDescent="0.4">
      <c r="B4832" s="17"/>
      <c r="C4832" s="15"/>
      <c r="D4832" s="15"/>
      <c r="E4832" s="18"/>
    </row>
    <row r="4833" spans="2:5" x14ac:dyDescent="0.4">
      <c r="B4833" s="17"/>
      <c r="C4833" s="15"/>
      <c r="D4833" s="15"/>
      <c r="E4833" s="18"/>
    </row>
    <row r="4834" spans="2:5" x14ac:dyDescent="0.4">
      <c r="B4834" s="17"/>
      <c r="C4834" s="15"/>
      <c r="D4834" s="15"/>
      <c r="E4834" s="18"/>
    </row>
    <row r="4835" spans="2:5" x14ac:dyDescent="0.4">
      <c r="B4835" s="17"/>
      <c r="C4835" s="15"/>
      <c r="D4835" s="15"/>
      <c r="E4835" s="18"/>
    </row>
    <row r="4836" spans="2:5" x14ac:dyDescent="0.4">
      <c r="B4836" s="17"/>
      <c r="C4836" s="15"/>
      <c r="D4836" s="15"/>
      <c r="E4836" s="18"/>
    </row>
    <row r="4837" spans="2:5" x14ac:dyDescent="0.4">
      <c r="B4837" s="17"/>
      <c r="C4837" s="15"/>
      <c r="D4837" s="15"/>
      <c r="E4837" s="18"/>
    </row>
    <row r="4838" spans="2:5" x14ac:dyDescent="0.4">
      <c r="B4838" s="17"/>
      <c r="C4838" s="15"/>
      <c r="D4838" s="15"/>
      <c r="E4838" s="18"/>
    </row>
    <row r="4839" spans="2:5" x14ac:dyDescent="0.4">
      <c r="B4839" s="17"/>
      <c r="C4839" s="15"/>
      <c r="D4839" s="15"/>
      <c r="E4839" s="18"/>
    </row>
    <row r="4840" spans="2:5" x14ac:dyDescent="0.4">
      <c r="B4840" s="17"/>
      <c r="C4840" s="15"/>
      <c r="D4840" s="15"/>
      <c r="E4840" s="18"/>
    </row>
    <row r="4841" spans="2:5" x14ac:dyDescent="0.4">
      <c r="B4841" s="17"/>
      <c r="C4841" s="15"/>
      <c r="D4841" s="15"/>
      <c r="E4841" s="18"/>
    </row>
    <row r="4842" spans="2:5" x14ac:dyDescent="0.4">
      <c r="B4842" s="17"/>
      <c r="C4842" s="15"/>
      <c r="D4842" s="15"/>
      <c r="E4842" s="18"/>
    </row>
    <row r="4843" spans="2:5" x14ac:dyDescent="0.4">
      <c r="B4843" s="17"/>
      <c r="C4843" s="15"/>
      <c r="D4843" s="15"/>
      <c r="E4843" s="18"/>
    </row>
    <row r="4844" spans="2:5" x14ac:dyDescent="0.4">
      <c r="B4844" s="17"/>
      <c r="C4844" s="15"/>
      <c r="D4844" s="15"/>
      <c r="E4844" s="18"/>
    </row>
    <row r="4845" spans="2:5" x14ac:dyDescent="0.4">
      <c r="B4845" s="17"/>
      <c r="C4845" s="15"/>
      <c r="D4845" s="15"/>
      <c r="E4845" s="18"/>
    </row>
    <row r="4846" spans="2:5" x14ac:dyDescent="0.4">
      <c r="B4846" s="17"/>
      <c r="C4846" s="15"/>
      <c r="D4846" s="15"/>
      <c r="E4846" s="18"/>
    </row>
    <row r="4847" spans="2:5" x14ac:dyDescent="0.4">
      <c r="B4847" s="17"/>
      <c r="C4847" s="15"/>
      <c r="D4847" s="15"/>
      <c r="E4847" s="18"/>
    </row>
    <row r="4848" spans="2:5" x14ac:dyDescent="0.4">
      <c r="B4848" s="17"/>
      <c r="C4848" s="15"/>
      <c r="D4848" s="15"/>
      <c r="E4848" s="18"/>
    </row>
    <row r="4849" spans="2:5" x14ac:dyDescent="0.4">
      <c r="B4849" s="17"/>
      <c r="C4849" s="15"/>
      <c r="D4849" s="15"/>
      <c r="E4849" s="18"/>
    </row>
    <row r="4850" spans="2:5" x14ac:dyDescent="0.4">
      <c r="B4850" s="17"/>
      <c r="C4850" s="15"/>
      <c r="D4850" s="15"/>
      <c r="E4850" s="18"/>
    </row>
    <row r="4851" spans="2:5" x14ac:dyDescent="0.4">
      <c r="B4851" s="17"/>
      <c r="C4851" s="15"/>
      <c r="D4851" s="15"/>
      <c r="E4851" s="18"/>
    </row>
    <row r="4852" spans="2:5" x14ac:dyDescent="0.4">
      <c r="B4852" s="17"/>
      <c r="C4852" s="15"/>
      <c r="D4852" s="15"/>
      <c r="E4852" s="18"/>
    </row>
    <row r="4853" spans="2:5" x14ac:dyDescent="0.4">
      <c r="B4853" s="17"/>
      <c r="C4853" s="15"/>
      <c r="D4853" s="15"/>
      <c r="E4853" s="18"/>
    </row>
    <row r="4854" spans="2:5" x14ac:dyDescent="0.4">
      <c r="B4854" s="17"/>
      <c r="C4854" s="15"/>
      <c r="D4854" s="15"/>
      <c r="E4854" s="18"/>
    </row>
    <row r="4855" spans="2:5" x14ac:dyDescent="0.4">
      <c r="B4855" s="17"/>
      <c r="C4855" s="15"/>
      <c r="D4855" s="15"/>
      <c r="E4855" s="18"/>
    </row>
    <row r="4856" spans="2:5" x14ac:dyDescent="0.4">
      <c r="B4856" s="17"/>
      <c r="C4856" s="15"/>
      <c r="D4856" s="15"/>
      <c r="E4856" s="18"/>
    </row>
    <row r="4857" spans="2:5" x14ac:dyDescent="0.4">
      <c r="B4857" s="17"/>
      <c r="C4857" s="15"/>
      <c r="D4857" s="15"/>
      <c r="E4857" s="18"/>
    </row>
    <row r="4858" spans="2:5" x14ac:dyDescent="0.4">
      <c r="B4858" s="17"/>
      <c r="C4858" s="15"/>
      <c r="D4858" s="15"/>
      <c r="E4858" s="18"/>
    </row>
    <row r="4859" spans="2:5" x14ac:dyDescent="0.4">
      <c r="B4859" s="17"/>
      <c r="C4859" s="15"/>
      <c r="D4859" s="15"/>
      <c r="E4859" s="18"/>
    </row>
    <row r="4860" spans="2:5" x14ac:dyDescent="0.4">
      <c r="B4860" s="17"/>
      <c r="C4860" s="15"/>
      <c r="D4860" s="15"/>
      <c r="E4860" s="18"/>
    </row>
    <row r="4861" spans="2:5" x14ac:dyDescent="0.4">
      <c r="B4861" s="17"/>
      <c r="C4861" s="15"/>
      <c r="D4861" s="15"/>
      <c r="E4861" s="18"/>
    </row>
    <row r="4862" spans="2:5" x14ac:dyDescent="0.4">
      <c r="B4862" s="17"/>
      <c r="C4862" s="15"/>
      <c r="D4862" s="15"/>
      <c r="E4862" s="18"/>
    </row>
    <row r="4863" spans="2:5" x14ac:dyDescent="0.4">
      <c r="B4863" s="17"/>
      <c r="C4863" s="15"/>
      <c r="D4863" s="15"/>
      <c r="E4863" s="18"/>
    </row>
    <row r="4864" spans="2:5" x14ac:dyDescent="0.4">
      <c r="B4864" s="17"/>
      <c r="C4864" s="15"/>
      <c r="D4864" s="15"/>
      <c r="E4864" s="18"/>
    </row>
    <row r="4865" spans="2:5" x14ac:dyDescent="0.4">
      <c r="B4865" s="17"/>
      <c r="C4865" s="15"/>
      <c r="D4865" s="15"/>
      <c r="E4865" s="18"/>
    </row>
    <row r="4866" spans="2:5" x14ac:dyDescent="0.4">
      <c r="B4866" s="17"/>
      <c r="C4866" s="15"/>
      <c r="D4866" s="15"/>
      <c r="E4866" s="18"/>
    </row>
    <row r="4867" spans="2:5" x14ac:dyDescent="0.4">
      <c r="B4867" s="17"/>
      <c r="C4867" s="15"/>
      <c r="D4867" s="15"/>
      <c r="E4867" s="18"/>
    </row>
    <row r="4868" spans="2:5" x14ac:dyDescent="0.4">
      <c r="B4868" s="17"/>
      <c r="C4868" s="15"/>
      <c r="D4868" s="15"/>
      <c r="E4868" s="18"/>
    </row>
    <row r="4869" spans="2:5" x14ac:dyDescent="0.4">
      <c r="B4869" s="17"/>
      <c r="C4869" s="15"/>
      <c r="D4869" s="15"/>
      <c r="E4869" s="18"/>
    </row>
    <row r="4870" spans="2:5" x14ac:dyDescent="0.4">
      <c r="B4870" s="17"/>
      <c r="C4870" s="15"/>
      <c r="D4870" s="15"/>
      <c r="E4870" s="18"/>
    </row>
    <row r="4871" spans="2:5" x14ac:dyDescent="0.4">
      <c r="B4871" s="17"/>
      <c r="C4871" s="15"/>
      <c r="D4871" s="15"/>
      <c r="E4871" s="18"/>
    </row>
    <row r="4872" spans="2:5" x14ac:dyDescent="0.4">
      <c r="B4872" s="17"/>
      <c r="C4872" s="15"/>
      <c r="D4872" s="15"/>
      <c r="E4872" s="18"/>
    </row>
    <row r="4873" spans="2:5" x14ac:dyDescent="0.4">
      <c r="B4873" s="17"/>
      <c r="C4873" s="15"/>
      <c r="D4873" s="15"/>
      <c r="E4873" s="18"/>
    </row>
    <row r="4874" spans="2:5" x14ac:dyDescent="0.4">
      <c r="B4874" s="17"/>
      <c r="C4874" s="15"/>
      <c r="D4874" s="15"/>
      <c r="E4874" s="18"/>
    </row>
    <row r="4875" spans="2:5" x14ac:dyDescent="0.4">
      <c r="B4875" s="17"/>
      <c r="C4875" s="15"/>
      <c r="D4875" s="15"/>
      <c r="E4875" s="18"/>
    </row>
    <row r="4876" spans="2:5" x14ac:dyDescent="0.4">
      <c r="B4876" s="17"/>
      <c r="C4876" s="15"/>
      <c r="D4876" s="15"/>
      <c r="E4876" s="18"/>
    </row>
    <row r="4877" spans="2:5" x14ac:dyDescent="0.4">
      <c r="B4877" s="17"/>
      <c r="C4877" s="15"/>
      <c r="D4877" s="15"/>
      <c r="E4877" s="18"/>
    </row>
    <row r="4878" spans="2:5" x14ac:dyDescent="0.4">
      <c r="B4878" s="17"/>
      <c r="C4878" s="15"/>
      <c r="D4878" s="15"/>
      <c r="E4878" s="18"/>
    </row>
    <row r="4879" spans="2:5" x14ac:dyDescent="0.4">
      <c r="B4879" s="17"/>
      <c r="C4879" s="15"/>
      <c r="D4879" s="15"/>
      <c r="E4879" s="18"/>
    </row>
    <row r="4880" spans="2:5" x14ac:dyDescent="0.4">
      <c r="B4880" s="17"/>
      <c r="C4880" s="15"/>
      <c r="D4880" s="15"/>
      <c r="E4880" s="18"/>
    </row>
    <row r="4881" spans="2:5" x14ac:dyDescent="0.4">
      <c r="B4881" s="17"/>
      <c r="C4881" s="15"/>
      <c r="D4881" s="15"/>
      <c r="E4881" s="18"/>
    </row>
    <row r="4882" spans="2:5" x14ac:dyDescent="0.4">
      <c r="B4882" s="17"/>
      <c r="C4882" s="15"/>
      <c r="D4882" s="15"/>
      <c r="E4882" s="18"/>
    </row>
    <row r="4883" spans="2:5" x14ac:dyDescent="0.4">
      <c r="B4883" s="17"/>
      <c r="C4883" s="15"/>
      <c r="D4883" s="15"/>
      <c r="E4883" s="18"/>
    </row>
    <row r="4884" spans="2:5" x14ac:dyDescent="0.4">
      <c r="B4884" s="17"/>
      <c r="C4884" s="15"/>
      <c r="D4884" s="15"/>
      <c r="E4884" s="18"/>
    </row>
    <row r="4885" spans="2:5" x14ac:dyDescent="0.4">
      <c r="B4885" s="17"/>
      <c r="C4885" s="15"/>
      <c r="D4885" s="15"/>
      <c r="E4885" s="18"/>
    </row>
    <row r="4886" spans="2:5" x14ac:dyDescent="0.4">
      <c r="B4886" s="17"/>
      <c r="C4886" s="15"/>
      <c r="D4886" s="15"/>
      <c r="E4886" s="18"/>
    </row>
    <row r="4887" spans="2:5" x14ac:dyDescent="0.4">
      <c r="B4887" s="17"/>
      <c r="C4887" s="15"/>
      <c r="D4887" s="15"/>
      <c r="E4887" s="18"/>
    </row>
    <row r="4888" spans="2:5" x14ac:dyDescent="0.4">
      <c r="B4888" s="17"/>
      <c r="C4888" s="15"/>
      <c r="D4888" s="15"/>
      <c r="E4888" s="18"/>
    </row>
    <row r="4889" spans="2:5" x14ac:dyDescent="0.4">
      <c r="B4889" s="17"/>
      <c r="C4889" s="15"/>
      <c r="D4889" s="15"/>
      <c r="E4889" s="18"/>
    </row>
    <row r="4890" spans="2:5" x14ac:dyDescent="0.4">
      <c r="B4890" s="17"/>
      <c r="C4890" s="15"/>
      <c r="D4890" s="15"/>
      <c r="E4890" s="18"/>
    </row>
    <row r="4891" spans="2:5" x14ac:dyDescent="0.4">
      <c r="B4891" s="17"/>
      <c r="C4891" s="15"/>
      <c r="D4891" s="15"/>
      <c r="E4891" s="18"/>
    </row>
    <row r="4892" spans="2:5" x14ac:dyDescent="0.4">
      <c r="B4892" s="17"/>
      <c r="C4892" s="15"/>
      <c r="D4892" s="15"/>
      <c r="E4892" s="18"/>
    </row>
    <row r="4893" spans="2:5" x14ac:dyDescent="0.4">
      <c r="B4893" s="17"/>
      <c r="C4893" s="15"/>
      <c r="D4893" s="15"/>
      <c r="E4893" s="18"/>
    </row>
    <row r="4894" spans="2:5" x14ac:dyDescent="0.4">
      <c r="B4894" s="17"/>
      <c r="C4894" s="15"/>
      <c r="D4894" s="15"/>
      <c r="E4894" s="18"/>
    </row>
    <row r="4895" spans="2:5" x14ac:dyDescent="0.4">
      <c r="B4895" s="17"/>
      <c r="C4895" s="15"/>
      <c r="D4895" s="15"/>
      <c r="E4895" s="18"/>
    </row>
    <row r="4896" spans="2:5" x14ac:dyDescent="0.4">
      <c r="B4896" s="17"/>
      <c r="C4896" s="15"/>
      <c r="D4896" s="15"/>
      <c r="E4896" s="18"/>
    </row>
    <row r="4897" spans="2:5" x14ac:dyDescent="0.4">
      <c r="B4897" s="17"/>
      <c r="C4897" s="15"/>
      <c r="D4897" s="15"/>
      <c r="E4897" s="18"/>
    </row>
    <row r="4898" spans="2:5" x14ac:dyDescent="0.4">
      <c r="B4898" s="17"/>
      <c r="C4898" s="15"/>
      <c r="D4898" s="15"/>
      <c r="E4898" s="18"/>
    </row>
    <row r="4899" spans="2:5" x14ac:dyDescent="0.4">
      <c r="B4899" s="17"/>
      <c r="C4899" s="15"/>
      <c r="D4899" s="15"/>
      <c r="E4899" s="18"/>
    </row>
    <row r="4900" spans="2:5" x14ac:dyDescent="0.4">
      <c r="B4900" s="17"/>
      <c r="C4900" s="15"/>
      <c r="D4900" s="15"/>
      <c r="E4900" s="18"/>
    </row>
    <row r="4901" spans="2:5" x14ac:dyDescent="0.4">
      <c r="B4901" s="17"/>
      <c r="C4901" s="15"/>
      <c r="D4901" s="15"/>
      <c r="E4901" s="18"/>
    </row>
    <row r="4902" spans="2:5" x14ac:dyDescent="0.4">
      <c r="B4902" s="17"/>
      <c r="C4902" s="15"/>
      <c r="D4902" s="15"/>
      <c r="E4902" s="18"/>
    </row>
    <row r="4903" spans="2:5" x14ac:dyDescent="0.4">
      <c r="B4903" s="17"/>
      <c r="C4903" s="15"/>
      <c r="D4903" s="15"/>
      <c r="E4903" s="18"/>
    </row>
    <row r="4904" spans="2:5" x14ac:dyDescent="0.4">
      <c r="B4904" s="17"/>
      <c r="C4904" s="15"/>
      <c r="D4904" s="15"/>
      <c r="E4904" s="18"/>
    </row>
    <row r="4905" spans="2:5" x14ac:dyDescent="0.4">
      <c r="B4905" s="17"/>
      <c r="C4905" s="15"/>
      <c r="D4905" s="15"/>
      <c r="E4905" s="18"/>
    </row>
    <row r="4906" spans="2:5" x14ac:dyDescent="0.4">
      <c r="B4906" s="17"/>
      <c r="C4906" s="15"/>
      <c r="D4906" s="15"/>
      <c r="E4906" s="18"/>
    </row>
    <row r="4907" spans="2:5" x14ac:dyDescent="0.4">
      <c r="B4907" s="17"/>
      <c r="C4907" s="15"/>
      <c r="D4907" s="15"/>
      <c r="E4907" s="18"/>
    </row>
    <row r="4908" spans="2:5" x14ac:dyDescent="0.4">
      <c r="B4908" s="17"/>
      <c r="C4908" s="15"/>
      <c r="D4908" s="15"/>
      <c r="E4908" s="18"/>
    </row>
    <row r="4909" spans="2:5" x14ac:dyDescent="0.4">
      <c r="B4909" s="17"/>
      <c r="C4909" s="15"/>
      <c r="D4909" s="15"/>
      <c r="E4909" s="18"/>
    </row>
    <row r="4910" spans="2:5" x14ac:dyDescent="0.4">
      <c r="B4910" s="17"/>
      <c r="C4910" s="15"/>
      <c r="D4910" s="15"/>
      <c r="E4910" s="18"/>
    </row>
    <row r="4911" spans="2:5" x14ac:dyDescent="0.4">
      <c r="B4911" s="17"/>
      <c r="C4911" s="15"/>
      <c r="D4911" s="15"/>
      <c r="E4911" s="18"/>
    </row>
    <row r="4912" spans="2:5" x14ac:dyDescent="0.4">
      <c r="B4912" s="17"/>
      <c r="C4912" s="15"/>
      <c r="D4912" s="15"/>
      <c r="E4912" s="18"/>
    </row>
    <row r="4913" spans="2:5" x14ac:dyDescent="0.4">
      <c r="B4913" s="17"/>
      <c r="C4913" s="15"/>
      <c r="D4913" s="15"/>
      <c r="E4913" s="18"/>
    </row>
    <row r="4914" spans="2:5" x14ac:dyDescent="0.4">
      <c r="B4914" s="17"/>
      <c r="C4914" s="15"/>
      <c r="D4914" s="15"/>
      <c r="E4914" s="18"/>
    </row>
    <row r="4915" spans="2:5" x14ac:dyDescent="0.4">
      <c r="B4915" s="17"/>
      <c r="C4915" s="15"/>
      <c r="D4915" s="15"/>
      <c r="E4915" s="18"/>
    </row>
    <row r="4916" spans="2:5" x14ac:dyDescent="0.4">
      <c r="B4916" s="17"/>
      <c r="C4916" s="15"/>
      <c r="D4916" s="15"/>
      <c r="E4916" s="18"/>
    </row>
    <row r="4917" spans="2:5" x14ac:dyDescent="0.4">
      <c r="B4917" s="17"/>
      <c r="C4917" s="15"/>
      <c r="D4917" s="15"/>
      <c r="E4917" s="18"/>
    </row>
    <row r="4918" spans="2:5" x14ac:dyDescent="0.4">
      <c r="B4918" s="17"/>
      <c r="C4918" s="15"/>
      <c r="D4918" s="15"/>
      <c r="E4918" s="18"/>
    </row>
    <row r="4919" spans="2:5" x14ac:dyDescent="0.4">
      <c r="B4919" s="17"/>
      <c r="C4919" s="15"/>
      <c r="D4919" s="15"/>
      <c r="E4919" s="18"/>
    </row>
    <row r="4920" spans="2:5" x14ac:dyDescent="0.4">
      <c r="B4920" s="17"/>
      <c r="C4920" s="15"/>
      <c r="D4920" s="15"/>
      <c r="E4920" s="18"/>
    </row>
    <row r="4921" spans="2:5" x14ac:dyDescent="0.4">
      <c r="B4921" s="17"/>
      <c r="C4921" s="15"/>
      <c r="D4921" s="15"/>
      <c r="E4921" s="18"/>
    </row>
    <row r="4922" spans="2:5" x14ac:dyDescent="0.4">
      <c r="B4922" s="17"/>
      <c r="C4922" s="15"/>
      <c r="D4922" s="15"/>
      <c r="E4922" s="18"/>
    </row>
    <row r="4923" spans="2:5" x14ac:dyDescent="0.4">
      <c r="B4923" s="17"/>
      <c r="C4923" s="15"/>
      <c r="D4923" s="15"/>
      <c r="E4923" s="18"/>
    </row>
    <row r="4924" spans="2:5" x14ac:dyDescent="0.4">
      <c r="B4924" s="17"/>
      <c r="C4924" s="15"/>
      <c r="D4924" s="15"/>
      <c r="E4924" s="18"/>
    </row>
    <row r="4925" spans="2:5" x14ac:dyDescent="0.4">
      <c r="B4925" s="17"/>
      <c r="C4925" s="15"/>
      <c r="D4925" s="15"/>
      <c r="E4925" s="18"/>
    </row>
    <row r="4926" spans="2:5" x14ac:dyDescent="0.4">
      <c r="B4926" s="17"/>
      <c r="C4926" s="15"/>
      <c r="D4926" s="15"/>
      <c r="E4926" s="18"/>
    </row>
    <row r="4927" spans="2:5" x14ac:dyDescent="0.4">
      <c r="B4927" s="17"/>
      <c r="C4927" s="15"/>
      <c r="D4927" s="15"/>
      <c r="E4927" s="18"/>
    </row>
    <row r="4928" spans="2:5" x14ac:dyDescent="0.4">
      <c r="B4928" s="17"/>
      <c r="C4928" s="15"/>
      <c r="D4928" s="15"/>
      <c r="E4928" s="18"/>
    </row>
    <row r="4929" spans="2:5" x14ac:dyDescent="0.4">
      <c r="B4929" s="17"/>
      <c r="C4929" s="15"/>
      <c r="D4929" s="15"/>
      <c r="E4929" s="18"/>
    </row>
    <row r="4930" spans="2:5" x14ac:dyDescent="0.4">
      <c r="B4930" s="17"/>
      <c r="C4930" s="15"/>
      <c r="D4930" s="15"/>
      <c r="E4930" s="18"/>
    </row>
    <row r="4931" spans="2:5" x14ac:dyDescent="0.4">
      <c r="B4931" s="17"/>
      <c r="C4931" s="15"/>
      <c r="D4931" s="15"/>
      <c r="E4931" s="18"/>
    </row>
    <row r="4932" spans="2:5" x14ac:dyDescent="0.4">
      <c r="B4932" s="17"/>
      <c r="C4932" s="15"/>
      <c r="D4932" s="15"/>
      <c r="E4932" s="18"/>
    </row>
    <row r="4933" spans="2:5" x14ac:dyDescent="0.4">
      <c r="B4933" s="17"/>
      <c r="C4933" s="15"/>
      <c r="D4933" s="15"/>
      <c r="E4933" s="18"/>
    </row>
    <row r="4934" spans="2:5" x14ac:dyDescent="0.4">
      <c r="B4934" s="17"/>
      <c r="C4934" s="15"/>
      <c r="D4934" s="15"/>
      <c r="E4934" s="18"/>
    </row>
    <row r="4935" spans="2:5" x14ac:dyDescent="0.4">
      <c r="B4935" s="17"/>
      <c r="C4935" s="15"/>
      <c r="D4935" s="15"/>
      <c r="E4935" s="18"/>
    </row>
    <row r="4936" spans="2:5" x14ac:dyDescent="0.4">
      <c r="B4936" s="17"/>
      <c r="C4936" s="15"/>
      <c r="D4936" s="15"/>
      <c r="E4936" s="18"/>
    </row>
    <row r="4937" spans="2:5" x14ac:dyDescent="0.4">
      <c r="B4937" s="17"/>
      <c r="C4937" s="15"/>
      <c r="D4937" s="15"/>
      <c r="E4937" s="18"/>
    </row>
    <row r="4938" spans="2:5" x14ac:dyDescent="0.4">
      <c r="B4938" s="17"/>
      <c r="C4938" s="15"/>
      <c r="D4938" s="15"/>
      <c r="E4938" s="18"/>
    </row>
    <row r="4939" spans="2:5" x14ac:dyDescent="0.4">
      <c r="B4939" s="17"/>
      <c r="C4939" s="15"/>
      <c r="D4939" s="15"/>
      <c r="E4939" s="18"/>
    </row>
    <row r="4940" spans="2:5" x14ac:dyDescent="0.4">
      <c r="B4940" s="17"/>
      <c r="C4940" s="15"/>
      <c r="D4940" s="15"/>
      <c r="E4940" s="18"/>
    </row>
    <row r="4941" spans="2:5" x14ac:dyDescent="0.4">
      <c r="B4941" s="17"/>
      <c r="C4941" s="15"/>
      <c r="D4941" s="15"/>
      <c r="E4941" s="18"/>
    </row>
    <row r="4942" spans="2:5" x14ac:dyDescent="0.4">
      <c r="B4942" s="17"/>
      <c r="C4942" s="15"/>
      <c r="D4942" s="15"/>
      <c r="E4942" s="18"/>
    </row>
    <row r="4943" spans="2:5" x14ac:dyDescent="0.4">
      <c r="B4943" s="17"/>
      <c r="C4943" s="15"/>
      <c r="D4943" s="15"/>
      <c r="E4943" s="18"/>
    </row>
    <row r="4944" spans="2:5" x14ac:dyDescent="0.4">
      <c r="B4944" s="17"/>
      <c r="C4944" s="15"/>
      <c r="D4944" s="15"/>
      <c r="E4944" s="18"/>
    </row>
    <row r="4945" spans="2:5" x14ac:dyDescent="0.4">
      <c r="B4945" s="17"/>
      <c r="C4945" s="15"/>
      <c r="D4945" s="15"/>
      <c r="E4945" s="18"/>
    </row>
    <row r="4946" spans="2:5" x14ac:dyDescent="0.4">
      <c r="B4946" s="17"/>
      <c r="C4946" s="15"/>
      <c r="D4946" s="15"/>
      <c r="E4946" s="18"/>
    </row>
    <row r="4947" spans="2:5" x14ac:dyDescent="0.4">
      <c r="B4947" s="17"/>
      <c r="C4947" s="15"/>
      <c r="D4947" s="15"/>
      <c r="E4947" s="18"/>
    </row>
    <row r="4948" spans="2:5" x14ac:dyDescent="0.4">
      <c r="B4948" s="17"/>
      <c r="C4948" s="15"/>
      <c r="D4948" s="15"/>
      <c r="E4948" s="18"/>
    </row>
    <row r="4949" spans="2:5" x14ac:dyDescent="0.4">
      <c r="B4949" s="17"/>
      <c r="C4949" s="15"/>
      <c r="D4949" s="15"/>
      <c r="E4949" s="18"/>
    </row>
    <row r="4950" spans="2:5" x14ac:dyDescent="0.4">
      <c r="B4950" s="17"/>
      <c r="C4950" s="15"/>
      <c r="D4950" s="15"/>
      <c r="E4950" s="18"/>
    </row>
    <row r="4951" spans="2:5" x14ac:dyDescent="0.4">
      <c r="B4951" s="17"/>
      <c r="C4951" s="15"/>
      <c r="D4951" s="15"/>
      <c r="E4951" s="18"/>
    </row>
    <row r="4952" spans="2:5" x14ac:dyDescent="0.4">
      <c r="B4952" s="17"/>
      <c r="C4952" s="15"/>
      <c r="D4952" s="15"/>
      <c r="E4952" s="18"/>
    </row>
    <row r="4953" spans="2:5" x14ac:dyDescent="0.4">
      <c r="B4953" s="17"/>
      <c r="C4953" s="15"/>
      <c r="D4953" s="15"/>
      <c r="E4953" s="18"/>
    </row>
    <row r="4954" spans="2:5" x14ac:dyDescent="0.4">
      <c r="B4954" s="17"/>
      <c r="C4954" s="15"/>
      <c r="D4954" s="15"/>
      <c r="E4954" s="18"/>
    </row>
    <row r="4955" spans="2:5" x14ac:dyDescent="0.4">
      <c r="B4955" s="17"/>
      <c r="C4955" s="15"/>
      <c r="D4955" s="15"/>
      <c r="E4955" s="18"/>
    </row>
    <row r="4956" spans="2:5" x14ac:dyDescent="0.4">
      <c r="B4956" s="17"/>
      <c r="C4956" s="15"/>
      <c r="D4956" s="15"/>
      <c r="E4956" s="18"/>
    </row>
    <row r="4957" spans="2:5" x14ac:dyDescent="0.4">
      <c r="B4957" s="17"/>
      <c r="C4957" s="15"/>
      <c r="D4957" s="15"/>
      <c r="E4957" s="18"/>
    </row>
    <row r="4958" spans="2:5" x14ac:dyDescent="0.4">
      <c r="B4958" s="17"/>
      <c r="C4958" s="15"/>
      <c r="D4958" s="15"/>
      <c r="E4958" s="18"/>
    </row>
    <row r="4959" spans="2:5" x14ac:dyDescent="0.4">
      <c r="B4959" s="17"/>
      <c r="C4959" s="15"/>
      <c r="D4959" s="15"/>
      <c r="E4959" s="18"/>
    </row>
    <row r="4960" spans="2:5" x14ac:dyDescent="0.4">
      <c r="B4960" s="17"/>
      <c r="C4960" s="15"/>
      <c r="D4960" s="15"/>
      <c r="E4960" s="18"/>
    </row>
    <row r="4961" spans="2:5" x14ac:dyDescent="0.4">
      <c r="B4961" s="17"/>
      <c r="C4961" s="15"/>
      <c r="D4961" s="15"/>
      <c r="E4961" s="18"/>
    </row>
    <row r="4962" spans="2:5" x14ac:dyDescent="0.4">
      <c r="B4962" s="17"/>
      <c r="C4962" s="15"/>
      <c r="D4962" s="15"/>
      <c r="E4962" s="18"/>
    </row>
    <row r="4963" spans="2:5" x14ac:dyDescent="0.4">
      <c r="B4963" s="17"/>
      <c r="C4963" s="15"/>
      <c r="D4963" s="15"/>
      <c r="E4963" s="18"/>
    </row>
    <row r="4964" spans="2:5" x14ac:dyDescent="0.4">
      <c r="B4964" s="17"/>
      <c r="C4964" s="15"/>
      <c r="D4964" s="15"/>
      <c r="E4964" s="18"/>
    </row>
    <row r="4965" spans="2:5" x14ac:dyDescent="0.4">
      <c r="B4965" s="17"/>
      <c r="C4965" s="15"/>
      <c r="D4965" s="15"/>
      <c r="E4965" s="18"/>
    </row>
    <row r="4966" spans="2:5" x14ac:dyDescent="0.4">
      <c r="B4966" s="17"/>
      <c r="C4966" s="15"/>
      <c r="D4966" s="15"/>
      <c r="E4966" s="18"/>
    </row>
    <row r="4967" spans="2:5" x14ac:dyDescent="0.4">
      <c r="B4967" s="17"/>
      <c r="C4967" s="15"/>
      <c r="D4967" s="15"/>
      <c r="E4967" s="18"/>
    </row>
    <row r="4968" spans="2:5" x14ac:dyDescent="0.4">
      <c r="B4968" s="17"/>
      <c r="C4968" s="15"/>
      <c r="D4968" s="15"/>
      <c r="E4968" s="18"/>
    </row>
    <row r="4969" spans="2:5" x14ac:dyDescent="0.4">
      <c r="B4969" s="17"/>
      <c r="C4969" s="15"/>
      <c r="D4969" s="15"/>
      <c r="E4969" s="18"/>
    </row>
    <row r="4970" spans="2:5" x14ac:dyDescent="0.4">
      <c r="B4970" s="17"/>
      <c r="C4970" s="15"/>
      <c r="D4970" s="15"/>
      <c r="E4970" s="18"/>
    </row>
    <row r="4971" spans="2:5" x14ac:dyDescent="0.4">
      <c r="B4971" s="17"/>
      <c r="C4971" s="15"/>
      <c r="D4971" s="15"/>
      <c r="E4971" s="18"/>
    </row>
    <row r="4972" spans="2:5" x14ac:dyDescent="0.4">
      <c r="B4972" s="17"/>
      <c r="C4972" s="15"/>
      <c r="D4972" s="15"/>
      <c r="E4972" s="18"/>
    </row>
    <row r="4973" spans="2:5" x14ac:dyDescent="0.4">
      <c r="B4973" s="17"/>
      <c r="C4973" s="15"/>
      <c r="D4973" s="15"/>
      <c r="E4973" s="18"/>
    </row>
    <row r="4974" spans="2:5" x14ac:dyDescent="0.4">
      <c r="B4974" s="17"/>
      <c r="C4974" s="15"/>
      <c r="D4974" s="15"/>
      <c r="E4974" s="18"/>
    </row>
    <row r="4975" spans="2:5" x14ac:dyDescent="0.4">
      <c r="B4975" s="17"/>
      <c r="C4975" s="15"/>
      <c r="D4975" s="15"/>
      <c r="E4975" s="18"/>
    </row>
    <row r="4976" spans="2:5" x14ac:dyDescent="0.4">
      <c r="B4976" s="17"/>
      <c r="C4976" s="15"/>
      <c r="D4976" s="15"/>
      <c r="E4976" s="18"/>
    </row>
    <row r="4977" spans="2:5" x14ac:dyDescent="0.4">
      <c r="B4977" s="17"/>
      <c r="C4977" s="15"/>
      <c r="D4977" s="15"/>
      <c r="E4977" s="18"/>
    </row>
    <row r="4978" spans="2:5" x14ac:dyDescent="0.4">
      <c r="B4978" s="17"/>
      <c r="C4978" s="15"/>
      <c r="D4978" s="15"/>
      <c r="E4978" s="18"/>
    </row>
    <row r="4979" spans="2:5" x14ac:dyDescent="0.4">
      <c r="B4979" s="17"/>
      <c r="C4979" s="15"/>
      <c r="D4979" s="15"/>
      <c r="E4979" s="18"/>
    </row>
    <row r="4980" spans="2:5" x14ac:dyDescent="0.4">
      <c r="B4980" s="17"/>
      <c r="C4980" s="15"/>
      <c r="D4980" s="15"/>
      <c r="E4980" s="18"/>
    </row>
    <row r="4981" spans="2:5" x14ac:dyDescent="0.4">
      <c r="B4981" s="17"/>
      <c r="C4981" s="15"/>
      <c r="D4981" s="15"/>
      <c r="E4981" s="18"/>
    </row>
    <row r="4982" spans="2:5" x14ac:dyDescent="0.4">
      <c r="B4982" s="17"/>
      <c r="C4982" s="15"/>
      <c r="D4982" s="15"/>
      <c r="E4982" s="18"/>
    </row>
    <row r="4983" spans="2:5" x14ac:dyDescent="0.4">
      <c r="B4983" s="17"/>
      <c r="C4983" s="15"/>
      <c r="D4983" s="15"/>
      <c r="E4983" s="18"/>
    </row>
    <row r="4984" spans="2:5" x14ac:dyDescent="0.4">
      <c r="B4984" s="17"/>
      <c r="C4984" s="15"/>
      <c r="D4984" s="15"/>
      <c r="E4984" s="18"/>
    </row>
    <row r="4985" spans="2:5" x14ac:dyDescent="0.4">
      <c r="B4985" s="17"/>
      <c r="C4985" s="15"/>
      <c r="D4985" s="15"/>
      <c r="E4985" s="18"/>
    </row>
    <row r="4986" spans="2:5" x14ac:dyDescent="0.4">
      <c r="B4986" s="17"/>
      <c r="C4986" s="15"/>
      <c r="D4986" s="15"/>
      <c r="E4986" s="18"/>
    </row>
    <row r="4987" spans="2:5" x14ac:dyDescent="0.4">
      <c r="B4987" s="17"/>
      <c r="C4987" s="15"/>
      <c r="D4987" s="15"/>
      <c r="E4987" s="18"/>
    </row>
    <row r="4988" spans="2:5" x14ac:dyDescent="0.4">
      <c r="B4988" s="17"/>
      <c r="C4988" s="15"/>
      <c r="D4988" s="15"/>
      <c r="E4988" s="18"/>
    </row>
    <row r="4989" spans="2:5" x14ac:dyDescent="0.4">
      <c r="B4989" s="17"/>
      <c r="C4989" s="15"/>
      <c r="D4989" s="15"/>
      <c r="E4989" s="18"/>
    </row>
    <row r="4990" spans="2:5" x14ac:dyDescent="0.4">
      <c r="B4990" s="17"/>
      <c r="C4990" s="15"/>
      <c r="D4990" s="15"/>
      <c r="E4990" s="18"/>
    </row>
    <row r="4991" spans="2:5" x14ac:dyDescent="0.4">
      <c r="B4991" s="17"/>
      <c r="C4991" s="15"/>
      <c r="D4991" s="15"/>
      <c r="E4991" s="18"/>
    </row>
    <row r="4992" spans="2:5" x14ac:dyDescent="0.4">
      <c r="B4992" s="17"/>
      <c r="C4992" s="15"/>
      <c r="D4992" s="15"/>
      <c r="E4992" s="18"/>
    </row>
    <row r="4993" spans="2:5" x14ac:dyDescent="0.4">
      <c r="B4993" s="17"/>
      <c r="C4993" s="15"/>
      <c r="D4993" s="15"/>
      <c r="E4993" s="18"/>
    </row>
    <row r="4994" spans="2:5" x14ac:dyDescent="0.4">
      <c r="B4994" s="17"/>
      <c r="C4994" s="15"/>
      <c r="D4994" s="15"/>
      <c r="E4994" s="18"/>
    </row>
    <row r="4995" spans="2:5" x14ac:dyDescent="0.4">
      <c r="B4995" s="17"/>
      <c r="C4995" s="15"/>
      <c r="D4995" s="15"/>
      <c r="E4995" s="18"/>
    </row>
    <row r="4996" spans="2:5" x14ac:dyDescent="0.4">
      <c r="B4996" s="17"/>
      <c r="C4996" s="15"/>
      <c r="D4996" s="15"/>
      <c r="E4996" s="18"/>
    </row>
    <row r="4997" spans="2:5" x14ac:dyDescent="0.4">
      <c r="B4997" s="17"/>
      <c r="C4997" s="15"/>
      <c r="D4997" s="15"/>
      <c r="E4997" s="18"/>
    </row>
    <row r="4998" spans="2:5" x14ac:dyDescent="0.4">
      <c r="B4998" s="17"/>
      <c r="C4998" s="15"/>
      <c r="D4998" s="15"/>
      <c r="E4998" s="18"/>
    </row>
    <row r="4999" spans="2:5" x14ac:dyDescent="0.4">
      <c r="B4999" s="17"/>
      <c r="C4999" s="15"/>
      <c r="D4999" s="15"/>
      <c r="E4999" s="18"/>
    </row>
    <row r="5000" spans="2:5" x14ac:dyDescent="0.4">
      <c r="B5000" s="17"/>
      <c r="C5000" s="15"/>
      <c r="D5000" s="15"/>
      <c r="E5000" s="18"/>
    </row>
    <row r="5001" spans="2:5" x14ac:dyDescent="0.4">
      <c r="B5001" s="17"/>
      <c r="C5001" s="15"/>
      <c r="D5001" s="15"/>
      <c r="E5001" s="18"/>
    </row>
    <row r="5002" spans="2:5" x14ac:dyDescent="0.4">
      <c r="B5002" s="17"/>
      <c r="C5002" s="15"/>
      <c r="D5002" s="15"/>
      <c r="E5002" s="18"/>
    </row>
    <row r="5003" spans="2:5" x14ac:dyDescent="0.4">
      <c r="B5003" s="17"/>
      <c r="C5003" s="15"/>
      <c r="D5003" s="15"/>
      <c r="E5003" s="18"/>
    </row>
    <row r="5004" spans="2:5" x14ac:dyDescent="0.4">
      <c r="B5004" s="17"/>
      <c r="C5004" s="15"/>
      <c r="D5004" s="15"/>
      <c r="E5004" s="18"/>
    </row>
    <row r="5005" spans="2:5" x14ac:dyDescent="0.4">
      <c r="B5005" s="17"/>
      <c r="C5005" s="15"/>
      <c r="D5005" s="15"/>
      <c r="E5005" s="18"/>
    </row>
    <row r="5006" spans="2:5" x14ac:dyDescent="0.4">
      <c r="B5006" s="17"/>
      <c r="C5006" s="15"/>
      <c r="D5006" s="15"/>
      <c r="E5006" s="18"/>
    </row>
    <row r="5007" spans="2:5" x14ac:dyDescent="0.4">
      <c r="B5007" s="17"/>
      <c r="C5007" s="15"/>
      <c r="D5007" s="15"/>
      <c r="E5007" s="18"/>
    </row>
    <row r="5008" spans="2:5" x14ac:dyDescent="0.4">
      <c r="B5008" s="17"/>
      <c r="C5008" s="15"/>
      <c r="D5008" s="15"/>
      <c r="E5008" s="18"/>
    </row>
    <row r="5009" spans="2:5" x14ac:dyDescent="0.4">
      <c r="B5009" s="17"/>
      <c r="C5009" s="15"/>
      <c r="D5009" s="15"/>
      <c r="E5009" s="18"/>
    </row>
    <row r="5010" spans="2:5" x14ac:dyDescent="0.4">
      <c r="B5010" s="17"/>
      <c r="C5010" s="15"/>
      <c r="D5010" s="15"/>
      <c r="E5010" s="18"/>
    </row>
    <row r="5011" spans="2:5" x14ac:dyDescent="0.4">
      <c r="B5011" s="17"/>
      <c r="C5011" s="15"/>
      <c r="D5011" s="15"/>
      <c r="E5011" s="18"/>
    </row>
    <row r="5012" spans="2:5" x14ac:dyDescent="0.4">
      <c r="B5012" s="17"/>
      <c r="C5012" s="15"/>
      <c r="D5012" s="15"/>
      <c r="E5012" s="18"/>
    </row>
    <row r="5013" spans="2:5" x14ac:dyDescent="0.4">
      <c r="B5013" s="17"/>
      <c r="C5013" s="15"/>
      <c r="D5013" s="15"/>
      <c r="E5013" s="18"/>
    </row>
    <row r="5014" spans="2:5" x14ac:dyDescent="0.4">
      <c r="B5014" s="17"/>
      <c r="C5014" s="15"/>
      <c r="D5014" s="15"/>
      <c r="E5014" s="18"/>
    </row>
    <row r="5015" spans="2:5" x14ac:dyDescent="0.4">
      <c r="B5015" s="17"/>
      <c r="C5015" s="15"/>
      <c r="D5015" s="15"/>
      <c r="E5015" s="18"/>
    </row>
    <row r="5016" spans="2:5" x14ac:dyDescent="0.4">
      <c r="B5016" s="17"/>
      <c r="C5016" s="15"/>
      <c r="D5016" s="15"/>
      <c r="E5016" s="18"/>
    </row>
    <row r="5017" spans="2:5" x14ac:dyDescent="0.4">
      <c r="B5017" s="17"/>
      <c r="C5017" s="15"/>
      <c r="D5017" s="15"/>
      <c r="E5017" s="18"/>
    </row>
    <row r="5018" spans="2:5" x14ac:dyDescent="0.4">
      <c r="B5018" s="17"/>
      <c r="C5018" s="15"/>
      <c r="D5018" s="15"/>
      <c r="E5018" s="18"/>
    </row>
    <row r="5019" spans="2:5" x14ac:dyDescent="0.4">
      <c r="B5019" s="17"/>
      <c r="C5019" s="15"/>
      <c r="D5019" s="15"/>
      <c r="E5019" s="18"/>
    </row>
    <row r="5020" spans="2:5" x14ac:dyDescent="0.4">
      <c r="B5020" s="17"/>
      <c r="C5020" s="15"/>
      <c r="D5020" s="15"/>
      <c r="E5020" s="18"/>
    </row>
    <row r="5021" spans="2:5" x14ac:dyDescent="0.4">
      <c r="B5021" s="17"/>
      <c r="C5021" s="15"/>
      <c r="D5021" s="15"/>
      <c r="E5021" s="18"/>
    </row>
    <row r="5022" spans="2:5" x14ac:dyDescent="0.4">
      <c r="B5022" s="17"/>
      <c r="C5022" s="15"/>
      <c r="D5022" s="15"/>
      <c r="E5022" s="18"/>
    </row>
    <row r="5023" spans="2:5" x14ac:dyDescent="0.4">
      <c r="B5023" s="17"/>
      <c r="C5023" s="15"/>
      <c r="D5023" s="15"/>
      <c r="E5023" s="18"/>
    </row>
    <row r="5024" spans="2:5" x14ac:dyDescent="0.4">
      <c r="B5024" s="17"/>
      <c r="C5024" s="15"/>
      <c r="D5024" s="15"/>
      <c r="E5024" s="18"/>
    </row>
    <row r="5025" spans="2:5" x14ac:dyDescent="0.4">
      <c r="B5025" s="17"/>
      <c r="C5025" s="15"/>
      <c r="D5025" s="15"/>
      <c r="E5025" s="18"/>
    </row>
    <row r="5026" spans="2:5" x14ac:dyDescent="0.4">
      <c r="B5026" s="17"/>
      <c r="C5026" s="15"/>
      <c r="D5026" s="15"/>
      <c r="E5026" s="18"/>
    </row>
    <row r="5027" spans="2:5" x14ac:dyDescent="0.4">
      <c r="B5027" s="17"/>
      <c r="C5027" s="15"/>
      <c r="D5027" s="15"/>
      <c r="E5027" s="18"/>
    </row>
    <row r="5028" spans="2:5" x14ac:dyDescent="0.4">
      <c r="B5028" s="17"/>
      <c r="C5028" s="15"/>
      <c r="D5028" s="15"/>
      <c r="E5028" s="18"/>
    </row>
    <row r="5029" spans="2:5" x14ac:dyDescent="0.4">
      <c r="B5029" s="17"/>
      <c r="C5029" s="15"/>
      <c r="D5029" s="15"/>
      <c r="E5029" s="18"/>
    </row>
    <row r="5030" spans="2:5" x14ac:dyDescent="0.4">
      <c r="B5030" s="17"/>
      <c r="C5030" s="15"/>
      <c r="D5030" s="15"/>
      <c r="E5030" s="18"/>
    </row>
    <row r="5031" spans="2:5" x14ac:dyDescent="0.4">
      <c r="B5031" s="17"/>
      <c r="C5031" s="15"/>
      <c r="D5031" s="15"/>
      <c r="E5031" s="18"/>
    </row>
    <row r="5032" spans="2:5" x14ac:dyDescent="0.4">
      <c r="B5032" s="17"/>
      <c r="C5032" s="15"/>
      <c r="D5032" s="15"/>
      <c r="E5032" s="18"/>
    </row>
    <row r="5033" spans="2:5" x14ac:dyDescent="0.4">
      <c r="B5033" s="17"/>
      <c r="C5033" s="15"/>
      <c r="D5033" s="15"/>
      <c r="E5033" s="18"/>
    </row>
    <row r="5034" spans="2:5" x14ac:dyDescent="0.4">
      <c r="B5034" s="17"/>
      <c r="C5034" s="15"/>
      <c r="D5034" s="15"/>
      <c r="E5034" s="18"/>
    </row>
    <row r="5035" spans="2:5" x14ac:dyDescent="0.4">
      <c r="B5035" s="17"/>
      <c r="C5035" s="15"/>
      <c r="D5035" s="15"/>
      <c r="E5035" s="18"/>
    </row>
    <row r="5036" spans="2:5" x14ac:dyDescent="0.4">
      <c r="B5036" s="17"/>
      <c r="C5036" s="15"/>
      <c r="D5036" s="15"/>
      <c r="E5036" s="18"/>
    </row>
    <row r="5037" spans="2:5" x14ac:dyDescent="0.4">
      <c r="B5037" s="17"/>
      <c r="C5037" s="15"/>
      <c r="D5037" s="15"/>
      <c r="E5037" s="18"/>
    </row>
    <row r="5038" spans="2:5" x14ac:dyDescent="0.4">
      <c r="B5038" s="17"/>
      <c r="C5038" s="15"/>
      <c r="D5038" s="15"/>
      <c r="E5038" s="18"/>
    </row>
    <row r="5039" spans="2:5" x14ac:dyDescent="0.4">
      <c r="B5039" s="17"/>
      <c r="C5039" s="15"/>
      <c r="D5039" s="15"/>
      <c r="E5039" s="18"/>
    </row>
    <row r="5040" spans="2:5" x14ac:dyDescent="0.4">
      <c r="B5040" s="17"/>
      <c r="C5040" s="15"/>
      <c r="D5040" s="15"/>
      <c r="E5040" s="18"/>
    </row>
    <row r="5041" spans="2:5" x14ac:dyDescent="0.4">
      <c r="B5041" s="17"/>
      <c r="C5041" s="15"/>
      <c r="D5041" s="15"/>
      <c r="E5041" s="18"/>
    </row>
    <row r="5042" spans="2:5" x14ac:dyDescent="0.4">
      <c r="B5042" s="17"/>
      <c r="C5042" s="15"/>
      <c r="D5042" s="15"/>
      <c r="E5042" s="18"/>
    </row>
    <row r="5043" spans="2:5" x14ac:dyDescent="0.4">
      <c r="B5043" s="17"/>
      <c r="C5043" s="15"/>
      <c r="D5043" s="15"/>
      <c r="E5043" s="18"/>
    </row>
    <row r="5044" spans="2:5" x14ac:dyDescent="0.4">
      <c r="B5044" s="17"/>
      <c r="C5044" s="15"/>
      <c r="D5044" s="15"/>
      <c r="E5044" s="18"/>
    </row>
    <row r="5045" spans="2:5" x14ac:dyDescent="0.4">
      <c r="B5045" s="17"/>
      <c r="C5045" s="15"/>
      <c r="D5045" s="15"/>
      <c r="E5045" s="18"/>
    </row>
    <row r="5046" spans="2:5" x14ac:dyDescent="0.4">
      <c r="B5046" s="17"/>
      <c r="C5046" s="15"/>
      <c r="D5046" s="15"/>
      <c r="E5046" s="18"/>
    </row>
    <row r="5047" spans="2:5" x14ac:dyDescent="0.4">
      <c r="B5047" s="17"/>
      <c r="C5047" s="15"/>
      <c r="D5047" s="15"/>
      <c r="E5047" s="18"/>
    </row>
    <row r="5048" spans="2:5" x14ac:dyDescent="0.4">
      <c r="B5048" s="17"/>
      <c r="C5048" s="15"/>
      <c r="D5048" s="15"/>
      <c r="E5048" s="18"/>
    </row>
    <row r="5049" spans="2:5" x14ac:dyDescent="0.4">
      <c r="B5049" s="17"/>
      <c r="C5049" s="15"/>
      <c r="D5049" s="15"/>
      <c r="E5049" s="18"/>
    </row>
    <row r="5050" spans="2:5" x14ac:dyDescent="0.4">
      <c r="B5050" s="17"/>
      <c r="C5050" s="15"/>
      <c r="D5050" s="15"/>
      <c r="E5050" s="18"/>
    </row>
    <row r="5051" spans="2:5" x14ac:dyDescent="0.4">
      <c r="B5051" s="17"/>
      <c r="C5051" s="15"/>
      <c r="D5051" s="15"/>
      <c r="E5051" s="18"/>
    </row>
    <row r="5052" spans="2:5" x14ac:dyDescent="0.4">
      <c r="B5052" s="17"/>
      <c r="C5052" s="15"/>
      <c r="D5052" s="15"/>
      <c r="E5052" s="18"/>
    </row>
    <row r="5053" spans="2:5" x14ac:dyDescent="0.4">
      <c r="B5053" s="17"/>
      <c r="C5053" s="15"/>
      <c r="D5053" s="15"/>
      <c r="E5053" s="18"/>
    </row>
    <row r="5054" spans="2:5" x14ac:dyDescent="0.4">
      <c r="B5054" s="17"/>
      <c r="C5054" s="15"/>
      <c r="D5054" s="15"/>
      <c r="E5054" s="18"/>
    </row>
    <row r="5055" spans="2:5" x14ac:dyDescent="0.4">
      <c r="B5055" s="17"/>
      <c r="C5055" s="15"/>
      <c r="D5055" s="15"/>
      <c r="E5055" s="18"/>
    </row>
    <row r="5056" spans="2:5" x14ac:dyDescent="0.4">
      <c r="B5056" s="17"/>
      <c r="C5056" s="15"/>
      <c r="D5056" s="15"/>
      <c r="E5056" s="18"/>
    </row>
    <row r="5057" spans="2:5" x14ac:dyDescent="0.4">
      <c r="B5057" s="17"/>
      <c r="C5057" s="15"/>
      <c r="D5057" s="15"/>
      <c r="E5057" s="18"/>
    </row>
    <row r="5058" spans="2:5" x14ac:dyDescent="0.4">
      <c r="B5058" s="17"/>
      <c r="C5058" s="15"/>
      <c r="D5058" s="15"/>
      <c r="E5058" s="18"/>
    </row>
    <row r="5059" spans="2:5" x14ac:dyDescent="0.4">
      <c r="B5059" s="17"/>
      <c r="C5059" s="15"/>
      <c r="D5059" s="15"/>
      <c r="E5059" s="18"/>
    </row>
    <row r="5060" spans="2:5" x14ac:dyDescent="0.4">
      <c r="B5060" s="17"/>
      <c r="C5060" s="15"/>
      <c r="D5060" s="15"/>
      <c r="E5060" s="18"/>
    </row>
    <row r="5061" spans="2:5" x14ac:dyDescent="0.4">
      <c r="B5061" s="17"/>
      <c r="C5061" s="15"/>
      <c r="D5061" s="15"/>
      <c r="E5061" s="18"/>
    </row>
    <row r="5062" spans="2:5" x14ac:dyDescent="0.4">
      <c r="B5062" s="17"/>
      <c r="C5062" s="15"/>
      <c r="D5062" s="15"/>
      <c r="E5062" s="18"/>
    </row>
    <row r="5063" spans="2:5" x14ac:dyDescent="0.4">
      <c r="B5063" s="17"/>
      <c r="C5063" s="15"/>
      <c r="D5063" s="15"/>
      <c r="E5063" s="18"/>
    </row>
    <row r="5064" spans="2:5" x14ac:dyDescent="0.4">
      <c r="B5064" s="17"/>
      <c r="C5064" s="15"/>
      <c r="D5064" s="15"/>
      <c r="E5064" s="18"/>
    </row>
    <row r="5065" spans="2:5" x14ac:dyDescent="0.4">
      <c r="B5065" s="17"/>
      <c r="C5065" s="15"/>
      <c r="D5065" s="15"/>
      <c r="E5065" s="18"/>
    </row>
    <row r="5066" spans="2:5" x14ac:dyDescent="0.4">
      <c r="B5066" s="17"/>
      <c r="C5066" s="15"/>
      <c r="D5066" s="15"/>
      <c r="E5066" s="18"/>
    </row>
    <row r="5067" spans="2:5" x14ac:dyDescent="0.4">
      <c r="B5067" s="17"/>
      <c r="C5067" s="15"/>
      <c r="D5067" s="15"/>
      <c r="E5067" s="18"/>
    </row>
    <row r="5068" spans="2:5" x14ac:dyDescent="0.4">
      <c r="B5068" s="17"/>
      <c r="C5068" s="15"/>
      <c r="D5068" s="15"/>
      <c r="E5068" s="18"/>
    </row>
    <row r="5069" spans="2:5" x14ac:dyDescent="0.4">
      <c r="B5069" s="17"/>
      <c r="C5069" s="15"/>
      <c r="D5069" s="15"/>
      <c r="E5069" s="18"/>
    </row>
    <row r="5070" spans="2:5" x14ac:dyDescent="0.4">
      <c r="B5070" s="17"/>
      <c r="C5070" s="15"/>
      <c r="D5070" s="15"/>
      <c r="E5070" s="18"/>
    </row>
    <row r="5071" spans="2:5" x14ac:dyDescent="0.4">
      <c r="B5071" s="17"/>
      <c r="C5071" s="15"/>
      <c r="D5071" s="15"/>
      <c r="E5071" s="18"/>
    </row>
    <row r="5072" spans="2:5" x14ac:dyDescent="0.4">
      <c r="B5072" s="17"/>
      <c r="C5072" s="15"/>
      <c r="D5072" s="15"/>
      <c r="E5072" s="18"/>
    </row>
    <row r="5073" spans="2:5" x14ac:dyDescent="0.4">
      <c r="B5073" s="17"/>
      <c r="C5073" s="15"/>
      <c r="D5073" s="15"/>
      <c r="E5073" s="18"/>
    </row>
    <row r="5074" spans="2:5" x14ac:dyDescent="0.4">
      <c r="B5074" s="17"/>
      <c r="C5074" s="15"/>
      <c r="D5074" s="15"/>
      <c r="E5074" s="18"/>
    </row>
    <row r="5075" spans="2:5" x14ac:dyDescent="0.4">
      <c r="B5075" s="17"/>
      <c r="C5075" s="15"/>
      <c r="D5075" s="15"/>
      <c r="E5075" s="18"/>
    </row>
    <row r="5076" spans="2:5" x14ac:dyDescent="0.4">
      <c r="B5076" s="17"/>
      <c r="C5076" s="15"/>
      <c r="D5076" s="15"/>
      <c r="E5076" s="18"/>
    </row>
    <row r="5077" spans="2:5" x14ac:dyDescent="0.4">
      <c r="B5077" s="17"/>
      <c r="C5077" s="15"/>
      <c r="D5077" s="15"/>
      <c r="E5077" s="18"/>
    </row>
    <row r="5078" spans="2:5" x14ac:dyDescent="0.4">
      <c r="B5078" s="17"/>
      <c r="C5078" s="15"/>
      <c r="D5078" s="15"/>
      <c r="E5078" s="18"/>
    </row>
    <row r="5079" spans="2:5" x14ac:dyDescent="0.4">
      <c r="B5079" s="17"/>
      <c r="C5079" s="15"/>
      <c r="D5079" s="15"/>
      <c r="E5079" s="18"/>
    </row>
    <row r="5080" spans="2:5" x14ac:dyDescent="0.4">
      <c r="B5080" s="17"/>
      <c r="C5080" s="15"/>
      <c r="D5080" s="15"/>
      <c r="E5080" s="18"/>
    </row>
    <row r="5081" spans="2:5" x14ac:dyDescent="0.4">
      <c r="B5081" s="17"/>
      <c r="C5081" s="15"/>
      <c r="D5081" s="15"/>
      <c r="E5081" s="18"/>
    </row>
    <row r="5082" spans="2:5" x14ac:dyDescent="0.4">
      <c r="B5082" s="17"/>
      <c r="C5082" s="15"/>
      <c r="D5082" s="15"/>
      <c r="E5082" s="18"/>
    </row>
    <row r="5083" spans="2:5" x14ac:dyDescent="0.4">
      <c r="B5083" s="17"/>
      <c r="C5083" s="15"/>
      <c r="D5083" s="15"/>
      <c r="E5083" s="18"/>
    </row>
    <row r="5084" spans="2:5" x14ac:dyDescent="0.4">
      <c r="B5084" s="17"/>
      <c r="C5084" s="15"/>
      <c r="D5084" s="15"/>
      <c r="E5084" s="18"/>
    </row>
    <row r="5085" spans="2:5" x14ac:dyDescent="0.4">
      <c r="B5085" s="17"/>
      <c r="C5085" s="15"/>
      <c r="D5085" s="15"/>
      <c r="E5085" s="18"/>
    </row>
    <row r="5086" spans="2:5" x14ac:dyDescent="0.4">
      <c r="B5086" s="17"/>
      <c r="C5086" s="15"/>
      <c r="D5086" s="15"/>
      <c r="E5086" s="18"/>
    </row>
    <row r="5087" spans="2:5" x14ac:dyDescent="0.4">
      <c r="B5087" s="17"/>
      <c r="C5087" s="15"/>
      <c r="D5087" s="15"/>
      <c r="E5087" s="18"/>
    </row>
    <row r="5088" spans="2:5" x14ac:dyDescent="0.4">
      <c r="B5088" s="17"/>
      <c r="C5088" s="15"/>
      <c r="D5088" s="15"/>
      <c r="E5088" s="18"/>
    </row>
    <row r="5089" spans="2:5" x14ac:dyDescent="0.4">
      <c r="B5089" s="17"/>
      <c r="C5089" s="15"/>
      <c r="D5089" s="15"/>
      <c r="E5089" s="18"/>
    </row>
    <row r="5090" spans="2:5" x14ac:dyDescent="0.4">
      <c r="B5090" s="17"/>
      <c r="C5090" s="15"/>
      <c r="D5090" s="15"/>
      <c r="E5090" s="18"/>
    </row>
    <row r="5091" spans="2:5" x14ac:dyDescent="0.4">
      <c r="B5091" s="17"/>
      <c r="C5091" s="15"/>
      <c r="D5091" s="15"/>
      <c r="E5091" s="18"/>
    </row>
    <row r="5092" spans="2:5" x14ac:dyDescent="0.4">
      <c r="B5092" s="17"/>
      <c r="C5092" s="15"/>
      <c r="D5092" s="15"/>
      <c r="E5092" s="18"/>
    </row>
    <row r="5093" spans="2:5" x14ac:dyDescent="0.4">
      <c r="B5093" s="17"/>
      <c r="C5093" s="15"/>
      <c r="D5093" s="15"/>
      <c r="E5093" s="18"/>
    </row>
    <row r="5094" spans="2:5" x14ac:dyDescent="0.4">
      <c r="B5094" s="17"/>
      <c r="C5094" s="15"/>
      <c r="D5094" s="15"/>
      <c r="E5094" s="18"/>
    </row>
    <row r="5095" spans="2:5" x14ac:dyDescent="0.4">
      <c r="B5095" s="17"/>
      <c r="C5095" s="15"/>
      <c r="D5095" s="15"/>
      <c r="E5095" s="18"/>
    </row>
    <row r="5096" spans="2:5" x14ac:dyDescent="0.4">
      <c r="B5096" s="17"/>
      <c r="C5096" s="15"/>
      <c r="D5096" s="15"/>
      <c r="E5096" s="18"/>
    </row>
    <row r="5097" spans="2:5" x14ac:dyDescent="0.4">
      <c r="B5097" s="17"/>
      <c r="C5097" s="15"/>
      <c r="D5097" s="15"/>
      <c r="E5097" s="18"/>
    </row>
    <row r="5098" spans="2:5" x14ac:dyDescent="0.4">
      <c r="B5098" s="17"/>
      <c r="C5098" s="15"/>
      <c r="D5098" s="15"/>
      <c r="E5098" s="18"/>
    </row>
    <row r="5099" spans="2:5" x14ac:dyDescent="0.4">
      <c r="B5099" s="17"/>
      <c r="C5099" s="15"/>
      <c r="D5099" s="15"/>
      <c r="E5099" s="18"/>
    </row>
    <row r="5100" spans="2:5" x14ac:dyDescent="0.4">
      <c r="B5100" s="17"/>
      <c r="C5100" s="15"/>
      <c r="D5100" s="15"/>
      <c r="E5100" s="18"/>
    </row>
    <row r="5101" spans="2:5" x14ac:dyDescent="0.4">
      <c r="B5101" s="17"/>
      <c r="C5101" s="15"/>
      <c r="D5101" s="15"/>
      <c r="E5101" s="18"/>
    </row>
    <row r="5102" spans="2:5" x14ac:dyDescent="0.4">
      <c r="B5102" s="17"/>
      <c r="C5102" s="15"/>
      <c r="D5102" s="15"/>
      <c r="E5102" s="18"/>
    </row>
    <row r="5103" spans="2:5" x14ac:dyDescent="0.4">
      <c r="B5103" s="17"/>
      <c r="C5103" s="15"/>
      <c r="D5103" s="15"/>
      <c r="E5103" s="18"/>
    </row>
    <row r="5104" spans="2:5" x14ac:dyDescent="0.4">
      <c r="B5104" s="17"/>
      <c r="C5104" s="15"/>
      <c r="D5104" s="15"/>
      <c r="E5104" s="18"/>
    </row>
    <row r="5105" spans="2:5" x14ac:dyDescent="0.4">
      <c r="B5105" s="17"/>
      <c r="C5105" s="15"/>
      <c r="D5105" s="15"/>
      <c r="E5105" s="18"/>
    </row>
    <row r="5106" spans="2:5" x14ac:dyDescent="0.4">
      <c r="B5106" s="17"/>
      <c r="C5106" s="15"/>
      <c r="D5106" s="15"/>
      <c r="E5106" s="18"/>
    </row>
    <row r="5107" spans="2:5" x14ac:dyDescent="0.4">
      <c r="B5107" s="17"/>
      <c r="C5107" s="15"/>
      <c r="D5107" s="15"/>
      <c r="E5107" s="18"/>
    </row>
    <row r="5108" spans="2:5" x14ac:dyDescent="0.4">
      <c r="B5108" s="17"/>
      <c r="C5108" s="15"/>
      <c r="D5108" s="15"/>
      <c r="E5108" s="18"/>
    </row>
    <row r="5109" spans="2:5" x14ac:dyDescent="0.4">
      <c r="B5109" s="17"/>
      <c r="C5109" s="15"/>
      <c r="D5109" s="15"/>
      <c r="E5109" s="18"/>
    </row>
    <row r="5110" spans="2:5" x14ac:dyDescent="0.4">
      <c r="B5110" s="17"/>
      <c r="C5110" s="15"/>
      <c r="D5110" s="15"/>
      <c r="E5110" s="18"/>
    </row>
    <row r="5111" spans="2:5" x14ac:dyDescent="0.4">
      <c r="B5111" s="17"/>
      <c r="C5111" s="15"/>
      <c r="D5111" s="15"/>
      <c r="E5111" s="18"/>
    </row>
    <row r="5112" spans="2:5" x14ac:dyDescent="0.4">
      <c r="B5112" s="17"/>
      <c r="C5112" s="15"/>
      <c r="D5112" s="15"/>
      <c r="E5112" s="18"/>
    </row>
    <row r="5113" spans="2:5" x14ac:dyDescent="0.4">
      <c r="B5113" s="17"/>
      <c r="C5113" s="15"/>
      <c r="D5113" s="15"/>
      <c r="E5113" s="18"/>
    </row>
    <row r="5114" spans="2:5" x14ac:dyDescent="0.4">
      <c r="B5114" s="17"/>
      <c r="C5114" s="15"/>
      <c r="D5114" s="15"/>
      <c r="E5114" s="18"/>
    </row>
    <row r="5115" spans="2:5" x14ac:dyDescent="0.4">
      <c r="B5115" s="17"/>
      <c r="C5115" s="15"/>
      <c r="D5115" s="15"/>
      <c r="E5115" s="18"/>
    </row>
    <row r="5116" spans="2:5" x14ac:dyDescent="0.4">
      <c r="B5116" s="17"/>
      <c r="C5116" s="15"/>
      <c r="D5116" s="15"/>
      <c r="E5116" s="18"/>
    </row>
    <row r="5117" spans="2:5" x14ac:dyDescent="0.4">
      <c r="B5117" s="17"/>
      <c r="C5117" s="15"/>
      <c r="D5117" s="15"/>
      <c r="E5117" s="18"/>
    </row>
    <row r="5118" spans="2:5" x14ac:dyDescent="0.4">
      <c r="B5118" s="17"/>
      <c r="C5118" s="15"/>
      <c r="D5118" s="15"/>
      <c r="E5118" s="18"/>
    </row>
    <row r="5119" spans="2:5" x14ac:dyDescent="0.4">
      <c r="B5119" s="17"/>
      <c r="C5119" s="15"/>
      <c r="D5119" s="15"/>
      <c r="E5119" s="18"/>
    </row>
    <row r="5120" spans="2:5" x14ac:dyDescent="0.4">
      <c r="B5120" s="17"/>
      <c r="C5120" s="15"/>
      <c r="D5120" s="15"/>
      <c r="E5120" s="18"/>
    </row>
    <row r="5121" spans="2:5" x14ac:dyDescent="0.4">
      <c r="B5121" s="17"/>
      <c r="C5121" s="15"/>
      <c r="D5121" s="15"/>
      <c r="E5121" s="18"/>
    </row>
    <row r="5122" spans="2:5" x14ac:dyDescent="0.4">
      <c r="B5122" s="17"/>
      <c r="C5122" s="15"/>
      <c r="D5122" s="15"/>
      <c r="E5122" s="18"/>
    </row>
    <row r="5123" spans="2:5" x14ac:dyDescent="0.4">
      <c r="B5123" s="17"/>
      <c r="C5123" s="15"/>
      <c r="D5123" s="15"/>
      <c r="E5123" s="18"/>
    </row>
    <row r="5124" spans="2:5" x14ac:dyDescent="0.4">
      <c r="B5124" s="17"/>
      <c r="C5124" s="15"/>
      <c r="D5124" s="15"/>
      <c r="E5124" s="18"/>
    </row>
    <row r="5125" spans="2:5" x14ac:dyDescent="0.4">
      <c r="B5125" s="17"/>
      <c r="C5125" s="15"/>
      <c r="D5125" s="15"/>
      <c r="E5125" s="18"/>
    </row>
    <row r="5126" spans="2:5" x14ac:dyDescent="0.4">
      <c r="B5126" s="17"/>
      <c r="C5126" s="15"/>
      <c r="D5126" s="15"/>
      <c r="E5126" s="18"/>
    </row>
    <row r="5127" spans="2:5" x14ac:dyDescent="0.4">
      <c r="B5127" s="17"/>
      <c r="C5127" s="15"/>
      <c r="D5127" s="15"/>
      <c r="E5127" s="18"/>
    </row>
    <row r="5128" spans="2:5" x14ac:dyDescent="0.4">
      <c r="B5128" s="17"/>
      <c r="C5128" s="15"/>
      <c r="D5128" s="15"/>
      <c r="E5128" s="18"/>
    </row>
    <row r="5129" spans="2:5" x14ac:dyDescent="0.4">
      <c r="B5129" s="17"/>
      <c r="C5129" s="15"/>
      <c r="D5129" s="15"/>
      <c r="E5129" s="18"/>
    </row>
    <row r="5130" spans="2:5" x14ac:dyDescent="0.4">
      <c r="B5130" s="17"/>
      <c r="C5130" s="15"/>
      <c r="D5130" s="15"/>
      <c r="E5130" s="18"/>
    </row>
    <row r="5131" spans="2:5" x14ac:dyDescent="0.4">
      <c r="B5131" s="17"/>
      <c r="C5131" s="15"/>
      <c r="D5131" s="15"/>
      <c r="E5131" s="18"/>
    </row>
    <row r="5132" spans="2:5" x14ac:dyDescent="0.4">
      <c r="B5132" s="17"/>
      <c r="C5132" s="15"/>
      <c r="D5132" s="15"/>
      <c r="E5132" s="18"/>
    </row>
    <row r="5133" spans="2:5" x14ac:dyDescent="0.4">
      <c r="B5133" s="17"/>
      <c r="C5133" s="15"/>
      <c r="D5133" s="15"/>
      <c r="E5133" s="18"/>
    </row>
    <row r="5134" spans="2:5" x14ac:dyDescent="0.4">
      <c r="B5134" s="17"/>
      <c r="C5134" s="15"/>
      <c r="D5134" s="15"/>
      <c r="E5134" s="18"/>
    </row>
    <row r="5135" spans="2:5" x14ac:dyDescent="0.4">
      <c r="B5135" s="17"/>
      <c r="C5135" s="15"/>
      <c r="D5135" s="15"/>
      <c r="E5135" s="18"/>
    </row>
    <row r="5136" spans="2:5" x14ac:dyDescent="0.4">
      <c r="B5136" s="17"/>
      <c r="C5136" s="15"/>
      <c r="D5136" s="15"/>
      <c r="E5136" s="18"/>
    </row>
    <row r="5137" spans="2:5" x14ac:dyDescent="0.4">
      <c r="B5137" s="17"/>
      <c r="C5137" s="15"/>
      <c r="D5137" s="15"/>
      <c r="E5137" s="18"/>
    </row>
    <row r="5138" spans="2:5" x14ac:dyDescent="0.4">
      <c r="B5138" s="17"/>
      <c r="C5138" s="15"/>
      <c r="D5138" s="15"/>
      <c r="E5138" s="18"/>
    </row>
    <row r="5139" spans="2:5" x14ac:dyDescent="0.4">
      <c r="B5139" s="17"/>
      <c r="C5139" s="15"/>
      <c r="D5139" s="15"/>
      <c r="E5139" s="18"/>
    </row>
    <row r="5140" spans="2:5" x14ac:dyDescent="0.4">
      <c r="B5140" s="17"/>
      <c r="C5140" s="15"/>
      <c r="D5140" s="15"/>
      <c r="E5140" s="18"/>
    </row>
    <row r="5141" spans="2:5" x14ac:dyDescent="0.4">
      <c r="B5141" s="17"/>
      <c r="C5141" s="15"/>
      <c r="D5141" s="15"/>
      <c r="E5141" s="18"/>
    </row>
    <row r="5142" spans="2:5" x14ac:dyDescent="0.4">
      <c r="B5142" s="17"/>
      <c r="C5142" s="15"/>
      <c r="D5142" s="15"/>
      <c r="E5142" s="18"/>
    </row>
    <row r="5143" spans="2:5" x14ac:dyDescent="0.4">
      <c r="B5143" s="17"/>
      <c r="C5143" s="15"/>
      <c r="D5143" s="15"/>
      <c r="E5143" s="18"/>
    </row>
    <row r="5144" spans="2:5" x14ac:dyDescent="0.4">
      <c r="B5144" s="17"/>
      <c r="C5144" s="15"/>
      <c r="D5144" s="15"/>
      <c r="E5144" s="18"/>
    </row>
    <row r="5145" spans="2:5" x14ac:dyDescent="0.4">
      <c r="B5145" s="17"/>
      <c r="C5145" s="15"/>
      <c r="D5145" s="15"/>
      <c r="E5145" s="18"/>
    </row>
    <row r="5146" spans="2:5" x14ac:dyDescent="0.4">
      <c r="B5146" s="17"/>
      <c r="C5146" s="15"/>
      <c r="D5146" s="15"/>
      <c r="E5146" s="18"/>
    </row>
    <row r="5147" spans="2:5" x14ac:dyDescent="0.4">
      <c r="B5147" s="17"/>
      <c r="C5147" s="15"/>
      <c r="D5147" s="15"/>
      <c r="E5147" s="18"/>
    </row>
    <row r="5148" spans="2:5" x14ac:dyDescent="0.4">
      <c r="B5148" s="17"/>
      <c r="C5148" s="15"/>
      <c r="D5148" s="15"/>
      <c r="E5148" s="18"/>
    </row>
    <row r="5149" spans="2:5" x14ac:dyDescent="0.4">
      <c r="B5149" s="17"/>
      <c r="C5149" s="15"/>
      <c r="D5149" s="15"/>
      <c r="E5149" s="18"/>
    </row>
    <row r="5150" spans="2:5" x14ac:dyDescent="0.4">
      <c r="B5150" s="17"/>
      <c r="C5150" s="15"/>
      <c r="D5150" s="15"/>
      <c r="E5150" s="18"/>
    </row>
    <row r="5151" spans="2:5" x14ac:dyDescent="0.4">
      <c r="B5151" s="17"/>
      <c r="C5151" s="15"/>
      <c r="D5151" s="15"/>
      <c r="E5151" s="18"/>
    </row>
    <row r="5152" spans="2:5" x14ac:dyDescent="0.4">
      <c r="B5152" s="17"/>
      <c r="C5152" s="15"/>
      <c r="D5152" s="15"/>
      <c r="E5152" s="18"/>
    </row>
    <row r="5153" spans="2:5" x14ac:dyDescent="0.4">
      <c r="B5153" s="17"/>
      <c r="C5153" s="15"/>
      <c r="D5153" s="15"/>
      <c r="E5153" s="18"/>
    </row>
    <row r="5154" spans="2:5" x14ac:dyDescent="0.4">
      <c r="B5154" s="17"/>
      <c r="C5154" s="15"/>
      <c r="D5154" s="15"/>
      <c r="E5154" s="18"/>
    </row>
    <row r="5155" spans="2:5" x14ac:dyDescent="0.4">
      <c r="B5155" s="17"/>
      <c r="C5155" s="15"/>
      <c r="D5155" s="15"/>
      <c r="E5155" s="18"/>
    </row>
    <row r="5156" spans="2:5" x14ac:dyDescent="0.4">
      <c r="B5156" s="17"/>
      <c r="C5156" s="15"/>
      <c r="D5156" s="15"/>
      <c r="E5156" s="18"/>
    </row>
    <row r="5157" spans="2:5" x14ac:dyDescent="0.4">
      <c r="B5157" s="17"/>
      <c r="C5157" s="15"/>
      <c r="D5157" s="15"/>
      <c r="E5157" s="18"/>
    </row>
    <row r="5158" spans="2:5" x14ac:dyDescent="0.4">
      <c r="B5158" s="17"/>
      <c r="C5158" s="15"/>
      <c r="D5158" s="15"/>
      <c r="E5158" s="18"/>
    </row>
    <row r="5159" spans="2:5" x14ac:dyDescent="0.4">
      <c r="B5159" s="17"/>
      <c r="C5159" s="15"/>
      <c r="D5159" s="15"/>
      <c r="E5159" s="18"/>
    </row>
    <row r="5160" spans="2:5" x14ac:dyDescent="0.4">
      <c r="B5160" s="17"/>
      <c r="C5160" s="15"/>
      <c r="D5160" s="15"/>
      <c r="E5160" s="18"/>
    </row>
    <row r="5161" spans="2:5" x14ac:dyDescent="0.4">
      <c r="B5161" s="17"/>
      <c r="C5161" s="15"/>
      <c r="D5161" s="15"/>
      <c r="E5161" s="18"/>
    </row>
    <row r="5162" spans="2:5" x14ac:dyDescent="0.4">
      <c r="B5162" s="17"/>
      <c r="C5162" s="15"/>
      <c r="D5162" s="15"/>
      <c r="E5162" s="18"/>
    </row>
    <row r="5163" spans="2:5" x14ac:dyDescent="0.4">
      <c r="B5163" s="17"/>
      <c r="C5163" s="15"/>
      <c r="D5163" s="15"/>
      <c r="E5163" s="18"/>
    </row>
    <row r="5164" spans="2:5" x14ac:dyDescent="0.4">
      <c r="B5164" s="17"/>
      <c r="C5164" s="15"/>
      <c r="D5164" s="15"/>
      <c r="E5164" s="18"/>
    </row>
    <row r="5165" spans="2:5" x14ac:dyDescent="0.4">
      <c r="B5165" s="17"/>
      <c r="C5165" s="15"/>
      <c r="D5165" s="15"/>
      <c r="E5165" s="18"/>
    </row>
    <row r="5166" spans="2:5" x14ac:dyDescent="0.4">
      <c r="B5166" s="17"/>
      <c r="C5166" s="15"/>
      <c r="D5166" s="15"/>
      <c r="E5166" s="18"/>
    </row>
    <row r="5167" spans="2:5" x14ac:dyDescent="0.4">
      <c r="B5167" s="17"/>
      <c r="C5167" s="15"/>
      <c r="D5167" s="15"/>
      <c r="E5167" s="18"/>
    </row>
    <row r="5168" spans="2:5" x14ac:dyDescent="0.4">
      <c r="B5168" s="17"/>
      <c r="C5168" s="15"/>
      <c r="D5168" s="15"/>
      <c r="E5168" s="18"/>
    </row>
    <row r="5169" spans="2:5" x14ac:dyDescent="0.4">
      <c r="B5169" s="17"/>
      <c r="C5169" s="15"/>
      <c r="D5169" s="15"/>
      <c r="E5169" s="18"/>
    </row>
    <row r="5170" spans="2:5" x14ac:dyDescent="0.4">
      <c r="B5170" s="17"/>
      <c r="C5170" s="15"/>
      <c r="D5170" s="15"/>
      <c r="E5170" s="18"/>
    </row>
    <row r="5171" spans="2:5" x14ac:dyDescent="0.4">
      <c r="B5171" s="17"/>
      <c r="C5171" s="15"/>
      <c r="D5171" s="15"/>
      <c r="E5171" s="18"/>
    </row>
    <row r="5172" spans="2:5" x14ac:dyDescent="0.4">
      <c r="B5172" s="17"/>
      <c r="C5172" s="15"/>
      <c r="D5172" s="15"/>
      <c r="E5172" s="18"/>
    </row>
    <row r="5173" spans="2:5" x14ac:dyDescent="0.4">
      <c r="B5173" s="17"/>
      <c r="C5173" s="15"/>
      <c r="D5173" s="15"/>
      <c r="E5173" s="18"/>
    </row>
    <row r="5174" spans="2:5" x14ac:dyDescent="0.4">
      <c r="B5174" s="17"/>
      <c r="C5174" s="15"/>
      <c r="D5174" s="15"/>
      <c r="E5174" s="18"/>
    </row>
    <row r="5175" spans="2:5" x14ac:dyDescent="0.4">
      <c r="B5175" s="17"/>
      <c r="C5175" s="15"/>
      <c r="D5175" s="15"/>
      <c r="E5175" s="18"/>
    </row>
    <row r="5176" spans="2:5" x14ac:dyDescent="0.4">
      <c r="B5176" s="17"/>
      <c r="C5176" s="15"/>
      <c r="D5176" s="15"/>
      <c r="E5176" s="18"/>
    </row>
    <row r="5177" spans="2:5" x14ac:dyDescent="0.4">
      <c r="B5177" s="17"/>
      <c r="C5177" s="15"/>
      <c r="D5177" s="15"/>
      <c r="E5177" s="18"/>
    </row>
    <row r="5178" spans="2:5" x14ac:dyDescent="0.4">
      <c r="B5178" s="17"/>
      <c r="C5178" s="15"/>
      <c r="D5178" s="15"/>
      <c r="E5178" s="18"/>
    </row>
    <row r="5179" spans="2:5" x14ac:dyDescent="0.4">
      <c r="B5179" s="17"/>
      <c r="C5179" s="15"/>
      <c r="D5179" s="15"/>
      <c r="E5179" s="18"/>
    </row>
    <row r="5180" spans="2:5" x14ac:dyDescent="0.4">
      <c r="B5180" s="17"/>
      <c r="C5180" s="15"/>
      <c r="D5180" s="15"/>
      <c r="E5180" s="18"/>
    </row>
    <row r="5181" spans="2:5" x14ac:dyDescent="0.4">
      <c r="B5181" s="17"/>
      <c r="C5181" s="15"/>
      <c r="D5181" s="15"/>
      <c r="E5181" s="18"/>
    </row>
    <row r="5182" spans="2:5" x14ac:dyDescent="0.4">
      <c r="B5182" s="17"/>
      <c r="C5182" s="15"/>
      <c r="D5182" s="15"/>
      <c r="E5182" s="18"/>
    </row>
    <row r="5183" spans="2:5" x14ac:dyDescent="0.4">
      <c r="B5183" s="17"/>
      <c r="C5183" s="15"/>
      <c r="D5183" s="15"/>
      <c r="E5183" s="18"/>
    </row>
    <row r="5184" spans="2:5" x14ac:dyDescent="0.4">
      <c r="B5184" s="17"/>
      <c r="C5184" s="15"/>
      <c r="D5184" s="15"/>
      <c r="E5184" s="18"/>
    </row>
    <row r="5185" spans="2:5" x14ac:dyDescent="0.4">
      <c r="B5185" s="17"/>
      <c r="C5185" s="15"/>
      <c r="D5185" s="15"/>
      <c r="E5185" s="18"/>
    </row>
    <row r="5186" spans="2:5" x14ac:dyDescent="0.4">
      <c r="B5186" s="17"/>
      <c r="C5186" s="15"/>
      <c r="D5186" s="15"/>
      <c r="E5186" s="18"/>
    </row>
    <row r="5187" spans="2:5" x14ac:dyDescent="0.4">
      <c r="B5187" s="17"/>
      <c r="C5187" s="15"/>
      <c r="D5187" s="15"/>
      <c r="E5187" s="18"/>
    </row>
    <row r="5188" spans="2:5" x14ac:dyDescent="0.4">
      <c r="B5188" s="17"/>
      <c r="C5188" s="15"/>
      <c r="D5188" s="15"/>
      <c r="E5188" s="18"/>
    </row>
    <row r="5189" spans="2:5" x14ac:dyDescent="0.4">
      <c r="B5189" s="17"/>
      <c r="C5189" s="15"/>
      <c r="D5189" s="15"/>
      <c r="E5189" s="18"/>
    </row>
    <row r="5190" spans="2:5" x14ac:dyDescent="0.4">
      <c r="B5190" s="17"/>
      <c r="C5190" s="15"/>
      <c r="D5190" s="15"/>
      <c r="E5190" s="18"/>
    </row>
    <row r="5191" spans="2:5" x14ac:dyDescent="0.4">
      <c r="B5191" s="17"/>
      <c r="C5191" s="15"/>
      <c r="D5191" s="15"/>
      <c r="E5191" s="18"/>
    </row>
    <row r="5192" spans="2:5" x14ac:dyDescent="0.4">
      <c r="B5192" s="17"/>
      <c r="C5192" s="15"/>
      <c r="D5192" s="15"/>
      <c r="E5192" s="18"/>
    </row>
    <row r="5193" spans="2:5" x14ac:dyDescent="0.4">
      <c r="B5193" s="17"/>
      <c r="C5193" s="15"/>
      <c r="D5193" s="15"/>
      <c r="E5193" s="18"/>
    </row>
    <row r="5194" spans="2:5" x14ac:dyDescent="0.4">
      <c r="B5194" s="17"/>
      <c r="C5194" s="15"/>
      <c r="D5194" s="15"/>
      <c r="E5194" s="18"/>
    </row>
    <row r="5195" spans="2:5" x14ac:dyDescent="0.4">
      <c r="B5195" s="17"/>
      <c r="C5195" s="15"/>
      <c r="D5195" s="15"/>
      <c r="E5195" s="18"/>
    </row>
    <row r="5196" spans="2:5" x14ac:dyDescent="0.4">
      <c r="B5196" s="17"/>
      <c r="C5196" s="15"/>
      <c r="D5196" s="15"/>
      <c r="E5196" s="18"/>
    </row>
    <row r="5197" spans="2:5" x14ac:dyDescent="0.4">
      <c r="B5197" s="17"/>
      <c r="C5197" s="15"/>
      <c r="D5197" s="15"/>
      <c r="E5197" s="18"/>
    </row>
    <row r="5198" spans="2:5" x14ac:dyDescent="0.4">
      <c r="B5198" s="17"/>
      <c r="C5198" s="15"/>
      <c r="D5198" s="15"/>
      <c r="E5198" s="18"/>
    </row>
    <row r="5199" spans="2:5" x14ac:dyDescent="0.4">
      <c r="B5199" s="17"/>
      <c r="C5199" s="15"/>
      <c r="D5199" s="15"/>
      <c r="E5199" s="18"/>
    </row>
    <row r="5200" spans="2:5" x14ac:dyDescent="0.4">
      <c r="B5200" s="17"/>
      <c r="C5200" s="15"/>
      <c r="D5200" s="15"/>
      <c r="E5200" s="18"/>
    </row>
    <row r="5201" spans="2:5" x14ac:dyDescent="0.4">
      <c r="B5201" s="17"/>
      <c r="C5201" s="15"/>
      <c r="D5201" s="15"/>
      <c r="E5201" s="18"/>
    </row>
    <row r="5202" spans="2:5" x14ac:dyDescent="0.4">
      <c r="B5202" s="17"/>
      <c r="C5202" s="15"/>
      <c r="D5202" s="15"/>
      <c r="E5202" s="18"/>
    </row>
    <row r="5203" spans="2:5" x14ac:dyDescent="0.4">
      <c r="B5203" s="17"/>
      <c r="C5203" s="15"/>
      <c r="D5203" s="15"/>
      <c r="E5203" s="18"/>
    </row>
    <row r="5204" spans="2:5" x14ac:dyDescent="0.4">
      <c r="B5204" s="17"/>
      <c r="C5204" s="15"/>
      <c r="D5204" s="15"/>
      <c r="E5204" s="18"/>
    </row>
    <row r="5205" spans="2:5" x14ac:dyDescent="0.4">
      <c r="B5205" s="17"/>
      <c r="C5205" s="15"/>
      <c r="D5205" s="15"/>
      <c r="E5205" s="18"/>
    </row>
    <row r="5206" spans="2:5" x14ac:dyDescent="0.4">
      <c r="B5206" s="17"/>
      <c r="C5206" s="15"/>
      <c r="D5206" s="15"/>
      <c r="E5206" s="18"/>
    </row>
    <row r="5207" spans="2:5" x14ac:dyDescent="0.4">
      <c r="B5207" s="17"/>
      <c r="C5207" s="15"/>
      <c r="D5207" s="15"/>
      <c r="E5207" s="18"/>
    </row>
    <row r="5208" spans="2:5" x14ac:dyDescent="0.4">
      <c r="B5208" s="17"/>
      <c r="C5208" s="15"/>
      <c r="D5208" s="15"/>
      <c r="E5208" s="18"/>
    </row>
    <row r="5209" spans="2:5" x14ac:dyDescent="0.4">
      <c r="B5209" s="17"/>
      <c r="C5209" s="15"/>
      <c r="D5209" s="15"/>
      <c r="E5209" s="18"/>
    </row>
    <row r="5210" spans="2:5" x14ac:dyDescent="0.4">
      <c r="B5210" s="17"/>
      <c r="C5210" s="15"/>
      <c r="D5210" s="15"/>
      <c r="E5210" s="18"/>
    </row>
    <row r="5211" spans="2:5" x14ac:dyDescent="0.4">
      <c r="B5211" s="17"/>
      <c r="C5211" s="15"/>
      <c r="D5211" s="15"/>
      <c r="E5211" s="18"/>
    </row>
    <row r="5212" spans="2:5" x14ac:dyDescent="0.4">
      <c r="B5212" s="17"/>
      <c r="C5212" s="15"/>
      <c r="D5212" s="15"/>
      <c r="E5212" s="18"/>
    </row>
    <row r="5213" spans="2:5" x14ac:dyDescent="0.4">
      <c r="B5213" s="17"/>
      <c r="C5213" s="15"/>
      <c r="D5213" s="15"/>
      <c r="E5213" s="18"/>
    </row>
    <row r="5214" spans="2:5" x14ac:dyDescent="0.4">
      <c r="B5214" s="17"/>
      <c r="C5214" s="15"/>
      <c r="D5214" s="15"/>
      <c r="E5214" s="18"/>
    </row>
    <row r="5215" spans="2:5" x14ac:dyDescent="0.4">
      <c r="B5215" s="17"/>
      <c r="C5215" s="15"/>
      <c r="D5215" s="15"/>
      <c r="E5215" s="18"/>
    </row>
    <row r="5216" spans="2:5" x14ac:dyDescent="0.4">
      <c r="B5216" s="17"/>
      <c r="C5216" s="15"/>
      <c r="D5216" s="15"/>
      <c r="E5216" s="18"/>
    </row>
    <row r="5217" spans="2:5" x14ac:dyDescent="0.4">
      <c r="B5217" s="17"/>
      <c r="C5217" s="15"/>
      <c r="D5217" s="15"/>
      <c r="E5217" s="18"/>
    </row>
    <row r="5218" spans="2:5" x14ac:dyDescent="0.4">
      <c r="B5218" s="17"/>
      <c r="C5218" s="15"/>
      <c r="D5218" s="15"/>
      <c r="E5218" s="18"/>
    </row>
    <row r="5219" spans="2:5" x14ac:dyDescent="0.4">
      <c r="B5219" s="17"/>
      <c r="C5219" s="15"/>
      <c r="D5219" s="15"/>
      <c r="E5219" s="18"/>
    </row>
    <row r="5220" spans="2:5" x14ac:dyDescent="0.4">
      <c r="B5220" s="17"/>
      <c r="C5220" s="15"/>
      <c r="D5220" s="15"/>
      <c r="E5220" s="18"/>
    </row>
    <row r="5221" spans="2:5" x14ac:dyDescent="0.4">
      <c r="B5221" s="17"/>
      <c r="C5221" s="15"/>
      <c r="D5221" s="15"/>
      <c r="E5221" s="18"/>
    </row>
    <row r="5222" spans="2:5" x14ac:dyDescent="0.4">
      <c r="B5222" s="17"/>
      <c r="C5222" s="15"/>
      <c r="D5222" s="15"/>
      <c r="E5222" s="18"/>
    </row>
    <row r="5223" spans="2:5" x14ac:dyDescent="0.4">
      <c r="B5223" s="17"/>
      <c r="C5223" s="15"/>
      <c r="D5223" s="15"/>
      <c r="E5223" s="18"/>
    </row>
    <row r="5224" spans="2:5" x14ac:dyDescent="0.4">
      <c r="B5224" s="17"/>
      <c r="C5224" s="15"/>
      <c r="D5224" s="15"/>
      <c r="E5224" s="18"/>
    </row>
    <row r="5225" spans="2:5" x14ac:dyDescent="0.4">
      <c r="B5225" s="17"/>
      <c r="C5225" s="15"/>
      <c r="D5225" s="15"/>
      <c r="E5225" s="18"/>
    </row>
    <row r="5226" spans="2:5" x14ac:dyDescent="0.4">
      <c r="B5226" s="17"/>
      <c r="C5226" s="15"/>
      <c r="D5226" s="15"/>
      <c r="E5226" s="18"/>
    </row>
    <row r="5227" spans="2:5" x14ac:dyDescent="0.4">
      <c r="B5227" s="17"/>
      <c r="C5227" s="15"/>
      <c r="D5227" s="15"/>
      <c r="E5227" s="18"/>
    </row>
    <row r="5228" spans="2:5" x14ac:dyDescent="0.4">
      <c r="B5228" s="17"/>
      <c r="C5228" s="15"/>
      <c r="D5228" s="15"/>
      <c r="E5228" s="18"/>
    </row>
    <row r="5229" spans="2:5" x14ac:dyDescent="0.4">
      <c r="B5229" s="17"/>
      <c r="C5229" s="15"/>
      <c r="D5229" s="15"/>
      <c r="E5229" s="18"/>
    </row>
    <row r="5230" spans="2:5" x14ac:dyDescent="0.4">
      <c r="B5230" s="17"/>
      <c r="C5230" s="15"/>
      <c r="D5230" s="15"/>
      <c r="E5230" s="18"/>
    </row>
    <row r="5231" spans="2:5" x14ac:dyDescent="0.4">
      <c r="B5231" s="17"/>
      <c r="C5231" s="15"/>
      <c r="D5231" s="15"/>
      <c r="E5231" s="18"/>
    </row>
    <row r="5232" spans="2:5" x14ac:dyDescent="0.4">
      <c r="B5232" s="17"/>
      <c r="C5232" s="15"/>
      <c r="D5232" s="15"/>
      <c r="E5232" s="18"/>
    </row>
    <row r="5233" spans="2:5" x14ac:dyDescent="0.4">
      <c r="B5233" s="17"/>
      <c r="C5233" s="15"/>
      <c r="D5233" s="15"/>
      <c r="E5233" s="18"/>
    </row>
    <row r="5234" spans="2:5" x14ac:dyDescent="0.4">
      <c r="B5234" s="17"/>
      <c r="C5234" s="15"/>
      <c r="D5234" s="15"/>
      <c r="E5234" s="18"/>
    </row>
    <row r="5235" spans="2:5" x14ac:dyDescent="0.4">
      <c r="B5235" s="17"/>
      <c r="C5235" s="15"/>
      <c r="D5235" s="15"/>
      <c r="E5235" s="18"/>
    </row>
    <row r="5236" spans="2:5" x14ac:dyDescent="0.4">
      <c r="B5236" s="17"/>
      <c r="C5236" s="15"/>
      <c r="D5236" s="15"/>
      <c r="E5236" s="18"/>
    </row>
    <row r="5237" spans="2:5" x14ac:dyDescent="0.4">
      <c r="B5237" s="17"/>
      <c r="C5237" s="15"/>
      <c r="D5237" s="15"/>
      <c r="E5237" s="18"/>
    </row>
    <row r="5238" spans="2:5" x14ac:dyDescent="0.4">
      <c r="B5238" s="17"/>
      <c r="C5238" s="15"/>
      <c r="D5238" s="15"/>
      <c r="E5238" s="18"/>
    </row>
    <row r="5239" spans="2:5" x14ac:dyDescent="0.4">
      <c r="B5239" s="17"/>
      <c r="C5239" s="15"/>
      <c r="D5239" s="15"/>
      <c r="E5239" s="18"/>
    </row>
    <row r="5240" spans="2:5" x14ac:dyDescent="0.4">
      <c r="B5240" s="17"/>
      <c r="C5240" s="15"/>
      <c r="D5240" s="15"/>
      <c r="E5240" s="18"/>
    </row>
    <row r="5241" spans="2:5" x14ac:dyDescent="0.4">
      <c r="B5241" s="17"/>
      <c r="C5241" s="15"/>
      <c r="D5241" s="15"/>
      <c r="E5241" s="18"/>
    </row>
    <row r="5242" spans="2:5" x14ac:dyDescent="0.4">
      <c r="B5242" s="17"/>
      <c r="C5242" s="15"/>
      <c r="D5242" s="15"/>
      <c r="E5242" s="18"/>
    </row>
    <row r="5243" spans="2:5" x14ac:dyDescent="0.4">
      <c r="B5243" s="17"/>
      <c r="C5243" s="15"/>
      <c r="D5243" s="15"/>
      <c r="E5243" s="18"/>
    </row>
    <row r="5244" spans="2:5" x14ac:dyDescent="0.4">
      <c r="B5244" s="17"/>
      <c r="C5244" s="15"/>
      <c r="D5244" s="15"/>
      <c r="E5244" s="18"/>
    </row>
    <row r="5245" spans="2:5" x14ac:dyDescent="0.4">
      <c r="B5245" s="17"/>
      <c r="C5245" s="15"/>
      <c r="D5245" s="15"/>
      <c r="E5245" s="18"/>
    </row>
    <row r="5246" spans="2:5" x14ac:dyDescent="0.4">
      <c r="B5246" s="17"/>
      <c r="C5246" s="15"/>
      <c r="D5246" s="15"/>
      <c r="E5246" s="18"/>
    </row>
    <row r="5247" spans="2:5" x14ac:dyDescent="0.4">
      <c r="B5247" s="17"/>
      <c r="C5247" s="15"/>
      <c r="D5247" s="15"/>
      <c r="E5247" s="18"/>
    </row>
    <row r="5248" spans="2:5" x14ac:dyDescent="0.4">
      <c r="B5248" s="17"/>
      <c r="C5248" s="15"/>
      <c r="D5248" s="15"/>
      <c r="E5248" s="18"/>
    </row>
    <row r="5249" spans="2:5" x14ac:dyDescent="0.4">
      <c r="B5249" s="17"/>
      <c r="C5249" s="15"/>
      <c r="D5249" s="15"/>
      <c r="E5249" s="18"/>
    </row>
    <row r="5250" spans="2:5" x14ac:dyDescent="0.4">
      <c r="B5250" s="17"/>
      <c r="C5250" s="15"/>
      <c r="D5250" s="15"/>
      <c r="E5250" s="18"/>
    </row>
    <row r="5251" spans="2:5" x14ac:dyDescent="0.4">
      <c r="B5251" s="17"/>
      <c r="C5251" s="15"/>
      <c r="D5251" s="15"/>
      <c r="E5251" s="18"/>
    </row>
    <row r="5252" spans="2:5" x14ac:dyDescent="0.4">
      <c r="B5252" s="17"/>
      <c r="C5252" s="15"/>
      <c r="D5252" s="15"/>
      <c r="E5252" s="18"/>
    </row>
    <row r="5253" spans="2:5" x14ac:dyDescent="0.4">
      <c r="B5253" s="17"/>
      <c r="C5253" s="15"/>
      <c r="D5253" s="15"/>
      <c r="E5253" s="18"/>
    </row>
    <row r="5254" spans="2:5" x14ac:dyDescent="0.4">
      <c r="B5254" s="17"/>
      <c r="C5254" s="15"/>
      <c r="D5254" s="15"/>
      <c r="E5254" s="18"/>
    </row>
    <row r="5255" spans="2:5" x14ac:dyDescent="0.4">
      <c r="B5255" s="17"/>
      <c r="C5255" s="15"/>
      <c r="D5255" s="15"/>
      <c r="E5255" s="18"/>
    </row>
    <row r="5256" spans="2:5" x14ac:dyDescent="0.4">
      <c r="B5256" s="17"/>
      <c r="C5256" s="15"/>
      <c r="D5256" s="15"/>
      <c r="E5256" s="18"/>
    </row>
    <row r="5257" spans="2:5" x14ac:dyDescent="0.4">
      <c r="B5257" s="17"/>
      <c r="C5257" s="15"/>
      <c r="D5257" s="15"/>
      <c r="E5257" s="18"/>
    </row>
    <row r="5258" spans="2:5" x14ac:dyDescent="0.4">
      <c r="B5258" s="17"/>
      <c r="C5258" s="15"/>
      <c r="D5258" s="15"/>
      <c r="E5258" s="18"/>
    </row>
    <row r="5259" spans="2:5" x14ac:dyDescent="0.4">
      <c r="B5259" s="17"/>
      <c r="C5259" s="15"/>
      <c r="D5259" s="15"/>
      <c r="E5259" s="18"/>
    </row>
    <row r="5260" spans="2:5" x14ac:dyDescent="0.4">
      <c r="B5260" s="17"/>
      <c r="C5260" s="15"/>
      <c r="D5260" s="15"/>
      <c r="E5260" s="18"/>
    </row>
    <row r="5261" spans="2:5" x14ac:dyDescent="0.4">
      <c r="B5261" s="17"/>
      <c r="C5261" s="15"/>
      <c r="D5261" s="15"/>
      <c r="E5261" s="18"/>
    </row>
    <row r="5262" spans="2:5" x14ac:dyDescent="0.4">
      <c r="B5262" s="17"/>
      <c r="C5262" s="15"/>
      <c r="D5262" s="15"/>
      <c r="E5262" s="18"/>
    </row>
    <row r="5263" spans="2:5" x14ac:dyDescent="0.4">
      <c r="B5263" s="17"/>
      <c r="C5263" s="15"/>
      <c r="D5263" s="15"/>
      <c r="E5263" s="18"/>
    </row>
    <row r="5264" spans="2:5" x14ac:dyDescent="0.4">
      <c r="B5264" s="17"/>
      <c r="C5264" s="15"/>
      <c r="D5264" s="15"/>
      <c r="E5264" s="18"/>
    </row>
    <row r="5265" spans="2:5" x14ac:dyDescent="0.4">
      <c r="B5265" s="17"/>
      <c r="C5265" s="15"/>
      <c r="D5265" s="15"/>
      <c r="E5265" s="18"/>
    </row>
    <row r="5266" spans="2:5" x14ac:dyDescent="0.4">
      <c r="B5266" s="17"/>
      <c r="C5266" s="15"/>
      <c r="D5266" s="15"/>
      <c r="E5266" s="18"/>
    </row>
    <row r="5267" spans="2:5" x14ac:dyDescent="0.4">
      <c r="B5267" s="17"/>
      <c r="C5267" s="15"/>
      <c r="D5267" s="15"/>
      <c r="E5267" s="18"/>
    </row>
    <row r="5268" spans="2:5" x14ac:dyDescent="0.4">
      <c r="B5268" s="17"/>
      <c r="C5268" s="15"/>
      <c r="D5268" s="15"/>
      <c r="E5268" s="18"/>
    </row>
    <row r="5269" spans="2:5" x14ac:dyDescent="0.4">
      <c r="B5269" s="17"/>
      <c r="C5269" s="15"/>
      <c r="D5269" s="15"/>
      <c r="E5269" s="18"/>
    </row>
    <row r="5270" spans="2:5" x14ac:dyDescent="0.4">
      <c r="B5270" s="17"/>
      <c r="C5270" s="15"/>
      <c r="D5270" s="15"/>
      <c r="E5270" s="18"/>
    </row>
    <row r="5271" spans="2:5" x14ac:dyDescent="0.4">
      <c r="B5271" s="17"/>
      <c r="C5271" s="15"/>
      <c r="D5271" s="15"/>
      <c r="E5271" s="18"/>
    </row>
    <row r="5272" spans="2:5" x14ac:dyDescent="0.4">
      <c r="B5272" s="17"/>
      <c r="C5272" s="15"/>
      <c r="D5272" s="15"/>
      <c r="E5272" s="18"/>
    </row>
    <row r="5273" spans="2:5" x14ac:dyDescent="0.4">
      <c r="B5273" s="17"/>
      <c r="C5273" s="15"/>
      <c r="D5273" s="15"/>
      <c r="E5273" s="18"/>
    </row>
    <row r="5274" spans="2:5" x14ac:dyDescent="0.4">
      <c r="B5274" s="17"/>
      <c r="C5274" s="15"/>
      <c r="D5274" s="15"/>
      <c r="E5274" s="18"/>
    </row>
    <row r="5275" spans="2:5" x14ac:dyDescent="0.4">
      <c r="B5275" s="17"/>
      <c r="C5275" s="15"/>
      <c r="D5275" s="15"/>
      <c r="E5275" s="18"/>
    </row>
    <row r="5276" spans="2:5" x14ac:dyDescent="0.4">
      <c r="B5276" s="17"/>
      <c r="C5276" s="15"/>
      <c r="D5276" s="15"/>
      <c r="E5276" s="18"/>
    </row>
    <row r="5277" spans="2:5" x14ac:dyDescent="0.4">
      <c r="B5277" s="17"/>
      <c r="C5277" s="15"/>
      <c r="D5277" s="15"/>
      <c r="E5277" s="18"/>
    </row>
    <row r="5278" spans="2:5" x14ac:dyDescent="0.4">
      <c r="B5278" s="17"/>
      <c r="C5278" s="15"/>
      <c r="D5278" s="15"/>
      <c r="E5278" s="18"/>
    </row>
    <row r="5279" spans="2:5" x14ac:dyDescent="0.4">
      <c r="B5279" s="17"/>
      <c r="C5279" s="15"/>
      <c r="D5279" s="15"/>
      <c r="E5279" s="18"/>
    </row>
    <row r="5280" spans="2:5" x14ac:dyDescent="0.4">
      <c r="B5280" s="17"/>
      <c r="C5280" s="15"/>
      <c r="D5280" s="15"/>
      <c r="E5280" s="18"/>
    </row>
    <row r="5281" spans="2:5" x14ac:dyDescent="0.4">
      <c r="B5281" s="17"/>
      <c r="C5281" s="15"/>
      <c r="D5281" s="15"/>
      <c r="E5281" s="18"/>
    </row>
    <row r="5282" spans="2:5" x14ac:dyDescent="0.4">
      <c r="B5282" s="17"/>
      <c r="C5282" s="15"/>
      <c r="D5282" s="15"/>
      <c r="E5282" s="18"/>
    </row>
    <row r="5283" spans="2:5" x14ac:dyDescent="0.4">
      <c r="B5283" s="17"/>
      <c r="C5283" s="15"/>
      <c r="D5283" s="15"/>
      <c r="E5283" s="18"/>
    </row>
    <row r="5284" spans="2:5" x14ac:dyDescent="0.4">
      <c r="B5284" s="17"/>
      <c r="C5284" s="15"/>
      <c r="D5284" s="15"/>
      <c r="E5284" s="18"/>
    </row>
    <row r="5285" spans="2:5" x14ac:dyDescent="0.4">
      <c r="B5285" s="17"/>
      <c r="C5285" s="15"/>
      <c r="D5285" s="15"/>
      <c r="E5285" s="18"/>
    </row>
    <row r="5286" spans="2:5" x14ac:dyDescent="0.4">
      <c r="B5286" s="17"/>
      <c r="C5286" s="15"/>
      <c r="D5286" s="15"/>
      <c r="E5286" s="18"/>
    </row>
    <row r="5287" spans="2:5" x14ac:dyDescent="0.4">
      <c r="B5287" s="17"/>
      <c r="C5287" s="15"/>
      <c r="D5287" s="15"/>
      <c r="E5287" s="18"/>
    </row>
    <row r="5288" spans="2:5" x14ac:dyDescent="0.4">
      <c r="B5288" s="17"/>
      <c r="C5288" s="15"/>
      <c r="D5288" s="15"/>
      <c r="E5288" s="18"/>
    </row>
    <row r="5289" spans="2:5" x14ac:dyDescent="0.4">
      <c r="B5289" s="17"/>
      <c r="C5289" s="15"/>
      <c r="D5289" s="15"/>
      <c r="E5289" s="18"/>
    </row>
    <row r="5290" spans="2:5" x14ac:dyDescent="0.4">
      <c r="B5290" s="17"/>
      <c r="C5290" s="15"/>
      <c r="D5290" s="15"/>
      <c r="E5290" s="18"/>
    </row>
    <row r="5291" spans="2:5" x14ac:dyDescent="0.4">
      <c r="B5291" s="17"/>
      <c r="C5291" s="15"/>
      <c r="D5291" s="15"/>
      <c r="E5291" s="18"/>
    </row>
    <row r="5292" spans="2:5" x14ac:dyDescent="0.4">
      <c r="B5292" s="17"/>
      <c r="C5292" s="15"/>
      <c r="D5292" s="15"/>
      <c r="E5292" s="18"/>
    </row>
    <row r="5293" spans="2:5" x14ac:dyDescent="0.4">
      <c r="B5293" s="17"/>
      <c r="C5293" s="15"/>
      <c r="D5293" s="15"/>
      <c r="E5293" s="18"/>
    </row>
    <row r="5294" spans="2:5" x14ac:dyDescent="0.4">
      <c r="B5294" s="17"/>
      <c r="C5294" s="15"/>
      <c r="D5294" s="15"/>
      <c r="E5294" s="18"/>
    </row>
    <row r="5295" spans="2:5" x14ac:dyDescent="0.4">
      <c r="B5295" s="17"/>
      <c r="C5295" s="15"/>
      <c r="D5295" s="15"/>
      <c r="E5295" s="18"/>
    </row>
    <row r="5296" spans="2:5" x14ac:dyDescent="0.4">
      <c r="B5296" s="17"/>
      <c r="C5296" s="15"/>
      <c r="D5296" s="15"/>
      <c r="E5296" s="18"/>
    </row>
    <row r="5297" spans="2:5" x14ac:dyDescent="0.4">
      <c r="B5297" s="17"/>
      <c r="C5297" s="15"/>
      <c r="D5297" s="15"/>
      <c r="E5297" s="18"/>
    </row>
    <row r="5298" spans="2:5" x14ac:dyDescent="0.4">
      <c r="B5298" s="17"/>
      <c r="C5298" s="15"/>
      <c r="D5298" s="15"/>
      <c r="E5298" s="18"/>
    </row>
    <row r="5299" spans="2:5" x14ac:dyDescent="0.4">
      <c r="B5299" s="17"/>
      <c r="C5299" s="15"/>
      <c r="D5299" s="15"/>
      <c r="E5299" s="18"/>
    </row>
    <row r="5300" spans="2:5" x14ac:dyDescent="0.4">
      <c r="B5300" s="17"/>
      <c r="C5300" s="15"/>
      <c r="D5300" s="15"/>
      <c r="E5300" s="18"/>
    </row>
    <row r="5301" spans="2:5" x14ac:dyDescent="0.4">
      <c r="B5301" s="17"/>
      <c r="C5301" s="15"/>
      <c r="D5301" s="15"/>
      <c r="E5301" s="18"/>
    </row>
    <row r="5302" spans="2:5" x14ac:dyDescent="0.4">
      <c r="B5302" s="17"/>
      <c r="C5302" s="15"/>
      <c r="D5302" s="15"/>
      <c r="E5302" s="18"/>
    </row>
    <row r="5303" spans="2:5" x14ac:dyDescent="0.4">
      <c r="B5303" s="17"/>
      <c r="C5303" s="15"/>
      <c r="D5303" s="15"/>
      <c r="E5303" s="18"/>
    </row>
    <row r="5304" spans="2:5" x14ac:dyDescent="0.4">
      <c r="B5304" s="17"/>
      <c r="C5304" s="15"/>
      <c r="D5304" s="15"/>
      <c r="E5304" s="18"/>
    </row>
    <row r="5305" spans="2:5" x14ac:dyDescent="0.4">
      <c r="B5305" s="17"/>
      <c r="C5305" s="15"/>
      <c r="D5305" s="15"/>
      <c r="E5305" s="18"/>
    </row>
    <row r="5306" spans="2:5" x14ac:dyDescent="0.4">
      <c r="B5306" s="17"/>
      <c r="C5306" s="15"/>
      <c r="D5306" s="15"/>
      <c r="E5306" s="18"/>
    </row>
    <row r="5307" spans="2:5" x14ac:dyDescent="0.4">
      <c r="B5307" s="17"/>
      <c r="C5307" s="15"/>
      <c r="D5307" s="15"/>
      <c r="E5307" s="18"/>
    </row>
    <row r="5308" spans="2:5" x14ac:dyDescent="0.4">
      <c r="B5308" s="17"/>
      <c r="C5308" s="15"/>
      <c r="D5308" s="15"/>
      <c r="E5308" s="18"/>
    </row>
    <row r="5309" spans="2:5" x14ac:dyDescent="0.4">
      <c r="B5309" s="17"/>
      <c r="C5309" s="15"/>
      <c r="D5309" s="15"/>
      <c r="E5309" s="18"/>
    </row>
    <row r="5310" spans="2:5" x14ac:dyDescent="0.4">
      <c r="B5310" s="17"/>
      <c r="C5310" s="15"/>
      <c r="D5310" s="15"/>
      <c r="E5310" s="18"/>
    </row>
    <row r="5311" spans="2:5" x14ac:dyDescent="0.4">
      <c r="B5311" s="17"/>
      <c r="C5311" s="15"/>
      <c r="D5311" s="15"/>
      <c r="E5311" s="18"/>
    </row>
    <row r="5312" spans="2:5" x14ac:dyDescent="0.4">
      <c r="B5312" s="17"/>
      <c r="C5312" s="15"/>
      <c r="D5312" s="15"/>
      <c r="E5312" s="18"/>
    </row>
    <row r="5313" spans="2:5" x14ac:dyDescent="0.4">
      <c r="B5313" s="17"/>
      <c r="C5313" s="15"/>
      <c r="D5313" s="15"/>
      <c r="E5313" s="18"/>
    </row>
    <row r="5314" spans="2:5" x14ac:dyDescent="0.4">
      <c r="B5314" s="17"/>
      <c r="C5314" s="15"/>
      <c r="D5314" s="15"/>
      <c r="E5314" s="18"/>
    </row>
    <row r="5315" spans="2:5" x14ac:dyDescent="0.4">
      <c r="B5315" s="17"/>
      <c r="C5315" s="15"/>
      <c r="D5315" s="15"/>
      <c r="E5315" s="18"/>
    </row>
    <row r="5316" spans="2:5" x14ac:dyDescent="0.4">
      <c r="B5316" s="17"/>
      <c r="C5316" s="15"/>
      <c r="D5316" s="15"/>
      <c r="E5316" s="18"/>
    </row>
    <row r="5317" spans="2:5" x14ac:dyDescent="0.4">
      <c r="B5317" s="17"/>
      <c r="C5317" s="15"/>
      <c r="D5317" s="15"/>
      <c r="E5317" s="18"/>
    </row>
    <row r="5318" spans="2:5" x14ac:dyDescent="0.4">
      <c r="B5318" s="17"/>
      <c r="C5318" s="15"/>
      <c r="D5318" s="15"/>
      <c r="E5318" s="18"/>
    </row>
    <row r="5319" spans="2:5" x14ac:dyDescent="0.4">
      <c r="B5319" s="17"/>
      <c r="C5319" s="15"/>
      <c r="D5319" s="15"/>
      <c r="E5319" s="18"/>
    </row>
    <row r="5320" spans="2:5" x14ac:dyDescent="0.4">
      <c r="B5320" s="17"/>
      <c r="C5320" s="15"/>
      <c r="D5320" s="15"/>
      <c r="E5320" s="18"/>
    </row>
    <row r="5321" spans="2:5" x14ac:dyDescent="0.4">
      <c r="B5321" s="17"/>
      <c r="C5321" s="15"/>
      <c r="D5321" s="15"/>
      <c r="E5321" s="18"/>
    </row>
    <row r="5322" spans="2:5" x14ac:dyDescent="0.4">
      <c r="B5322" s="17"/>
      <c r="C5322" s="15"/>
      <c r="D5322" s="15"/>
      <c r="E5322" s="18"/>
    </row>
    <row r="5323" spans="2:5" x14ac:dyDescent="0.4">
      <c r="B5323" s="17"/>
      <c r="C5323" s="15"/>
      <c r="D5323" s="15"/>
      <c r="E5323" s="18"/>
    </row>
    <row r="5324" spans="2:5" x14ac:dyDescent="0.4">
      <c r="B5324" s="17"/>
      <c r="C5324" s="15"/>
      <c r="D5324" s="15"/>
      <c r="E5324" s="18"/>
    </row>
    <row r="5325" spans="2:5" x14ac:dyDescent="0.4">
      <c r="B5325" s="17"/>
      <c r="C5325" s="15"/>
      <c r="D5325" s="15"/>
      <c r="E5325" s="18"/>
    </row>
    <row r="5326" spans="2:5" x14ac:dyDescent="0.4">
      <c r="B5326" s="17"/>
      <c r="C5326" s="15"/>
      <c r="D5326" s="15"/>
      <c r="E5326" s="18"/>
    </row>
    <row r="5327" spans="2:5" x14ac:dyDescent="0.4">
      <c r="B5327" s="17"/>
      <c r="C5327" s="15"/>
      <c r="D5327" s="15"/>
      <c r="E5327" s="18"/>
    </row>
    <row r="5328" spans="2:5" x14ac:dyDescent="0.4">
      <c r="B5328" s="17"/>
      <c r="C5328" s="15"/>
      <c r="D5328" s="15"/>
      <c r="E5328" s="18"/>
    </row>
    <row r="5329" spans="2:5" x14ac:dyDescent="0.4">
      <c r="B5329" s="17"/>
      <c r="C5329" s="15"/>
      <c r="D5329" s="15"/>
      <c r="E5329" s="18"/>
    </row>
    <row r="5330" spans="2:5" x14ac:dyDescent="0.4">
      <c r="B5330" s="17"/>
      <c r="C5330" s="15"/>
      <c r="D5330" s="15"/>
      <c r="E5330" s="18"/>
    </row>
    <row r="5331" spans="2:5" x14ac:dyDescent="0.4">
      <c r="B5331" s="17"/>
      <c r="C5331" s="15"/>
      <c r="D5331" s="15"/>
      <c r="E5331" s="18"/>
    </row>
    <row r="5332" spans="2:5" x14ac:dyDescent="0.4">
      <c r="B5332" s="17"/>
      <c r="C5332" s="15"/>
      <c r="D5332" s="15"/>
      <c r="E5332" s="18"/>
    </row>
    <row r="5333" spans="2:5" x14ac:dyDescent="0.4">
      <c r="B5333" s="17"/>
      <c r="C5333" s="15"/>
      <c r="D5333" s="15"/>
      <c r="E5333" s="18"/>
    </row>
    <row r="5334" spans="2:5" x14ac:dyDescent="0.4">
      <c r="B5334" s="17"/>
      <c r="C5334" s="15"/>
      <c r="D5334" s="15"/>
      <c r="E5334" s="18"/>
    </row>
    <row r="5335" spans="2:5" x14ac:dyDescent="0.4">
      <c r="B5335" s="17"/>
      <c r="C5335" s="15"/>
      <c r="D5335" s="15"/>
      <c r="E5335" s="18"/>
    </row>
    <row r="5336" spans="2:5" x14ac:dyDescent="0.4">
      <c r="B5336" s="17"/>
      <c r="C5336" s="15"/>
      <c r="D5336" s="15"/>
      <c r="E5336" s="18"/>
    </row>
    <row r="5337" spans="2:5" x14ac:dyDescent="0.4">
      <c r="B5337" s="17"/>
      <c r="C5337" s="15"/>
      <c r="D5337" s="15"/>
      <c r="E5337" s="18"/>
    </row>
    <row r="5338" spans="2:5" x14ac:dyDescent="0.4">
      <c r="B5338" s="17"/>
      <c r="C5338" s="15"/>
      <c r="D5338" s="15"/>
      <c r="E5338" s="18"/>
    </row>
    <row r="5339" spans="2:5" x14ac:dyDescent="0.4">
      <c r="B5339" s="17"/>
      <c r="C5339" s="15"/>
      <c r="D5339" s="15"/>
      <c r="E5339" s="18"/>
    </row>
    <row r="5340" spans="2:5" x14ac:dyDescent="0.4">
      <c r="B5340" s="17"/>
      <c r="C5340" s="15"/>
      <c r="D5340" s="15"/>
      <c r="E5340" s="18"/>
    </row>
    <row r="5341" spans="2:5" x14ac:dyDescent="0.4">
      <c r="B5341" s="17"/>
      <c r="C5341" s="15"/>
      <c r="D5341" s="15"/>
      <c r="E5341" s="18"/>
    </row>
    <row r="5342" spans="2:5" x14ac:dyDescent="0.4">
      <c r="B5342" s="17"/>
      <c r="C5342" s="15"/>
      <c r="D5342" s="15"/>
      <c r="E5342" s="18"/>
    </row>
    <row r="5343" spans="2:5" x14ac:dyDescent="0.4">
      <c r="B5343" s="17"/>
      <c r="C5343" s="15"/>
      <c r="D5343" s="15"/>
      <c r="E5343" s="18"/>
    </row>
    <row r="5344" spans="2:5" x14ac:dyDescent="0.4">
      <c r="B5344" s="17"/>
      <c r="C5344" s="15"/>
      <c r="D5344" s="15"/>
      <c r="E5344" s="18"/>
    </row>
    <row r="5345" spans="2:5" x14ac:dyDescent="0.4">
      <c r="B5345" s="17"/>
      <c r="C5345" s="15"/>
      <c r="D5345" s="15"/>
      <c r="E5345" s="18"/>
    </row>
    <row r="5346" spans="2:5" x14ac:dyDescent="0.4">
      <c r="B5346" s="17"/>
      <c r="C5346" s="15"/>
      <c r="D5346" s="15"/>
      <c r="E5346" s="18"/>
    </row>
    <row r="5347" spans="2:5" x14ac:dyDescent="0.4">
      <c r="B5347" s="17"/>
      <c r="C5347" s="15"/>
      <c r="D5347" s="15"/>
      <c r="E5347" s="18"/>
    </row>
    <row r="5348" spans="2:5" x14ac:dyDescent="0.4">
      <c r="B5348" s="17"/>
      <c r="C5348" s="15"/>
      <c r="D5348" s="15"/>
      <c r="E5348" s="18"/>
    </row>
    <row r="5349" spans="2:5" x14ac:dyDescent="0.4">
      <c r="B5349" s="17"/>
      <c r="C5349" s="15"/>
      <c r="D5349" s="15"/>
      <c r="E5349" s="18"/>
    </row>
    <row r="5350" spans="2:5" x14ac:dyDescent="0.4">
      <c r="B5350" s="17"/>
      <c r="C5350" s="15"/>
      <c r="D5350" s="15"/>
      <c r="E5350" s="18"/>
    </row>
    <row r="5351" spans="2:5" x14ac:dyDescent="0.4">
      <c r="B5351" s="17"/>
      <c r="C5351" s="15"/>
      <c r="D5351" s="15"/>
      <c r="E5351" s="18"/>
    </row>
    <row r="5352" spans="2:5" x14ac:dyDescent="0.4">
      <c r="B5352" s="17"/>
      <c r="C5352" s="15"/>
      <c r="D5352" s="15"/>
      <c r="E5352" s="18"/>
    </row>
    <row r="5353" spans="2:5" x14ac:dyDescent="0.4">
      <c r="B5353" s="17"/>
      <c r="C5353" s="15"/>
      <c r="D5353" s="15"/>
      <c r="E5353" s="18"/>
    </row>
    <row r="5354" spans="2:5" x14ac:dyDescent="0.4">
      <c r="B5354" s="17"/>
      <c r="C5354" s="15"/>
      <c r="D5354" s="15"/>
      <c r="E5354" s="18"/>
    </row>
    <row r="5355" spans="2:5" x14ac:dyDescent="0.4">
      <c r="B5355" s="17"/>
      <c r="C5355" s="15"/>
      <c r="D5355" s="15"/>
      <c r="E5355" s="18"/>
    </row>
    <row r="5356" spans="2:5" x14ac:dyDescent="0.4">
      <c r="B5356" s="17"/>
      <c r="C5356" s="15"/>
      <c r="D5356" s="15"/>
      <c r="E5356" s="18"/>
    </row>
    <row r="5357" spans="2:5" x14ac:dyDescent="0.4">
      <c r="B5357" s="17"/>
      <c r="C5357" s="15"/>
      <c r="D5357" s="15"/>
      <c r="E5357" s="18"/>
    </row>
    <row r="5358" spans="2:5" x14ac:dyDescent="0.4">
      <c r="B5358" s="17"/>
      <c r="C5358" s="15"/>
      <c r="D5358" s="15"/>
      <c r="E5358" s="18"/>
    </row>
    <row r="5359" spans="2:5" x14ac:dyDescent="0.4">
      <c r="B5359" s="17"/>
      <c r="C5359" s="15"/>
      <c r="D5359" s="15"/>
      <c r="E5359" s="18"/>
    </row>
    <row r="5360" spans="2:5" x14ac:dyDescent="0.4">
      <c r="B5360" s="17"/>
      <c r="C5360" s="15"/>
      <c r="D5360" s="15"/>
      <c r="E5360" s="18"/>
    </row>
    <row r="5361" spans="2:5" x14ac:dyDescent="0.4">
      <c r="B5361" s="17"/>
      <c r="C5361" s="15"/>
      <c r="D5361" s="15"/>
      <c r="E5361" s="18"/>
    </row>
    <row r="5362" spans="2:5" x14ac:dyDescent="0.4">
      <c r="B5362" s="17"/>
      <c r="C5362" s="15"/>
      <c r="D5362" s="15"/>
      <c r="E5362" s="18"/>
    </row>
    <row r="5363" spans="2:5" x14ac:dyDescent="0.4">
      <c r="B5363" s="17"/>
      <c r="C5363" s="15"/>
      <c r="D5363" s="15"/>
      <c r="E5363" s="18"/>
    </row>
    <row r="5364" spans="2:5" x14ac:dyDescent="0.4">
      <c r="B5364" s="17"/>
      <c r="C5364" s="15"/>
      <c r="D5364" s="15"/>
      <c r="E5364" s="18"/>
    </row>
    <row r="5365" spans="2:5" x14ac:dyDescent="0.4">
      <c r="B5365" s="17"/>
      <c r="C5365" s="15"/>
      <c r="D5365" s="15"/>
      <c r="E5365" s="18"/>
    </row>
    <row r="5366" spans="2:5" x14ac:dyDescent="0.4">
      <c r="B5366" s="17"/>
      <c r="C5366" s="15"/>
      <c r="D5366" s="15"/>
      <c r="E5366" s="18"/>
    </row>
    <row r="5367" spans="2:5" x14ac:dyDescent="0.4">
      <c r="B5367" s="17"/>
      <c r="C5367" s="15"/>
      <c r="D5367" s="15"/>
      <c r="E5367" s="18"/>
    </row>
    <row r="5368" spans="2:5" x14ac:dyDescent="0.4">
      <c r="B5368" s="17"/>
      <c r="C5368" s="15"/>
      <c r="D5368" s="15"/>
      <c r="E5368" s="18"/>
    </row>
    <row r="5369" spans="2:5" x14ac:dyDescent="0.4">
      <c r="B5369" s="17"/>
      <c r="C5369" s="15"/>
      <c r="D5369" s="15"/>
      <c r="E5369" s="18"/>
    </row>
    <row r="5370" spans="2:5" x14ac:dyDescent="0.4">
      <c r="B5370" s="17"/>
      <c r="C5370" s="15"/>
      <c r="D5370" s="15"/>
      <c r="E5370" s="18"/>
    </row>
    <row r="5371" spans="2:5" x14ac:dyDescent="0.4">
      <c r="B5371" s="17"/>
      <c r="C5371" s="15"/>
      <c r="D5371" s="15"/>
      <c r="E5371" s="18"/>
    </row>
    <row r="5372" spans="2:5" x14ac:dyDescent="0.4">
      <c r="B5372" s="17"/>
      <c r="C5372" s="15"/>
      <c r="D5372" s="15"/>
      <c r="E5372" s="18"/>
    </row>
    <row r="5373" spans="2:5" x14ac:dyDescent="0.4">
      <c r="B5373" s="17"/>
      <c r="C5373" s="15"/>
      <c r="D5373" s="15"/>
      <c r="E5373" s="18"/>
    </row>
    <row r="5374" spans="2:5" x14ac:dyDescent="0.4">
      <c r="B5374" s="17"/>
      <c r="C5374" s="15"/>
      <c r="D5374" s="15"/>
      <c r="E5374" s="18"/>
    </row>
    <row r="5375" spans="2:5" x14ac:dyDescent="0.4">
      <c r="B5375" s="17"/>
      <c r="C5375" s="15"/>
      <c r="D5375" s="15"/>
      <c r="E5375" s="18"/>
    </row>
    <row r="5376" spans="2:5" x14ac:dyDescent="0.4">
      <c r="B5376" s="17"/>
      <c r="C5376" s="15"/>
      <c r="D5376" s="15"/>
      <c r="E5376" s="18"/>
    </row>
    <row r="5377" spans="2:5" x14ac:dyDescent="0.4">
      <c r="B5377" s="17"/>
      <c r="C5377" s="15"/>
      <c r="D5377" s="15"/>
      <c r="E5377" s="18"/>
    </row>
    <row r="5378" spans="2:5" x14ac:dyDescent="0.4">
      <c r="B5378" s="17"/>
      <c r="C5378" s="15"/>
      <c r="D5378" s="15"/>
      <c r="E5378" s="18"/>
    </row>
    <row r="5379" spans="2:5" x14ac:dyDescent="0.4">
      <c r="B5379" s="17"/>
      <c r="C5379" s="15"/>
      <c r="D5379" s="15"/>
      <c r="E5379" s="18"/>
    </row>
    <row r="5380" spans="2:5" x14ac:dyDescent="0.4">
      <c r="B5380" s="17"/>
      <c r="C5380" s="15"/>
      <c r="D5380" s="15"/>
      <c r="E5380" s="18"/>
    </row>
    <row r="5381" spans="2:5" x14ac:dyDescent="0.4">
      <c r="B5381" s="17"/>
      <c r="C5381" s="15"/>
      <c r="D5381" s="15"/>
      <c r="E5381" s="18"/>
    </row>
    <row r="5382" spans="2:5" x14ac:dyDescent="0.4">
      <c r="B5382" s="17"/>
      <c r="C5382" s="15"/>
      <c r="D5382" s="15"/>
      <c r="E5382" s="18"/>
    </row>
    <row r="5383" spans="2:5" x14ac:dyDescent="0.4">
      <c r="B5383" s="17"/>
      <c r="C5383" s="15"/>
      <c r="D5383" s="15"/>
      <c r="E5383" s="18"/>
    </row>
    <row r="5384" spans="2:5" x14ac:dyDescent="0.4">
      <c r="B5384" s="17"/>
      <c r="C5384" s="15"/>
      <c r="D5384" s="15"/>
      <c r="E5384" s="18"/>
    </row>
    <row r="5385" spans="2:5" x14ac:dyDescent="0.4">
      <c r="B5385" s="17"/>
      <c r="C5385" s="15"/>
      <c r="D5385" s="15"/>
      <c r="E5385" s="18"/>
    </row>
    <row r="5386" spans="2:5" x14ac:dyDescent="0.4">
      <c r="B5386" s="17"/>
      <c r="C5386" s="15"/>
      <c r="D5386" s="15"/>
      <c r="E5386" s="18"/>
    </row>
    <row r="5387" spans="2:5" x14ac:dyDescent="0.4">
      <c r="B5387" s="17"/>
      <c r="C5387" s="15"/>
      <c r="D5387" s="15"/>
      <c r="E5387" s="18"/>
    </row>
    <row r="5388" spans="2:5" x14ac:dyDescent="0.4">
      <c r="B5388" s="17"/>
      <c r="C5388" s="15"/>
      <c r="D5388" s="15"/>
      <c r="E5388" s="18"/>
    </row>
    <row r="5389" spans="2:5" x14ac:dyDescent="0.4">
      <c r="B5389" s="17"/>
      <c r="C5389" s="15"/>
      <c r="D5389" s="15"/>
      <c r="E5389" s="18"/>
    </row>
    <row r="5390" spans="2:5" x14ac:dyDescent="0.4">
      <c r="B5390" s="17"/>
      <c r="C5390" s="15"/>
      <c r="D5390" s="15"/>
      <c r="E5390" s="18"/>
    </row>
    <row r="5391" spans="2:5" x14ac:dyDescent="0.4">
      <c r="B5391" s="17"/>
      <c r="C5391" s="15"/>
      <c r="D5391" s="15"/>
      <c r="E5391" s="18"/>
    </row>
    <row r="5392" spans="2:5" x14ac:dyDescent="0.4">
      <c r="B5392" s="17"/>
      <c r="C5392" s="15"/>
      <c r="D5392" s="15"/>
      <c r="E5392" s="18"/>
    </row>
    <row r="5393" spans="2:5" x14ac:dyDescent="0.4">
      <c r="B5393" s="17"/>
      <c r="C5393" s="15"/>
      <c r="D5393" s="15"/>
      <c r="E5393" s="18"/>
    </row>
    <row r="5394" spans="2:5" x14ac:dyDescent="0.4">
      <c r="B5394" s="17"/>
      <c r="C5394" s="15"/>
      <c r="D5394" s="15"/>
      <c r="E5394" s="18"/>
    </row>
    <row r="5395" spans="2:5" x14ac:dyDescent="0.4">
      <c r="B5395" s="17"/>
      <c r="C5395" s="15"/>
      <c r="D5395" s="15"/>
      <c r="E5395" s="18"/>
    </row>
    <row r="5396" spans="2:5" x14ac:dyDescent="0.4">
      <c r="B5396" s="17"/>
      <c r="C5396" s="15"/>
      <c r="D5396" s="15"/>
      <c r="E5396" s="18"/>
    </row>
    <row r="5397" spans="2:5" x14ac:dyDescent="0.4">
      <c r="B5397" s="17"/>
      <c r="C5397" s="15"/>
      <c r="D5397" s="15"/>
      <c r="E5397" s="18"/>
    </row>
    <row r="5398" spans="2:5" x14ac:dyDescent="0.4">
      <c r="B5398" s="17"/>
      <c r="C5398" s="15"/>
      <c r="D5398" s="15"/>
      <c r="E5398" s="18"/>
    </row>
    <row r="5399" spans="2:5" x14ac:dyDescent="0.4">
      <c r="B5399" s="17"/>
      <c r="C5399" s="15"/>
      <c r="D5399" s="15"/>
      <c r="E5399" s="18"/>
    </row>
    <row r="5400" spans="2:5" x14ac:dyDescent="0.4">
      <c r="B5400" s="17"/>
      <c r="C5400" s="15"/>
      <c r="D5400" s="15"/>
      <c r="E5400" s="18"/>
    </row>
    <row r="5401" spans="2:5" x14ac:dyDescent="0.4">
      <c r="B5401" s="17"/>
      <c r="C5401" s="15"/>
      <c r="D5401" s="15"/>
      <c r="E5401" s="18"/>
    </row>
    <row r="5402" spans="2:5" x14ac:dyDescent="0.4">
      <c r="B5402" s="17"/>
      <c r="C5402" s="15"/>
      <c r="D5402" s="15"/>
      <c r="E5402" s="18"/>
    </row>
    <row r="5403" spans="2:5" x14ac:dyDescent="0.4">
      <c r="B5403" s="17"/>
      <c r="C5403" s="15"/>
      <c r="D5403" s="15"/>
      <c r="E5403" s="18"/>
    </row>
    <row r="5404" spans="2:5" x14ac:dyDescent="0.4">
      <c r="B5404" s="17"/>
      <c r="C5404" s="15"/>
      <c r="D5404" s="15"/>
      <c r="E5404" s="18"/>
    </row>
    <row r="5405" spans="2:5" x14ac:dyDescent="0.4">
      <c r="B5405" s="17"/>
      <c r="C5405" s="15"/>
      <c r="D5405" s="15"/>
      <c r="E5405" s="18"/>
    </row>
    <row r="5406" spans="2:5" x14ac:dyDescent="0.4">
      <c r="B5406" s="17"/>
      <c r="C5406" s="15"/>
      <c r="D5406" s="15"/>
      <c r="E5406" s="18"/>
    </row>
    <row r="5407" spans="2:5" x14ac:dyDescent="0.4">
      <c r="B5407" s="17"/>
      <c r="C5407" s="15"/>
      <c r="D5407" s="15"/>
      <c r="E5407" s="18"/>
    </row>
    <row r="5408" spans="2:5" x14ac:dyDescent="0.4">
      <c r="B5408" s="17"/>
      <c r="C5408" s="15"/>
      <c r="D5408" s="15"/>
      <c r="E5408" s="18"/>
    </row>
    <row r="5409" spans="2:5" x14ac:dyDescent="0.4">
      <c r="B5409" s="17"/>
      <c r="C5409" s="15"/>
      <c r="D5409" s="15"/>
      <c r="E5409" s="18"/>
    </row>
    <row r="5410" spans="2:5" x14ac:dyDescent="0.4">
      <c r="B5410" s="17"/>
      <c r="C5410" s="15"/>
      <c r="D5410" s="15"/>
      <c r="E5410" s="18"/>
    </row>
    <row r="5411" spans="2:5" x14ac:dyDescent="0.4">
      <c r="B5411" s="17"/>
      <c r="C5411" s="15"/>
      <c r="D5411" s="15"/>
      <c r="E5411" s="18"/>
    </row>
    <row r="5412" spans="2:5" x14ac:dyDescent="0.4">
      <c r="B5412" s="17"/>
      <c r="C5412" s="15"/>
      <c r="D5412" s="15"/>
      <c r="E5412" s="18"/>
    </row>
    <row r="5413" spans="2:5" x14ac:dyDescent="0.4">
      <c r="B5413" s="17"/>
      <c r="C5413" s="15"/>
      <c r="D5413" s="15"/>
      <c r="E5413" s="18"/>
    </row>
    <row r="5414" spans="2:5" x14ac:dyDescent="0.4">
      <c r="B5414" s="17"/>
      <c r="C5414" s="15"/>
      <c r="D5414" s="15"/>
      <c r="E5414" s="18"/>
    </row>
    <row r="5415" spans="2:5" x14ac:dyDescent="0.4">
      <c r="B5415" s="17"/>
      <c r="C5415" s="15"/>
      <c r="D5415" s="15"/>
      <c r="E5415" s="18"/>
    </row>
    <row r="5416" spans="2:5" x14ac:dyDescent="0.4">
      <c r="B5416" s="17"/>
      <c r="C5416" s="15"/>
      <c r="D5416" s="15"/>
      <c r="E5416" s="18"/>
    </row>
    <row r="5417" spans="2:5" x14ac:dyDescent="0.4">
      <c r="B5417" s="17"/>
      <c r="C5417" s="15"/>
      <c r="D5417" s="15"/>
      <c r="E5417" s="18"/>
    </row>
    <row r="5418" spans="2:5" x14ac:dyDescent="0.4">
      <c r="B5418" s="17"/>
      <c r="C5418" s="15"/>
      <c r="D5418" s="15"/>
      <c r="E5418" s="18"/>
    </row>
    <row r="5419" spans="2:5" x14ac:dyDescent="0.4">
      <c r="B5419" s="17"/>
      <c r="C5419" s="15"/>
      <c r="D5419" s="15"/>
      <c r="E5419" s="18"/>
    </row>
    <row r="5420" spans="2:5" x14ac:dyDescent="0.4">
      <c r="B5420" s="17"/>
      <c r="C5420" s="15"/>
      <c r="D5420" s="15"/>
      <c r="E5420" s="18"/>
    </row>
    <row r="5421" spans="2:5" x14ac:dyDescent="0.4">
      <c r="B5421" s="17"/>
      <c r="C5421" s="15"/>
      <c r="D5421" s="15"/>
      <c r="E5421" s="18"/>
    </row>
    <row r="5422" spans="2:5" x14ac:dyDescent="0.4">
      <c r="B5422" s="17"/>
      <c r="C5422" s="15"/>
      <c r="D5422" s="15"/>
      <c r="E5422" s="18"/>
    </row>
    <row r="5423" spans="2:5" x14ac:dyDescent="0.4">
      <c r="B5423" s="17"/>
      <c r="C5423" s="15"/>
      <c r="D5423" s="15"/>
      <c r="E5423" s="18"/>
    </row>
    <row r="5424" spans="2:5" x14ac:dyDescent="0.4">
      <c r="B5424" s="17"/>
      <c r="C5424" s="15"/>
      <c r="D5424" s="15"/>
      <c r="E5424" s="18"/>
    </row>
    <row r="5425" spans="2:5" x14ac:dyDescent="0.4">
      <c r="B5425" s="17"/>
      <c r="C5425" s="15"/>
      <c r="D5425" s="15"/>
      <c r="E5425" s="18"/>
    </row>
    <row r="5426" spans="2:5" x14ac:dyDescent="0.4">
      <c r="B5426" s="17"/>
      <c r="C5426" s="15"/>
      <c r="D5426" s="15"/>
      <c r="E5426" s="18"/>
    </row>
    <row r="5427" spans="2:5" x14ac:dyDescent="0.4">
      <c r="B5427" s="17"/>
      <c r="C5427" s="15"/>
      <c r="D5427" s="15"/>
      <c r="E5427" s="18"/>
    </row>
    <row r="5428" spans="2:5" x14ac:dyDescent="0.4">
      <c r="B5428" s="17"/>
      <c r="C5428" s="15"/>
      <c r="D5428" s="15"/>
      <c r="E5428" s="18"/>
    </row>
    <row r="5429" spans="2:5" x14ac:dyDescent="0.4">
      <c r="B5429" s="17"/>
      <c r="C5429" s="15"/>
      <c r="D5429" s="15"/>
      <c r="E5429" s="18"/>
    </row>
    <row r="5430" spans="2:5" x14ac:dyDescent="0.4">
      <c r="B5430" s="17"/>
      <c r="C5430" s="15"/>
      <c r="D5430" s="15"/>
      <c r="E5430" s="18"/>
    </row>
    <row r="5431" spans="2:5" x14ac:dyDescent="0.4">
      <c r="B5431" s="17"/>
      <c r="C5431" s="15"/>
      <c r="D5431" s="15"/>
      <c r="E5431" s="18"/>
    </row>
    <row r="5432" spans="2:5" x14ac:dyDescent="0.4">
      <c r="B5432" s="17"/>
      <c r="C5432" s="15"/>
      <c r="D5432" s="15"/>
      <c r="E5432" s="18"/>
    </row>
    <row r="5433" spans="2:5" x14ac:dyDescent="0.4">
      <c r="B5433" s="17"/>
      <c r="C5433" s="15"/>
      <c r="D5433" s="15"/>
      <c r="E5433" s="18"/>
    </row>
    <row r="5434" spans="2:5" x14ac:dyDescent="0.4">
      <c r="B5434" s="17"/>
      <c r="C5434" s="15"/>
      <c r="D5434" s="15"/>
      <c r="E5434" s="18"/>
    </row>
    <row r="5435" spans="2:5" x14ac:dyDescent="0.4">
      <c r="B5435" s="17"/>
      <c r="C5435" s="15"/>
      <c r="D5435" s="15"/>
      <c r="E5435" s="18"/>
    </row>
    <row r="5436" spans="2:5" x14ac:dyDescent="0.4">
      <c r="B5436" s="17"/>
      <c r="C5436" s="15"/>
      <c r="D5436" s="15"/>
      <c r="E5436" s="18"/>
    </row>
    <row r="5437" spans="2:5" x14ac:dyDescent="0.4">
      <c r="B5437" s="17"/>
      <c r="C5437" s="15"/>
      <c r="D5437" s="15"/>
      <c r="E5437" s="18"/>
    </row>
    <row r="5438" spans="2:5" x14ac:dyDescent="0.4">
      <c r="B5438" s="17"/>
      <c r="C5438" s="15"/>
      <c r="D5438" s="15"/>
      <c r="E5438" s="18"/>
    </row>
    <row r="5439" spans="2:5" x14ac:dyDescent="0.4">
      <c r="B5439" s="17"/>
      <c r="C5439" s="15"/>
      <c r="D5439" s="15"/>
      <c r="E5439" s="18"/>
    </row>
    <row r="5440" spans="2:5" x14ac:dyDescent="0.4">
      <c r="B5440" s="17"/>
      <c r="C5440" s="15"/>
      <c r="D5440" s="15"/>
      <c r="E5440" s="18"/>
    </row>
    <row r="5441" spans="2:5" x14ac:dyDescent="0.4">
      <c r="B5441" s="17"/>
      <c r="C5441" s="15"/>
      <c r="D5441" s="15"/>
      <c r="E5441" s="18"/>
    </row>
    <row r="5442" spans="2:5" x14ac:dyDescent="0.4">
      <c r="B5442" s="17"/>
      <c r="C5442" s="15"/>
      <c r="D5442" s="15"/>
      <c r="E5442" s="18"/>
    </row>
    <row r="5443" spans="2:5" x14ac:dyDescent="0.4">
      <c r="B5443" s="17"/>
      <c r="C5443" s="15"/>
      <c r="D5443" s="15"/>
      <c r="E5443" s="18"/>
    </row>
    <row r="5444" spans="2:5" x14ac:dyDescent="0.4">
      <c r="B5444" s="17"/>
      <c r="C5444" s="15"/>
      <c r="D5444" s="15"/>
      <c r="E5444" s="18"/>
    </row>
    <row r="5445" spans="2:5" x14ac:dyDescent="0.4">
      <c r="B5445" s="17"/>
      <c r="C5445" s="15"/>
      <c r="D5445" s="15"/>
      <c r="E5445" s="18"/>
    </row>
    <row r="5446" spans="2:5" x14ac:dyDescent="0.4">
      <c r="B5446" s="17"/>
      <c r="C5446" s="15"/>
      <c r="D5446" s="15"/>
      <c r="E5446" s="18"/>
    </row>
    <row r="5447" spans="2:5" x14ac:dyDescent="0.4">
      <c r="B5447" s="17"/>
      <c r="C5447" s="15"/>
      <c r="D5447" s="15"/>
      <c r="E5447" s="18"/>
    </row>
    <row r="5448" spans="2:5" x14ac:dyDescent="0.4">
      <c r="B5448" s="17"/>
      <c r="C5448" s="15"/>
      <c r="D5448" s="15"/>
      <c r="E5448" s="18"/>
    </row>
    <row r="5449" spans="2:5" x14ac:dyDescent="0.4">
      <c r="B5449" s="17"/>
      <c r="C5449" s="15"/>
      <c r="D5449" s="15"/>
      <c r="E5449" s="18"/>
    </row>
    <row r="5450" spans="2:5" x14ac:dyDescent="0.4">
      <c r="B5450" s="17"/>
      <c r="C5450" s="15"/>
      <c r="D5450" s="15"/>
      <c r="E5450" s="18"/>
    </row>
    <row r="5451" spans="2:5" x14ac:dyDescent="0.4">
      <c r="B5451" s="17"/>
      <c r="C5451" s="15"/>
      <c r="D5451" s="15"/>
      <c r="E5451" s="18"/>
    </row>
    <row r="5452" spans="2:5" x14ac:dyDescent="0.4">
      <c r="B5452" s="17"/>
      <c r="C5452" s="15"/>
      <c r="D5452" s="15"/>
      <c r="E5452" s="18"/>
    </row>
    <row r="5453" spans="2:5" x14ac:dyDescent="0.4">
      <c r="B5453" s="17"/>
      <c r="C5453" s="15"/>
      <c r="D5453" s="15"/>
      <c r="E5453" s="18"/>
    </row>
    <row r="5454" spans="2:5" x14ac:dyDescent="0.4">
      <c r="B5454" s="17"/>
      <c r="C5454" s="15"/>
      <c r="D5454" s="15"/>
      <c r="E5454" s="18"/>
    </row>
    <row r="5455" spans="2:5" x14ac:dyDescent="0.4">
      <c r="B5455" s="17"/>
      <c r="C5455" s="15"/>
      <c r="D5455" s="15"/>
      <c r="E5455" s="18"/>
    </row>
    <row r="5456" spans="2:5" x14ac:dyDescent="0.4">
      <c r="B5456" s="17"/>
      <c r="C5456" s="15"/>
      <c r="D5456" s="15"/>
      <c r="E5456" s="18"/>
    </row>
    <row r="5457" spans="2:5" x14ac:dyDescent="0.4">
      <c r="B5457" s="17"/>
      <c r="C5457" s="15"/>
      <c r="D5457" s="15"/>
      <c r="E5457" s="18"/>
    </row>
    <row r="5458" spans="2:5" x14ac:dyDescent="0.4">
      <c r="B5458" s="17"/>
      <c r="C5458" s="15"/>
      <c r="D5458" s="15"/>
      <c r="E5458" s="18"/>
    </row>
    <row r="5459" spans="2:5" x14ac:dyDescent="0.4">
      <c r="B5459" s="17"/>
      <c r="C5459" s="15"/>
      <c r="D5459" s="15"/>
      <c r="E5459" s="18"/>
    </row>
    <row r="5460" spans="2:5" x14ac:dyDescent="0.4">
      <c r="B5460" s="17"/>
      <c r="C5460" s="15"/>
      <c r="D5460" s="15"/>
      <c r="E5460" s="18"/>
    </row>
    <row r="5461" spans="2:5" x14ac:dyDescent="0.4">
      <c r="B5461" s="17"/>
      <c r="C5461" s="15"/>
      <c r="D5461" s="15"/>
      <c r="E5461" s="18"/>
    </row>
    <row r="5462" spans="2:5" x14ac:dyDescent="0.4">
      <c r="B5462" s="17"/>
      <c r="C5462" s="15"/>
      <c r="D5462" s="15"/>
      <c r="E5462" s="18"/>
    </row>
    <row r="5463" spans="2:5" x14ac:dyDescent="0.4">
      <c r="B5463" s="17"/>
      <c r="C5463" s="15"/>
      <c r="D5463" s="15"/>
      <c r="E5463" s="18"/>
    </row>
    <row r="5464" spans="2:5" x14ac:dyDescent="0.4">
      <c r="B5464" s="17"/>
      <c r="C5464" s="15"/>
      <c r="D5464" s="15"/>
      <c r="E5464" s="18"/>
    </row>
    <row r="5465" spans="2:5" x14ac:dyDescent="0.4">
      <c r="B5465" s="17"/>
      <c r="C5465" s="15"/>
      <c r="D5465" s="15"/>
      <c r="E5465" s="18"/>
    </row>
    <row r="5466" spans="2:5" x14ac:dyDescent="0.4">
      <c r="B5466" s="17"/>
      <c r="C5466" s="15"/>
      <c r="D5466" s="15"/>
      <c r="E5466" s="18"/>
    </row>
    <row r="5467" spans="2:5" x14ac:dyDescent="0.4">
      <c r="B5467" s="17"/>
      <c r="C5467" s="15"/>
      <c r="D5467" s="15"/>
      <c r="E5467" s="18"/>
    </row>
    <row r="5468" spans="2:5" x14ac:dyDescent="0.4">
      <c r="B5468" s="17"/>
      <c r="C5468" s="15"/>
      <c r="D5468" s="15"/>
      <c r="E5468" s="18"/>
    </row>
    <row r="5469" spans="2:5" x14ac:dyDescent="0.4">
      <c r="B5469" s="17"/>
      <c r="C5469" s="15"/>
      <c r="D5469" s="15"/>
      <c r="E5469" s="18"/>
    </row>
    <row r="5470" spans="2:5" x14ac:dyDescent="0.4">
      <c r="B5470" s="17"/>
      <c r="C5470" s="15"/>
      <c r="D5470" s="15"/>
      <c r="E5470" s="18"/>
    </row>
    <row r="5471" spans="2:5" x14ac:dyDescent="0.4">
      <c r="B5471" s="17"/>
      <c r="C5471" s="15"/>
      <c r="D5471" s="15"/>
      <c r="E5471" s="18"/>
    </row>
    <row r="5472" spans="2:5" x14ac:dyDescent="0.4">
      <c r="B5472" s="17"/>
      <c r="C5472" s="15"/>
      <c r="D5472" s="15"/>
      <c r="E5472" s="18"/>
    </row>
    <row r="5473" spans="2:5" x14ac:dyDescent="0.4">
      <c r="B5473" s="17"/>
      <c r="C5473" s="15"/>
      <c r="D5473" s="15"/>
      <c r="E5473" s="18"/>
    </row>
    <row r="5474" spans="2:5" x14ac:dyDescent="0.4">
      <c r="B5474" s="17"/>
      <c r="C5474" s="15"/>
      <c r="D5474" s="15"/>
      <c r="E5474" s="18"/>
    </row>
    <row r="5475" spans="2:5" x14ac:dyDescent="0.4">
      <c r="B5475" s="17"/>
      <c r="C5475" s="15"/>
      <c r="D5475" s="15"/>
      <c r="E5475" s="18"/>
    </row>
    <row r="5476" spans="2:5" x14ac:dyDescent="0.4">
      <c r="B5476" s="17"/>
      <c r="C5476" s="15"/>
      <c r="D5476" s="15"/>
      <c r="E5476" s="18"/>
    </row>
    <row r="5477" spans="2:5" x14ac:dyDescent="0.4">
      <c r="B5477" s="17"/>
      <c r="C5477" s="15"/>
      <c r="D5477" s="15"/>
      <c r="E5477" s="18"/>
    </row>
    <row r="5478" spans="2:5" x14ac:dyDescent="0.4">
      <c r="B5478" s="17"/>
      <c r="C5478" s="15"/>
      <c r="D5478" s="15"/>
      <c r="E5478" s="18"/>
    </row>
    <row r="5479" spans="2:5" x14ac:dyDescent="0.4">
      <c r="B5479" s="17"/>
      <c r="C5479" s="15"/>
      <c r="D5479" s="15"/>
      <c r="E5479" s="18"/>
    </row>
    <row r="5480" spans="2:5" x14ac:dyDescent="0.4">
      <c r="B5480" s="17"/>
      <c r="C5480" s="15"/>
      <c r="D5480" s="15"/>
      <c r="E5480" s="18"/>
    </row>
    <row r="5481" spans="2:5" x14ac:dyDescent="0.4">
      <c r="B5481" s="17"/>
      <c r="C5481" s="15"/>
      <c r="D5481" s="15"/>
      <c r="E5481" s="18"/>
    </row>
    <row r="5482" spans="2:5" x14ac:dyDescent="0.4">
      <c r="B5482" s="17"/>
      <c r="C5482" s="15"/>
      <c r="D5482" s="15"/>
      <c r="E5482" s="18"/>
    </row>
    <row r="5483" spans="2:5" x14ac:dyDescent="0.4">
      <c r="B5483" s="17"/>
      <c r="C5483" s="15"/>
      <c r="D5483" s="15"/>
      <c r="E5483" s="18"/>
    </row>
    <row r="5484" spans="2:5" x14ac:dyDescent="0.4">
      <c r="B5484" s="17"/>
      <c r="C5484" s="15"/>
      <c r="D5484" s="15"/>
      <c r="E5484" s="18"/>
    </row>
    <row r="5485" spans="2:5" x14ac:dyDescent="0.4">
      <c r="B5485" s="17"/>
      <c r="C5485" s="15"/>
      <c r="D5485" s="15"/>
      <c r="E5485" s="18"/>
    </row>
    <row r="5486" spans="2:5" x14ac:dyDescent="0.4">
      <c r="B5486" s="17"/>
      <c r="C5486" s="15"/>
      <c r="D5486" s="15"/>
      <c r="E5486" s="18"/>
    </row>
    <row r="5487" spans="2:5" x14ac:dyDescent="0.4">
      <c r="B5487" s="17"/>
      <c r="C5487" s="15"/>
      <c r="D5487" s="15"/>
      <c r="E5487" s="18"/>
    </row>
    <row r="5488" spans="2:5" x14ac:dyDescent="0.4">
      <c r="B5488" s="17"/>
      <c r="C5488" s="15"/>
      <c r="D5488" s="15"/>
      <c r="E5488" s="18"/>
    </row>
    <row r="5489" spans="2:5" x14ac:dyDescent="0.4">
      <c r="B5489" s="17"/>
      <c r="C5489" s="15"/>
      <c r="D5489" s="15"/>
      <c r="E5489" s="18"/>
    </row>
    <row r="5490" spans="2:5" x14ac:dyDescent="0.4">
      <c r="B5490" s="17"/>
      <c r="C5490" s="15"/>
      <c r="D5490" s="15"/>
      <c r="E5490" s="18"/>
    </row>
    <row r="5491" spans="2:5" x14ac:dyDescent="0.4">
      <c r="B5491" s="17"/>
      <c r="C5491" s="15"/>
      <c r="D5491" s="15"/>
      <c r="E5491" s="18"/>
    </row>
    <row r="5492" spans="2:5" x14ac:dyDescent="0.4">
      <c r="B5492" s="17"/>
      <c r="C5492" s="15"/>
      <c r="D5492" s="15"/>
      <c r="E5492" s="18"/>
    </row>
    <row r="5493" spans="2:5" x14ac:dyDescent="0.4">
      <c r="B5493" s="17"/>
      <c r="C5493" s="15"/>
      <c r="D5493" s="15"/>
      <c r="E5493" s="18"/>
    </row>
    <row r="5494" spans="2:5" x14ac:dyDescent="0.4">
      <c r="B5494" s="17"/>
      <c r="C5494" s="15"/>
      <c r="D5494" s="15"/>
      <c r="E5494" s="18"/>
    </row>
    <row r="5495" spans="2:5" x14ac:dyDescent="0.4">
      <c r="B5495" s="17"/>
      <c r="C5495" s="15"/>
      <c r="D5495" s="15"/>
      <c r="E5495" s="18"/>
    </row>
    <row r="5496" spans="2:5" x14ac:dyDescent="0.4">
      <c r="B5496" s="17"/>
      <c r="C5496" s="15"/>
      <c r="D5496" s="15"/>
      <c r="E5496" s="18"/>
    </row>
    <row r="5497" spans="2:5" x14ac:dyDescent="0.4">
      <c r="B5497" s="17"/>
      <c r="C5497" s="15"/>
      <c r="D5497" s="15"/>
      <c r="E5497" s="18"/>
    </row>
    <row r="5498" spans="2:5" x14ac:dyDescent="0.4">
      <c r="B5498" s="17"/>
      <c r="C5498" s="15"/>
      <c r="D5498" s="15"/>
      <c r="E5498" s="18"/>
    </row>
    <row r="5499" spans="2:5" x14ac:dyDescent="0.4">
      <c r="B5499" s="17"/>
      <c r="C5499" s="15"/>
      <c r="D5499" s="15"/>
      <c r="E5499" s="18"/>
    </row>
    <row r="5500" spans="2:5" x14ac:dyDescent="0.4">
      <c r="B5500" s="17"/>
      <c r="C5500" s="15"/>
      <c r="D5500" s="15"/>
      <c r="E5500" s="18"/>
    </row>
    <row r="5501" spans="2:5" x14ac:dyDescent="0.4">
      <c r="B5501" s="17"/>
      <c r="C5501" s="15"/>
      <c r="D5501" s="15"/>
      <c r="E5501" s="18"/>
    </row>
    <row r="5502" spans="2:5" x14ac:dyDescent="0.4">
      <c r="B5502" s="17"/>
      <c r="C5502" s="15"/>
      <c r="D5502" s="15"/>
      <c r="E5502" s="18"/>
    </row>
    <row r="5503" spans="2:5" x14ac:dyDescent="0.4">
      <c r="B5503" s="17"/>
      <c r="C5503" s="15"/>
      <c r="D5503" s="15"/>
      <c r="E5503" s="18"/>
    </row>
    <row r="5504" spans="2:5" x14ac:dyDescent="0.4">
      <c r="B5504" s="17"/>
      <c r="C5504" s="15"/>
      <c r="D5504" s="15"/>
      <c r="E5504" s="18"/>
    </row>
    <row r="5505" spans="2:5" x14ac:dyDescent="0.4">
      <c r="B5505" s="17"/>
      <c r="C5505" s="15"/>
      <c r="D5505" s="15"/>
      <c r="E5505" s="18"/>
    </row>
    <row r="5506" spans="2:5" x14ac:dyDescent="0.4">
      <c r="B5506" s="17"/>
      <c r="C5506" s="15"/>
      <c r="D5506" s="15"/>
      <c r="E5506" s="18"/>
    </row>
    <row r="5507" spans="2:5" x14ac:dyDescent="0.4">
      <c r="B5507" s="17"/>
      <c r="C5507" s="15"/>
      <c r="D5507" s="15"/>
      <c r="E5507" s="18"/>
    </row>
    <row r="5508" spans="2:5" x14ac:dyDescent="0.4">
      <c r="B5508" s="17"/>
      <c r="C5508" s="15"/>
      <c r="D5508" s="15"/>
      <c r="E5508" s="18"/>
    </row>
    <row r="5509" spans="2:5" x14ac:dyDescent="0.4">
      <c r="B5509" s="17"/>
      <c r="C5509" s="15"/>
      <c r="D5509" s="15"/>
      <c r="E5509" s="18"/>
    </row>
    <row r="5510" spans="2:5" x14ac:dyDescent="0.4">
      <c r="B5510" s="17"/>
      <c r="C5510" s="15"/>
      <c r="D5510" s="15"/>
      <c r="E5510" s="18"/>
    </row>
    <row r="5511" spans="2:5" x14ac:dyDescent="0.4">
      <c r="B5511" s="17"/>
      <c r="C5511" s="15"/>
      <c r="D5511" s="15"/>
      <c r="E5511" s="18"/>
    </row>
    <row r="5512" spans="2:5" x14ac:dyDescent="0.4">
      <c r="B5512" s="17"/>
      <c r="C5512" s="15"/>
      <c r="D5512" s="15"/>
      <c r="E5512" s="18"/>
    </row>
    <row r="5513" spans="2:5" x14ac:dyDescent="0.4">
      <c r="B5513" s="17"/>
      <c r="C5513" s="15"/>
      <c r="D5513" s="15"/>
      <c r="E5513" s="18"/>
    </row>
    <row r="5514" spans="2:5" x14ac:dyDescent="0.4">
      <c r="B5514" s="17"/>
      <c r="C5514" s="15"/>
      <c r="D5514" s="15"/>
      <c r="E5514" s="18"/>
    </row>
    <row r="5515" spans="2:5" x14ac:dyDescent="0.4">
      <c r="B5515" s="17"/>
      <c r="C5515" s="15"/>
      <c r="D5515" s="15"/>
      <c r="E5515" s="18"/>
    </row>
    <row r="5516" spans="2:5" x14ac:dyDescent="0.4">
      <c r="B5516" s="17"/>
      <c r="C5516" s="15"/>
      <c r="D5516" s="15"/>
      <c r="E5516" s="18"/>
    </row>
    <row r="5517" spans="2:5" x14ac:dyDescent="0.4">
      <c r="B5517" s="17"/>
      <c r="C5517" s="15"/>
      <c r="D5517" s="15"/>
      <c r="E5517" s="18"/>
    </row>
    <row r="5518" spans="2:5" x14ac:dyDescent="0.4">
      <c r="B5518" s="17"/>
      <c r="C5518" s="15"/>
      <c r="D5518" s="15"/>
      <c r="E5518" s="18"/>
    </row>
    <row r="5519" spans="2:5" x14ac:dyDescent="0.4">
      <c r="B5519" s="17"/>
      <c r="C5519" s="15"/>
      <c r="D5519" s="15"/>
      <c r="E5519" s="18"/>
    </row>
    <row r="5520" spans="2:5" x14ac:dyDescent="0.4">
      <c r="B5520" s="17"/>
      <c r="C5520" s="15"/>
      <c r="D5520" s="15"/>
      <c r="E5520" s="18"/>
    </row>
    <row r="5521" spans="2:5" x14ac:dyDescent="0.4">
      <c r="B5521" s="17"/>
      <c r="C5521" s="15"/>
      <c r="D5521" s="15"/>
      <c r="E5521" s="18"/>
    </row>
    <row r="5522" spans="2:5" x14ac:dyDescent="0.4">
      <c r="B5522" s="17"/>
      <c r="C5522" s="15"/>
      <c r="D5522" s="15"/>
      <c r="E5522" s="18"/>
    </row>
    <row r="5523" spans="2:5" x14ac:dyDescent="0.4">
      <c r="B5523" s="17"/>
      <c r="C5523" s="15"/>
      <c r="D5523" s="15"/>
      <c r="E5523" s="18"/>
    </row>
    <row r="5524" spans="2:5" x14ac:dyDescent="0.4">
      <c r="B5524" s="17"/>
      <c r="C5524" s="15"/>
      <c r="D5524" s="15"/>
      <c r="E5524" s="18"/>
    </row>
    <row r="5525" spans="2:5" x14ac:dyDescent="0.4">
      <c r="B5525" s="17"/>
      <c r="C5525" s="15"/>
      <c r="D5525" s="15"/>
      <c r="E5525" s="18"/>
    </row>
    <row r="5526" spans="2:5" x14ac:dyDescent="0.4">
      <c r="B5526" s="17"/>
      <c r="C5526" s="15"/>
      <c r="D5526" s="15"/>
      <c r="E5526" s="18"/>
    </row>
    <row r="5527" spans="2:5" x14ac:dyDescent="0.4">
      <c r="B5527" s="17"/>
      <c r="C5527" s="15"/>
      <c r="D5527" s="15"/>
      <c r="E5527" s="18"/>
    </row>
    <row r="5528" spans="2:5" x14ac:dyDescent="0.4">
      <c r="B5528" s="17"/>
      <c r="C5528" s="15"/>
      <c r="D5528" s="15"/>
      <c r="E5528" s="18"/>
    </row>
    <row r="5529" spans="2:5" x14ac:dyDescent="0.4">
      <c r="B5529" s="17"/>
      <c r="C5529" s="15"/>
      <c r="D5529" s="15"/>
      <c r="E5529" s="18"/>
    </row>
    <row r="5530" spans="2:5" x14ac:dyDescent="0.4">
      <c r="B5530" s="17"/>
      <c r="C5530" s="15"/>
      <c r="D5530" s="15"/>
      <c r="E5530" s="18"/>
    </row>
    <row r="5531" spans="2:5" x14ac:dyDescent="0.4">
      <c r="B5531" s="17"/>
      <c r="C5531" s="15"/>
      <c r="D5531" s="15"/>
      <c r="E5531" s="18"/>
    </row>
    <row r="5532" spans="2:5" x14ac:dyDescent="0.4">
      <c r="B5532" s="17"/>
      <c r="C5532" s="15"/>
      <c r="D5532" s="15"/>
      <c r="E5532" s="18"/>
    </row>
    <row r="5533" spans="2:5" x14ac:dyDescent="0.4">
      <c r="B5533" s="17"/>
      <c r="C5533" s="15"/>
      <c r="D5533" s="15"/>
      <c r="E5533" s="18"/>
    </row>
    <row r="5534" spans="2:5" x14ac:dyDescent="0.4">
      <c r="B5534" s="17"/>
      <c r="C5534" s="15"/>
      <c r="D5534" s="15"/>
      <c r="E5534" s="18"/>
    </row>
    <row r="5535" spans="2:5" x14ac:dyDescent="0.4">
      <c r="B5535" s="17"/>
      <c r="C5535" s="15"/>
      <c r="D5535" s="15"/>
      <c r="E5535" s="18"/>
    </row>
    <row r="5536" spans="2:5" x14ac:dyDescent="0.4">
      <c r="B5536" s="17"/>
      <c r="C5536" s="15"/>
      <c r="D5536" s="15"/>
      <c r="E5536" s="18"/>
    </row>
    <row r="5537" spans="2:5" x14ac:dyDescent="0.4">
      <c r="B5537" s="17"/>
      <c r="C5537" s="15"/>
      <c r="D5537" s="15"/>
      <c r="E5537" s="18"/>
    </row>
    <row r="5538" spans="2:5" x14ac:dyDescent="0.4">
      <c r="B5538" s="17"/>
      <c r="C5538" s="15"/>
      <c r="D5538" s="15"/>
      <c r="E5538" s="18"/>
    </row>
    <row r="5539" spans="2:5" x14ac:dyDescent="0.4">
      <c r="B5539" s="17"/>
      <c r="C5539" s="15"/>
      <c r="D5539" s="15"/>
      <c r="E5539" s="18"/>
    </row>
    <row r="5540" spans="2:5" x14ac:dyDescent="0.4">
      <c r="B5540" s="17"/>
      <c r="C5540" s="15"/>
      <c r="D5540" s="15"/>
      <c r="E5540" s="18"/>
    </row>
    <row r="5541" spans="2:5" x14ac:dyDescent="0.4">
      <c r="B5541" s="17"/>
      <c r="C5541" s="15"/>
      <c r="D5541" s="15"/>
      <c r="E5541" s="18"/>
    </row>
    <row r="5542" spans="2:5" x14ac:dyDescent="0.4">
      <c r="B5542" s="17"/>
      <c r="C5542" s="15"/>
      <c r="D5542" s="15"/>
      <c r="E5542" s="18"/>
    </row>
    <row r="5543" spans="2:5" x14ac:dyDescent="0.4">
      <c r="B5543" s="17"/>
      <c r="C5543" s="15"/>
      <c r="D5543" s="15"/>
      <c r="E5543" s="18"/>
    </row>
    <row r="5544" spans="2:5" x14ac:dyDescent="0.4">
      <c r="B5544" s="17"/>
      <c r="C5544" s="15"/>
      <c r="D5544" s="15"/>
      <c r="E5544" s="18"/>
    </row>
    <row r="5545" spans="2:5" x14ac:dyDescent="0.4">
      <c r="B5545" s="17"/>
      <c r="C5545" s="15"/>
      <c r="D5545" s="15"/>
      <c r="E5545" s="18"/>
    </row>
    <row r="5546" spans="2:5" x14ac:dyDescent="0.4">
      <c r="B5546" s="17"/>
      <c r="C5546" s="15"/>
      <c r="D5546" s="15"/>
      <c r="E5546" s="18"/>
    </row>
    <row r="5547" spans="2:5" x14ac:dyDescent="0.4">
      <c r="B5547" s="17"/>
      <c r="C5547" s="15"/>
      <c r="D5547" s="15"/>
      <c r="E5547" s="18"/>
    </row>
    <row r="5548" spans="2:5" x14ac:dyDescent="0.4">
      <c r="B5548" s="17"/>
      <c r="C5548" s="15"/>
      <c r="D5548" s="15"/>
      <c r="E5548" s="18"/>
    </row>
    <row r="5549" spans="2:5" x14ac:dyDescent="0.4">
      <c r="B5549" s="17"/>
      <c r="C5549" s="15"/>
      <c r="D5549" s="15"/>
      <c r="E5549" s="18"/>
    </row>
    <row r="5550" spans="2:5" x14ac:dyDescent="0.4">
      <c r="B5550" s="17"/>
      <c r="C5550" s="15"/>
      <c r="D5550" s="15"/>
      <c r="E5550" s="18"/>
    </row>
    <row r="5551" spans="2:5" x14ac:dyDescent="0.4">
      <c r="B5551" s="17"/>
      <c r="C5551" s="15"/>
      <c r="D5551" s="15"/>
      <c r="E5551" s="18"/>
    </row>
    <row r="5552" spans="2:5" x14ac:dyDescent="0.4">
      <c r="B5552" s="17"/>
      <c r="C5552" s="15"/>
      <c r="D5552" s="15"/>
      <c r="E5552" s="18"/>
    </row>
    <row r="5553" spans="2:5" x14ac:dyDescent="0.4">
      <c r="B5553" s="17"/>
      <c r="C5553" s="15"/>
      <c r="D5553" s="15"/>
      <c r="E5553" s="18"/>
    </row>
    <row r="5554" spans="2:5" x14ac:dyDescent="0.4">
      <c r="B5554" s="17"/>
      <c r="C5554" s="15"/>
      <c r="D5554" s="15"/>
      <c r="E5554" s="18"/>
    </row>
    <row r="5555" spans="2:5" x14ac:dyDescent="0.4">
      <c r="B5555" s="17"/>
      <c r="C5555" s="15"/>
      <c r="D5555" s="15"/>
      <c r="E5555" s="18"/>
    </row>
    <row r="5556" spans="2:5" x14ac:dyDescent="0.4">
      <c r="B5556" s="17"/>
      <c r="C5556" s="15"/>
      <c r="D5556" s="15"/>
      <c r="E5556" s="18"/>
    </row>
    <row r="5557" spans="2:5" x14ac:dyDescent="0.4">
      <c r="B5557" s="17"/>
      <c r="C5557" s="15"/>
      <c r="D5557" s="15"/>
      <c r="E5557" s="18"/>
    </row>
    <row r="5558" spans="2:5" x14ac:dyDescent="0.4">
      <c r="B5558" s="17"/>
      <c r="C5558" s="15"/>
      <c r="D5558" s="15"/>
      <c r="E5558" s="18"/>
    </row>
    <row r="5559" spans="2:5" x14ac:dyDescent="0.4">
      <c r="B5559" s="17"/>
      <c r="C5559" s="15"/>
      <c r="D5559" s="15"/>
      <c r="E5559" s="18"/>
    </row>
    <row r="5560" spans="2:5" x14ac:dyDescent="0.4">
      <c r="B5560" s="17"/>
      <c r="C5560" s="15"/>
      <c r="D5560" s="15"/>
      <c r="E5560" s="18"/>
    </row>
    <row r="5561" spans="2:5" x14ac:dyDescent="0.4">
      <c r="B5561" s="17"/>
      <c r="C5561" s="15"/>
      <c r="D5561" s="15"/>
      <c r="E5561" s="18"/>
    </row>
    <row r="5562" spans="2:5" x14ac:dyDescent="0.4">
      <c r="B5562" s="17"/>
      <c r="C5562" s="15"/>
      <c r="D5562" s="15"/>
      <c r="E5562" s="18"/>
    </row>
    <row r="5563" spans="2:5" x14ac:dyDescent="0.4">
      <c r="B5563" s="17"/>
      <c r="C5563" s="15"/>
      <c r="D5563" s="15"/>
      <c r="E5563" s="18"/>
    </row>
    <row r="5564" spans="2:5" x14ac:dyDescent="0.4">
      <c r="B5564" s="17"/>
      <c r="C5564" s="15"/>
      <c r="D5564" s="15"/>
      <c r="E5564" s="18"/>
    </row>
    <row r="5565" spans="2:5" x14ac:dyDescent="0.4">
      <c r="B5565" s="17"/>
      <c r="C5565" s="15"/>
      <c r="D5565" s="15"/>
      <c r="E5565" s="18"/>
    </row>
    <row r="5566" spans="2:5" x14ac:dyDescent="0.4">
      <c r="B5566" s="17"/>
      <c r="C5566" s="15"/>
      <c r="D5566" s="15"/>
      <c r="E5566" s="18"/>
    </row>
    <row r="5567" spans="2:5" x14ac:dyDescent="0.4">
      <c r="B5567" s="17"/>
      <c r="C5567" s="15"/>
      <c r="D5567" s="15"/>
      <c r="E5567" s="18"/>
    </row>
    <row r="5568" spans="2:5" x14ac:dyDescent="0.4">
      <c r="B5568" s="17"/>
      <c r="C5568" s="15"/>
      <c r="D5568" s="15"/>
      <c r="E5568" s="18"/>
    </row>
    <row r="5569" spans="2:5" x14ac:dyDescent="0.4">
      <c r="B5569" s="17"/>
      <c r="C5569" s="15"/>
      <c r="D5569" s="15"/>
      <c r="E5569" s="18"/>
    </row>
    <row r="5570" spans="2:5" x14ac:dyDescent="0.4">
      <c r="B5570" s="17"/>
      <c r="C5570" s="15"/>
      <c r="D5570" s="15"/>
      <c r="E5570" s="18"/>
    </row>
    <row r="5571" spans="2:5" x14ac:dyDescent="0.4">
      <c r="B5571" s="17"/>
      <c r="C5571" s="15"/>
      <c r="D5571" s="15"/>
      <c r="E5571" s="18"/>
    </row>
    <row r="5572" spans="2:5" x14ac:dyDescent="0.4">
      <c r="B5572" s="17"/>
      <c r="C5572" s="15"/>
      <c r="D5572" s="15"/>
      <c r="E5572" s="18"/>
    </row>
    <row r="5573" spans="2:5" x14ac:dyDescent="0.4">
      <c r="B5573" s="17"/>
      <c r="C5573" s="15"/>
      <c r="D5573" s="15"/>
      <c r="E5573" s="18"/>
    </row>
    <row r="5574" spans="2:5" x14ac:dyDescent="0.4">
      <c r="B5574" s="17"/>
      <c r="C5574" s="15"/>
      <c r="D5574" s="15"/>
      <c r="E5574" s="18"/>
    </row>
    <row r="5575" spans="2:5" x14ac:dyDescent="0.4">
      <c r="B5575" s="17"/>
      <c r="C5575" s="15"/>
      <c r="D5575" s="15"/>
      <c r="E5575" s="18"/>
    </row>
    <row r="5576" spans="2:5" x14ac:dyDescent="0.4">
      <c r="B5576" s="17"/>
      <c r="C5576" s="15"/>
      <c r="D5576" s="15"/>
      <c r="E5576" s="18"/>
    </row>
    <row r="5577" spans="2:5" x14ac:dyDescent="0.4">
      <c r="B5577" s="17"/>
      <c r="C5577" s="15"/>
      <c r="D5577" s="15"/>
      <c r="E5577" s="18"/>
    </row>
    <row r="5578" spans="2:5" x14ac:dyDescent="0.4">
      <c r="B5578" s="17"/>
      <c r="C5578" s="15"/>
      <c r="D5578" s="15"/>
      <c r="E5578" s="18"/>
    </row>
    <row r="5579" spans="2:5" x14ac:dyDescent="0.4">
      <c r="B5579" s="17"/>
      <c r="C5579" s="15"/>
      <c r="D5579" s="15"/>
      <c r="E5579" s="18"/>
    </row>
    <row r="5580" spans="2:5" x14ac:dyDescent="0.4">
      <c r="B5580" s="17"/>
      <c r="C5580" s="15"/>
      <c r="D5580" s="15"/>
      <c r="E5580" s="18"/>
    </row>
    <row r="5581" spans="2:5" x14ac:dyDescent="0.4">
      <c r="B5581" s="17"/>
      <c r="C5581" s="15"/>
      <c r="D5581" s="15"/>
      <c r="E5581" s="18"/>
    </row>
    <row r="5582" spans="2:5" x14ac:dyDescent="0.4">
      <c r="B5582" s="17"/>
      <c r="C5582" s="15"/>
      <c r="D5582" s="15"/>
      <c r="E5582" s="18"/>
    </row>
    <row r="5583" spans="2:5" x14ac:dyDescent="0.4">
      <c r="B5583" s="17"/>
      <c r="C5583" s="15"/>
      <c r="D5583" s="15"/>
      <c r="E5583" s="18"/>
    </row>
    <row r="5584" spans="2:5" x14ac:dyDescent="0.4">
      <c r="B5584" s="17"/>
      <c r="C5584" s="15"/>
      <c r="D5584" s="15"/>
      <c r="E5584" s="18"/>
    </row>
    <row r="5585" spans="2:5" x14ac:dyDescent="0.4">
      <c r="B5585" s="17"/>
      <c r="C5585" s="15"/>
      <c r="D5585" s="15"/>
      <c r="E5585" s="18"/>
    </row>
    <row r="5586" spans="2:5" x14ac:dyDescent="0.4">
      <c r="B5586" s="17"/>
      <c r="C5586" s="15"/>
      <c r="D5586" s="15"/>
      <c r="E5586" s="18"/>
    </row>
    <row r="5587" spans="2:5" x14ac:dyDescent="0.4">
      <c r="B5587" s="17"/>
      <c r="C5587" s="15"/>
      <c r="D5587" s="15"/>
      <c r="E5587" s="18"/>
    </row>
    <row r="5588" spans="2:5" x14ac:dyDescent="0.4">
      <c r="B5588" s="17"/>
      <c r="C5588" s="15"/>
      <c r="D5588" s="15"/>
      <c r="E5588" s="18"/>
    </row>
    <row r="5589" spans="2:5" x14ac:dyDescent="0.4">
      <c r="B5589" s="17"/>
      <c r="C5589" s="15"/>
      <c r="D5589" s="15"/>
      <c r="E5589" s="18"/>
    </row>
    <row r="5590" spans="2:5" x14ac:dyDescent="0.4">
      <c r="B5590" s="17"/>
      <c r="C5590" s="15"/>
      <c r="D5590" s="15"/>
      <c r="E5590" s="18"/>
    </row>
    <row r="5591" spans="2:5" x14ac:dyDescent="0.4">
      <c r="B5591" s="17"/>
      <c r="C5591" s="15"/>
      <c r="D5591" s="15"/>
      <c r="E5591" s="18"/>
    </row>
    <row r="5592" spans="2:5" x14ac:dyDescent="0.4">
      <c r="B5592" s="17"/>
      <c r="C5592" s="15"/>
      <c r="D5592" s="15"/>
      <c r="E5592" s="18"/>
    </row>
    <row r="5593" spans="2:5" x14ac:dyDescent="0.4">
      <c r="B5593" s="17"/>
      <c r="C5593" s="15"/>
      <c r="D5593" s="15"/>
      <c r="E5593" s="18"/>
    </row>
    <row r="5594" spans="2:5" x14ac:dyDescent="0.4">
      <c r="B5594" s="17"/>
      <c r="C5594" s="15"/>
      <c r="D5594" s="15"/>
      <c r="E5594" s="18"/>
    </row>
    <row r="5595" spans="2:5" x14ac:dyDescent="0.4">
      <c r="B5595" s="17"/>
      <c r="C5595" s="15"/>
      <c r="D5595" s="15"/>
      <c r="E5595" s="18"/>
    </row>
    <row r="5596" spans="2:5" x14ac:dyDescent="0.4">
      <c r="B5596" s="17"/>
      <c r="C5596" s="15"/>
      <c r="D5596" s="15"/>
      <c r="E5596" s="18"/>
    </row>
    <row r="5597" spans="2:5" x14ac:dyDescent="0.4">
      <c r="B5597" s="17"/>
      <c r="C5597" s="15"/>
      <c r="D5597" s="15"/>
      <c r="E5597" s="18"/>
    </row>
    <row r="5598" spans="2:5" x14ac:dyDescent="0.4">
      <c r="B5598" s="17"/>
      <c r="C5598" s="15"/>
      <c r="D5598" s="15"/>
      <c r="E5598" s="18"/>
    </row>
    <row r="5599" spans="2:5" x14ac:dyDescent="0.4">
      <c r="B5599" s="17"/>
      <c r="C5599" s="15"/>
      <c r="D5599" s="15"/>
      <c r="E5599" s="18"/>
    </row>
    <row r="5600" spans="2:5" x14ac:dyDescent="0.4">
      <c r="B5600" s="17"/>
      <c r="C5600" s="15"/>
      <c r="D5600" s="15"/>
      <c r="E5600" s="18"/>
    </row>
    <row r="5601" spans="2:5" x14ac:dyDescent="0.4">
      <c r="B5601" s="17"/>
      <c r="C5601" s="15"/>
      <c r="D5601" s="15"/>
      <c r="E5601" s="18"/>
    </row>
    <row r="5602" spans="2:5" x14ac:dyDescent="0.4">
      <c r="B5602" s="17"/>
      <c r="C5602" s="15"/>
      <c r="D5602" s="15"/>
      <c r="E5602" s="18"/>
    </row>
    <row r="5603" spans="2:5" x14ac:dyDescent="0.4">
      <c r="B5603" s="17"/>
      <c r="C5603" s="15"/>
      <c r="D5603" s="15"/>
      <c r="E5603" s="18"/>
    </row>
    <row r="5604" spans="2:5" x14ac:dyDescent="0.4">
      <c r="B5604" s="17"/>
      <c r="C5604" s="15"/>
      <c r="D5604" s="15"/>
      <c r="E5604" s="18"/>
    </row>
    <row r="5605" spans="2:5" x14ac:dyDescent="0.4">
      <c r="B5605" s="17"/>
      <c r="C5605" s="15"/>
      <c r="D5605" s="15"/>
      <c r="E5605" s="18"/>
    </row>
    <row r="5606" spans="2:5" x14ac:dyDescent="0.4">
      <c r="B5606" s="17"/>
      <c r="C5606" s="15"/>
      <c r="D5606" s="15"/>
      <c r="E5606" s="18"/>
    </row>
    <row r="5607" spans="2:5" x14ac:dyDescent="0.4">
      <c r="B5607" s="17"/>
      <c r="C5607" s="15"/>
      <c r="D5607" s="15"/>
      <c r="E5607" s="18"/>
    </row>
    <row r="5608" spans="2:5" x14ac:dyDescent="0.4">
      <c r="B5608" s="17"/>
      <c r="C5608" s="15"/>
      <c r="D5608" s="15"/>
      <c r="E5608" s="18"/>
    </row>
    <row r="5609" spans="2:5" x14ac:dyDescent="0.4">
      <c r="B5609" s="17"/>
      <c r="C5609" s="15"/>
      <c r="D5609" s="15"/>
      <c r="E5609" s="18"/>
    </row>
    <row r="5610" spans="2:5" x14ac:dyDescent="0.4">
      <c r="B5610" s="17"/>
      <c r="C5610" s="15"/>
      <c r="D5610" s="15"/>
      <c r="E5610" s="18"/>
    </row>
    <row r="5611" spans="2:5" x14ac:dyDescent="0.4">
      <c r="B5611" s="17"/>
      <c r="C5611" s="15"/>
      <c r="D5611" s="15"/>
      <c r="E5611" s="18"/>
    </row>
    <row r="5612" spans="2:5" x14ac:dyDescent="0.4">
      <c r="B5612" s="17"/>
      <c r="C5612" s="15"/>
      <c r="D5612" s="15"/>
      <c r="E5612" s="18"/>
    </row>
    <row r="5613" spans="2:5" x14ac:dyDescent="0.4">
      <c r="B5613" s="17"/>
      <c r="C5613" s="15"/>
      <c r="D5613" s="15"/>
      <c r="E5613" s="18"/>
    </row>
    <row r="5614" spans="2:5" x14ac:dyDescent="0.4">
      <c r="B5614" s="17"/>
      <c r="C5614" s="15"/>
      <c r="D5614" s="15"/>
      <c r="E5614" s="18"/>
    </row>
    <row r="5615" spans="2:5" x14ac:dyDescent="0.4">
      <c r="B5615" s="17"/>
      <c r="C5615" s="15"/>
      <c r="D5615" s="15"/>
      <c r="E5615" s="18"/>
    </row>
    <row r="5616" spans="2:5" x14ac:dyDescent="0.4">
      <c r="B5616" s="17"/>
      <c r="C5616" s="15"/>
      <c r="D5616" s="15"/>
      <c r="E5616" s="18"/>
    </row>
    <row r="5617" spans="2:5" x14ac:dyDescent="0.4">
      <c r="B5617" s="17"/>
      <c r="C5617" s="15"/>
      <c r="D5617" s="15"/>
      <c r="E5617" s="18"/>
    </row>
    <row r="5618" spans="2:5" x14ac:dyDescent="0.4">
      <c r="B5618" s="17"/>
      <c r="C5618" s="15"/>
      <c r="D5618" s="15"/>
      <c r="E5618" s="18"/>
    </row>
    <row r="5619" spans="2:5" x14ac:dyDescent="0.4">
      <c r="B5619" s="17"/>
      <c r="C5619" s="15"/>
      <c r="D5619" s="15"/>
      <c r="E5619" s="18"/>
    </row>
    <row r="5620" spans="2:5" x14ac:dyDescent="0.4">
      <c r="B5620" s="17"/>
      <c r="C5620" s="15"/>
      <c r="D5620" s="15"/>
      <c r="E5620" s="18"/>
    </row>
    <row r="5621" spans="2:5" x14ac:dyDescent="0.4">
      <c r="B5621" s="17"/>
      <c r="C5621" s="15"/>
      <c r="D5621" s="15"/>
      <c r="E5621" s="18"/>
    </row>
    <row r="5622" spans="2:5" x14ac:dyDescent="0.4">
      <c r="B5622" s="17"/>
      <c r="C5622" s="15"/>
      <c r="D5622" s="15"/>
      <c r="E5622" s="18"/>
    </row>
    <row r="5623" spans="2:5" x14ac:dyDescent="0.4">
      <c r="B5623" s="17"/>
      <c r="C5623" s="15"/>
      <c r="D5623" s="15"/>
      <c r="E5623" s="18"/>
    </row>
    <row r="5624" spans="2:5" x14ac:dyDescent="0.4">
      <c r="B5624" s="17"/>
      <c r="C5624" s="15"/>
      <c r="D5624" s="15"/>
      <c r="E5624" s="18"/>
    </row>
    <row r="5625" spans="2:5" x14ac:dyDescent="0.4">
      <c r="B5625" s="17"/>
      <c r="C5625" s="15"/>
      <c r="D5625" s="15"/>
      <c r="E5625" s="18"/>
    </row>
    <row r="5626" spans="2:5" x14ac:dyDescent="0.4">
      <c r="B5626" s="17"/>
      <c r="C5626" s="15"/>
      <c r="D5626" s="15"/>
      <c r="E5626" s="18"/>
    </row>
    <row r="5627" spans="2:5" x14ac:dyDescent="0.4">
      <c r="B5627" s="17"/>
      <c r="C5627" s="15"/>
      <c r="D5627" s="15"/>
      <c r="E5627" s="18"/>
    </row>
    <row r="5628" spans="2:5" x14ac:dyDescent="0.4">
      <c r="B5628" s="17"/>
      <c r="C5628" s="15"/>
      <c r="D5628" s="15"/>
      <c r="E5628" s="18"/>
    </row>
    <row r="5629" spans="2:5" x14ac:dyDescent="0.4">
      <c r="B5629" s="17"/>
      <c r="C5629" s="15"/>
      <c r="D5629" s="15"/>
      <c r="E5629" s="18"/>
    </row>
    <row r="5630" spans="2:5" x14ac:dyDescent="0.4">
      <c r="B5630" s="17"/>
      <c r="C5630" s="15"/>
      <c r="D5630" s="15"/>
      <c r="E5630" s="18"/>
    </row>
    <row r="5631" spans="2:5" x14ac:dyDescent="0.4">
      <c r="B5631" s="17"/>
      <c r="C5631" s="15"/>
      <c r="D5631" s="15"/>
      <c r="E5631" s="18"/>
    </row>
    <row r="5632" spans="2:5" x14ac:dyDescent="0.4">
      <c r="B5632" s="17"/>
      <c r="C5632" s="15"/>
      <c r="D5632" s="15"/>
      <c r="E5632" s="18"/>
    </row>
    <row r="5633" spans="2:5" x14ac:dyDescent="0.4">
      <c r="B5633" s="17"/>
      <c r="C5633" s="15"/>
      <c r="D5633" s="15"/>
      <c r="E5633" s="18"/>
    </row>
    <row r="5634" spans="2:5" x14ac:dyDescent="0.4">
      <c r="B5634" s="17"/>
      <c r="C5634" s="15"/>
      <c r="D5634" s="15"/>
      <c r="E5634" s="18"/>
    </row>
    <row r="5635" spans="2:5" x14ac:dyDescent="0.4">
      <c r="B5635" s="17"/>
      <c r="C5635" s="15"/>
      <c r="D5635" s="15"/>
      <c r="E5635" s="18"/>
    </row>
    <row r="5636" spans="2:5" x14ac:dyDescent="0.4">
      <c r="B5636" s="17"/>
      <c r="C5636" s="15"/>
      <c r="D5636" s="15"/>
      <c r="E5636" s="18"/>
    </row>
    <row r="5637" spans="2:5" x14ac:dyDescent="0.4">
      <c r="B5637" s="17"/>
      <c r="C5637" s="15"/>
      <c r="D5637" s="15"/>
      <c r="E5637" s="18"/>
    </row>
    <row r="5638" spans="2:5" x14ac:dyDescent="0.4">
      <c r="B5638" s="17"/>
      <c r="C5638" s="15"/>
      <c r="D5638" s="15"/>
      <c r="E5638" s="18"/>
    </row>
    <row r="5639" spans="2:5" x14ac:dyDescent="0.4">
      <c r="B5639" s="17"/>
      <c r="C5639" s="15"/>
      <c r="D5639" s="15"/>
      <c r="E5639" s="18"/>
    </row>
    <row r="5640" spans="2:5" x14ac:dyDescent="0.4">
      <c r="B5640" s="17"/>
      <c r="C5640" s="15"/>
      <c r="D5640" s="15"/>
      <c r="E5640" s="18"/>
    </row>
    <row r="5641" spans="2:5" x14ac:dyDescent="0.4">
      <c r="B5641" s="17"/>
      <c r="C5641" s="15"/>
      <c r="D5641" s="15"/>
      <c r="E5641" s="18"/>
    </row>
    <row r="5642" spans="2:5" x14ac:dyDescent="0.4">
      <c r="B5642" s="17"/>
      <c r="C5642" s="15"/>
      <c r="D5642" s="15"/>
      <c r="E5642" s="18"/>
    </row>
    <row r="5643" spans="2:5" x14ac:dyDescent="0.4">
      <c r="B5643" s="17"/>
      <c r="C5643" s="15"/>
      <c r="D5643" s="15"/>
      <c r="E5643" s="18"/>
    </row>
    <row r="5644" spans="2:5" x14ac:dyDescent="0.4">
      <c r="B5644" s="17"/>
      <c r="C5644" s="15"/>
      <c r="D5644" s="15"/>
      <c r="E5644" s="18"/>
    </row>
    <row r="5645" spans="2:5" x14ac:dyDescent="0.4">
      <c r="B5645" s="17"/>
      <c r="C5645" s="15"/>
      <c r="D5645" s="15"/>
      <c r="E5645" s="18"/>
    </row>
    <row r="5646" spans="2:5" x14ac:dyDescent="0.4">
      <c r="B5646" s="17"/>
      <c r="C5646" s="15"/>
      <c r="D5646" s="15"/>
      <c r="E5646" s="18"/>
    </row>
    <row r="5647" spans="2:5" x14ac:dyDescent="0.4">
      <c r="B5647" s="17"/>
      <c r="C5647" s="15"/>
      <c r="D5647" s="15"/>
      <c r="E5647" s="18"/>
    </row>
    <row r="5648" spans="2:5" x14ac:dyDescent="0.4">
      <c r="B5648" s="17"/>
      <c r="C5648" s="15"/>
      <c r="D5648" s="15"/>
      <c r="E5648" s="18"/>
    </row>
    <row r="5649" spans="2:5" x14ac:dyDescent="0.4">
      <c r="B5649" s="17"/>
      <c r="C5649" s="15"/>
      <c r="D5649" s="15"/>
      <c r="E5649" s="18"/>
    </row>
    <row r="5650" spans="2:5" x14ac:dyDescent="0.4">
      <c r="B5650" s="17"/>
      <c r="C5650" s="15"/>
      <c r="D5650" s="15"/>
      <c r="E5650" s="18"/>
    </row>
    <row r="5651" spans="2:5" x14ac:dyDescent="0.4">
      <c r="B5651" s="17"/>
      <c r="C5651" s="15"/>
      <c r="D5651" s="15"/>
      <c r="E5651" s="18"/>
    </row>
    <row r="5652" spans="2:5" x14ac:dyDescent="0.4">
      <c r="B5652" s="17"/>
      <c r="C5652" s="15"/>
      <c r="D5652" s="15"/>
      <c r="E5652" s="18"/>
    </row>
    <row r="5653" spans="2:5" x14ac:dyDescent="0.4">
      <c r="B5653" s="17"/>
      <c r="C5653" s="15"/>
      <c r="D5653" s="15"/>
      <c r="E5653" s="18"/>
    </row>
    <row r="5654" spans="2:5" x14ac:dyDescent="0.4">
      <c r="B5654" s="17"/>
      <c r="C5654" s="15"/>
      <c r="D5654" s="15"/>
      <c r="E5654" s="18"/>
    </row>
    <row r="5655" spans="2:5" x14ac:dyDescent="0.4">
      <c r="B5655" s="17"/>
      <c r="C5655" s="15"/>
      <c r="D5655" s="15"/>
      <c r="E5655" s="18"/>
    </row>
    <row r="5656" spans="2:5" x14ac:dyDescent="0.4">
      <c r="B5656" s="17"/>
      <c r="C5656" s="15"/>
      <c r="D5656" s="15"/>
      <c r="E5656" s="18"/>
    </row>
    <row r="5657" spans="2:5" x14ac:dyDescent="0.4">
      <c r="B5657" s="17"/>
      <c r="C5657" s="15"/>
      <c r="D5657" s="15"/>
      <c r="E5657" s="18"/>
    </row>
    <row r="5658" spans="2:5" x14ac:dyDescent="0.4">
      <c r="B5658" s="17"/>
      <c r="C5658" s="15"/>
      <c r="D5658" s="15"/>
      <c r="E5658" s="18"/>
    </row>
    <row r="5659" spans="2:5" x14ac:dyDescent="0.4">
      <c r="B5659" s="17"/>
      <c r="C5659" s="15"/>
      <c r="D5659" s="15"/>
      <c r="E5659" s="18"/>
    </row>
    <row r="5660" spans="2:5" x14ac:dyDescent="0.4">
      <c r="B5660" s="17"/>
      <c r="C5660" s="15"/>
      <c r="D5660" s="15"/>
      <c r="E5660" s="18"/>
    </row>
    <row r="5661" spans="2:5" x14ac:dyDescent="0.4">
      <c r="B5661" s="17"/>
      <c r="C5661" s="15"/>
      <c r="D5661" s="15"/>
      <c r="E5661" s="18"/>
    </row>
    <row r="5662" spans="2:5" x14ac:dyDescent="0.4">
      <c r="B5662" s="17"/>
      <c r="C5662" s="15"/>
      <c r="D5662" s="15"/>
      <c r="E5662" s="18"/>
    </row>
    <row r="5663" spans="2:5" x14ac:dyDescent="0.4">
      <c r="B5663" s="17"/>
      <c r="C5663" s="15"/>
      <c r="D5663" s="15"/>
      <c r="E5663" s="18"/>
    </row>
    <row r="5664" spans="2:5" x14ac:dyDescent="0.4">
      <c r="B5664" s="17"/>
      <c r="C5664" s="15"/>
      <c r="D5664" s="15"/>
      <c r="E5664" s="18"/>
    </row>
    <row r="5665" spans="2:5" x14ac:dyDescent="0.4">
      <c r="B5665" s="17"/>
      <c r="C5665" s="15"/>
      <c r="D5665" s="15"/>
      <c r="E5665" s="18"/>
    </row>
    <row r="5666" spans="2:5" x14ac:dyDescent="0.4">
      <c r="B5666" s="17"/>
      <c r="C5666" s="15"/>
      <c r="D5666" s="15"/>
      <c r="E5666" s="18"/>
    </row>
    <row r="5667" spans="2:5" x14ac:dyDescent="0.4">
      <c r="B5667" s="17"/>
      <c r="C5667" s="15"/>
      <c r="D5667" s="15"/>
      <c r="E5667" s="18"/>
    </row>
    <row r="5668" spans="2:5" x14ac:dyDescent="0.4">
      <c r="B5668" s="17"/>
      <c r="C5668" s="15"/>
      <c r="D5668" s="15"/>
      <c r="E5668" s="18"/>
    </row>
    <row r="5669" spans="2:5" x14ac:dyDescent="0.4">
      <c r="B5669" s="17"/>
      <c r="C5669" s="15"/>
      <c r="D5669" s="15"/>
      <c r="E5669" s="18"/>
    </row>
    <row r="5670" spans="2:5" x14ac:dyDescent="0.4">
      <c r="B5670" s="17"/>
      <c r="C5670" s="15"/>
      <c r="D5670" s="15"/>
      <c r="E5670" s="18"/>
    </row>
    <row r="5671" spans="2:5" x14ac:dyDescent="0.4">
      <c r="B5671" s="17"/>
      <c r="C5671" s="15"/>
      <c r="D5671" s="15"/>
      <c r="E5671" s="18"/>
    </row>
    <row r="5672" spans="2:5" x14ac:dyDescent="0.4">
      <c r="B5672" s="17"/>
      <c r="C5672" s="15"/>
      <c r="D5672" s="15"/>
      <c r="E5672" s="18"/>
    </row>
    <row r="5673" spans="2:5" x14ac:dyDescent="0.4">
      <c r="B5673" s="17"/>
      <c r="C5673" s="15"/>
      <c r="D5673" s="15"/>
      <c r="E5673" s="18"/>
    </row>
    <row r="5674" spans="2:5" x14ac:dyDescent="0.4">
      <c r="B5674" s="17"/>
      <c r="C5674" s="15"/>
      <c r="D5674" s="15"/>
      <c r="E5674" s="18"/>
    </row>
    <row r="5675" spans="2:5" x14ac:dyDescent="0.4">
      <c r="B5675" s="17"/>
      <c r="C5675" s="15"/>
      <c r="D5675" s="15"/>
      <c r="E5675" s="18"/>
    </row>
    <row r="5676" spans="2:5" x14ac:dyDescent="0.4">
      <c r="B5676" s="17"/>
      <c r="C5676" s="15"/>
      <c r="D5676" s="15"/>
      <c r="E5676" s="18"/>
    </row>
    <row r="5677" spans="2:5" x14ac:dyDescent="0.4">
      <c r="B5677" s="17"/>
      <c r="C5677" s="15"/>
      <c r="D5677" s="15"/>
      <c r="E5677" s="18"/>
    </row>
    <row r="5678" spans="2:5" x14ac:dyDescent="0.4">
      <c r="B5678" s="17"/>
      <c r="C5678" s="15"/>
      <c r="D5678" s="15"/>
      <c r="E5678" s="18"/>
    </row>
    <row r="5679" spans="2:5" x14ac:dyDescent="0.4">
      <c r="B5679" s="17"/>
      <c r="C5679" s="15"/>
      <c r="D5679" s="15"/>
      <c r="E5679" s="18"/>
    </row>
    <row r="5680" spans="2:5" x14ac:dyDescent="0.4">
      <c r="B5680" s="17"/>
      <c r="C5680" s="15"/>
      <c r="D5680" s="15"/>
      <c r="E5680" s="18"/>
    </row>
    <row r="5681" spans="2:5" x14ac:dyDescent="0.4">
      <c r="B5681" s="17"/>
      <c r="C5681" s="15"/>
      <c r="D5681" s="15"/>
      <c r="E5681" s="18"/>
    </row>
    <row r="5682" spans="2:5" x14ac:dyDescent="0.4">
      <c r="B5682" s="17"/>
      <c r="C5682" s="15"/>
      <c r="D5682" s="15"/>
      <c r="E5682" s="18"/>
    </row>
    <row r="5683" spans="2:5" x14ac:dyDescent="0.4">
      <c r="B5683" s="17"/>
      <c r="C5683" s="15"/>
      <c r="D5683" s="15"/>
      <c r="E5683" s="18"/>
    </row>
    <row r="5684" spans="2:5" x14ac:dyDescent="0.4">
      <c r="B5684" s="17"/>
      <c r="C5684" s="15"/>
      <c r="D5684" s="15"/>
      <c r="E5684" s="18"/>
    </row>
    <row r="5685" spans="2:5" x14ac:dyDescent="0.4">
      <c r="B5685" s="17"/>
      <c r="C5685" s="15"/>
      <c r="D5685" s="15"/>
      <c r="E5685" s="18"/>
    </row>
    <row r="5686" spans="2:5" x14ac:dyDescent="0.4">
      <c r="B5686" s="17"/>
      <c r="C5686" s="15"/>
      <c r="D5686" s="15"/>
      <c r="E5686" s="18"/>
    </row>
    <row r="5687" spans="2:5" x14ac:dyDescent="0.4">
      <c r="B5687" s="17"/>
      <c r="C5687" s="15"/>
      <c r="D5687" s="15"/>
      <c r="E5687" s="18"/>
    </row>
    <row r="5688" spans="2:5" x14ac:dyDescent="0.4">
      <c r="B5688" s="17"/>
      <c r="C5688" s="15"/>
      <c r="D5688" s="15"/>
      <c r="E5688" s="18"/>
    </row>
    <row r="5689" spans="2:5" x14ac:dyDescent="0.4">
      <c r="B5689" s="17"/>
      <c r="C5689" s="15"/>
      <c r="D5689" s="15"/>
      <c r="E5689" s="18"/>
    </row>
    <row r="5690" spans="2:5" x14ac:dyDescent="0.4">
      <c r="B5690" s="17"/>
      <c r="C5690" s="15"/>
      <c r="D5690" s="15"/>
      <c r="E5690" s="18"/>
    </row>
    <row r="5691" spans="2:5" x14ac:dyDescent="0.4">
      <c r="B5691" s="17"/>
      <c r="C5691" s="15"/>
      <c r="D5691" s="15"/>
      <c r="E5691" s="18"/>
    </row>
    <row r="5692" spans="2:5" x14ac:dyDescent="0.4">
      <c r="B5692" s="17"/>
      <c r="C5692" s="15"/>
      <c r="D5692" s="15"/>
      <c r="E5692" s="18"/>
    </row>
    <row r="5693" spans="2:5" x14ac:dyDescent="0.4">
      <c r="B5693" s="17"/>
      <c r="C5693" s="15"/>
      <c r="D5693" s="15"/>
      <c r="E5693" s="18"/>
    </row>
    <row r="5694" spans="2:5" x14ac:dyDescent="0.4">
      <c r="B5694" s="17"/>
      <c r="C5694" s="15"/>
      <c r="D5694" s="15"/>
      <c r="E5694" s="18"/>
    </row>
    <row r="5695" spans="2:5" x14ac:dyDescent="0.4">
      <c r="B5695" s="17"/>
      <c r="C5695" s="15"/>
      <c r="D5695" s="15"/>
      <c r="E5695" s="18"/>
    </row>
    <row r="5696" spans="2:5" x14ac:dyDescent="0.4">
      <c r="B5696" s="17"/>
      <c r="C5696" s="15"/>
      <c r="D5696" s="15"/>
      <c r="E5696" s="18"/>
    </row>
    <row r="5697" spans="2:5" x14ac:dyDescent="0.4">
      <c r="B5697" s="17"/>
      <c r="C5697" s="15"/>
      <c r="D5697" s="15"/>
      <c r="E5697" s="18"/>
    </row>
    <row r="5698" spans="2:5" x14ac:dyDescent="0.4">
      <c r="B5698" s="17"/>
      <c r="C5698" s="15"/>
      <c r="D5698" s="15"/>
      <c r="E5698" s="18"/>
    </row>
    <row r="5699" spans="2:5" x14ac:dyDescent="0.4">
      <c r="B5699" s="17"/>
      <c r="C5699" s="15"/>
      <c r="D5699" s="15"/>
      <c r="E5699" s="18"/>
    </row>
    <row r="5700" spans="2:5" x14ac:dyDescent="0.4">
      <c r="B5700" s="17"/>
      <c r="C5700" s="15"/>
      <c r="D5700" s="15"/>
      <c r="E5700" s="18"/>
    </row>
    <row r="5701" spans="2:5" x14ac:dyDescent="0.4">
      <c r="B5701" s="17"/>
      <c r="C5701" s="15"/>
      <c r="D5701" s="15"/>
      <c r="E5701" s="18"/>
    </row>
    <row r="5702" spans="2:5" x14ac:dyDescent="0.4">
      <c r="B5702" s="17"/>
      <c r="C5702" s="15"/>
      <c r="D5702" s="15"/>
      <c r="E5702" s="18"/>
    </row>
    <row r="5703" spans="2:5" x14ac:dyDescent="0.4">
      <c r="B5703" s="17"/>
      <c r="C5703" s="15"/>
      <c r="D5703" s="15"/>
      <c r="E5703" s="18"/>
    </row>
    <row r="5704" spans="2:5" x14ac:dyDescent="0.4">
      <c r="B5704" s="17"/>
      <c r="C5704" s="15"/>
      <c r="D5704" s="15"/>
      <c r="E5704" s="18"/>
    </row>
    <row r="5705" spans="2:5" x14ac:dyDescent="0.4">
      <c r="B5705" s="17"/>
      <c r="C5705" s="15"/>
      <c r="D5705" s="15"/>
      <c r="E5705" s="18"/>
    </row>
    <row r="5706" spans="2:5" x14ac:dyDescent="0.4">
      <c r="B5706" s="17"/>
      <c r="C5706" s="15"/>
      <c r="D5706" s="15"/>
      <c r="E5706" s="18"/>
    </row>
    <row r="5707" spans="2:5" x14ac:dyDescent="0.4">
      <c r="B5707" s="17"/>
      <c r="C5707" s="15"/>
      <c r="D5707" s="15"/>
      <c r="E5707" s="18"/>
    </row>
    <row r="5708" spans="2:5" x14ac:dyDescent="0.4">
      <c r="B5708" s="17"/>
      <c r="C5708" s="15"/>
      <c r="D5708" s="15"/>
      <c r="E5708" s="18"/>
    </row>
    <row r="5709" spans="2:5" x14ac:dyDescent="0.4">
      <c r="B5709" s="17"/>
      <c r="C5709" s="15"/>
      <c r="D5709" s="15"/>
      <c r="E5709" s="18"/>
    </row>
    <row r="5710" spans="2:5" x14ac:dyDescent="0.4">
      <c r="B5710" s="17"/>
      <c r="C5710" s="15"/>
      <c r="D5710" s="15"/>
      <c r="E5710" s="18"/>
    </row>
    <row r="5711" spans="2:5" x14ac:dyDescent="0.4">
      <c r="B5711" s="17"/>
      <c r="C5711" s="15"/>
      <c r="D5711" s="15"/>
      <c r="E5711" s="18"/>
    </row>
    <row r="5712" spans="2:5" x14ac:dyDescent="0.4">
      <c r="B5712" s="17"/>
      <c r="C5712" s="15"/>
      <c r="D5712" s="15"/>
      <c r="E5712" s="18"/>
    </row>
    <row r="5713" spans="2:5" x14ac:dyDescent="0.4">
      <c r="B5713" s="17"/>
      <c r="C5713" s="15"/>
      <c r="D5713" s="15"/>
      <c r="E5713" s="18"/>
    </row>
    <row r="5714" spans="2:5" x14ac:dyDescent="0.4">
      <c r="B5714" s="17"/>
      <c r="C5714" s="15"/>
      <c r="D5714" s="15"/>
      <c r="E5714" s="18"/>
    </row>
    <row r="5715" spans="2:5" x14ac:dyDescent="0.4">
      <c r="B5715" s="17"/>
      <c r="C5715" s="15"/>
      <c r="D5715" s="15"/>
      <c r="E5715" s="18"/>
    </row>
    <row r="5716" spans="2:5" x14ac:dyDescent="0.4">
      <c r="B5716" s="17"/>
      <c r="C5716" s="15"/>
      <c r="D5716" s="15"/>
      <c r="E5716" s="18"/>
    </row>
    <row r="5717" spans="2:5" x14ac:dyDescent="0.4">
      <c r="B5717" s="17"/>
      <c r="C5717" s="15"/>
      <c r="D5717" s="15"/>
      <c r="E5717" s="18"/>
    </row>
    <row r="5718" spans="2:5" x14ac:dyDescent="0.4">
      <c r="B5718" s="17"/>
      <c r="C5718" s="15"/>
      <c r="D5718" s="15"/>
      <c r="E5718" s="18"/>
    </row>
    <row r="5719" spans="2:5" x14ac:dyDescent="0.4">
      <c r="B5719" s="17"/>
      <c r="C5719" s="15"/>
      <c r="D5719" s="15"/>
      <c r="E5719" s="18"/>
    </row>
    <row r="5720" spans="2:5" x14ac:dyDescent="0.4">
      <c r="B5720" s="17"/>
      <c r="C5720" s="15"/>
      <c r="D5720" s="15"/>
      <c r="E5720" s="18"/>
    </row>
    <row r="5721" spans="2:5" x14ac:dyDescent="0.4">
      <c r="B5721" s="17"/>
      <c r="C5721" s="15"/>
      <c r="D5721" s="15"/>
      <c r="E5721" s="18"/>
    </row>
    <row r="5722" spans="2:5" x14ac:dyDescent="0.4">
      <c r="B5722" s="17"/>
      <c r="C5722" s="15"/>
      <c r="D5722" s="15"/>
      <c r="E5722" s="18"/>
    </row>
    <row r="5723" spans="2:5" x14ac:dyDescent="0.4">
      <c r="B5723" s="17"/>
      <c r="C5723" s="15"/>
      <c r="D5723" s="15"/>
      <c r="E5723" s="18"/>
    </row>
    <row r="5724" spans="2:5" x14ac:dyDescent="0.4">
      <c r="B5724" s="17"/>
      <c r="C5724" s="15"/>
      <c r="D5724" s="15"/>
      <c r="E5724" s="18"/>
    </row>
    <row r="5725" spans="2:5" x14ac:dyDescent="0.4">
      <c r="B5725" s="17"/>
      <c r="C5725" s="15"/>
      <c r="D5725" s="15"/>
      <c r="E5725" s="18"/>
    </row>
    <row r="5726" spans="2:5" x14ac:dyDescent="0.4">
      <c r="B5726" s="17"/>
      <c r="C5726" s="15"/>
      <c r="D5726" s="15"/>
      <c r="E5726" s="18"/>
    </row>
    <row r="5727" spans="2:5" x14ac:dyDescent="0.4">
      <c r="B5727" s="17"/>
      <c r="C5727" s="15"/>
      <c r="D5727" s="15"/>
      <c r="E5727" s="18"/>
    </row>
    <row r="5728" spans="2:5" x14ac:dyDescent="0.4">
      <c r="B5728" s="17"/>
      <c r="C5728" s="15"/>
      <c r="D5728" s="15"/>
      <c r="E5728" s="18"/>
    </row>
    <row r="5729" spans="2:5" x14ac:dyDescent="0.4">
      <c r="B5729" s="17"/>
      <c r="C5729" s="15"/>
      <c r="D5729" s="15"/>
      <c r="E5729" s="18"/>
    </row>
    <row r="5730" spans="2:5" x14ac:dyDescent="0.4">
      <c r="B5730" s="17"/>
      <c r="C5730" s="15"/>
      <c r="D5730" s="15"/>
      <c r="E5730" s="18"/>
    </row>
    <row r="5731" spans="2:5" x14ac:dyDescent="0.4">
      <c r="B5731" s="17"/>
      <c r="C5731" s="15"/>
      <c r="D5731" s="15"/>
      <c r="E5731" s="18"/>
    </row>
    <row r="5732" spans="2:5" x14ac:dyDescent="0.4">
      <c r="B5732" s="17"/>
      <c r="C5732" s="15"/>
      <c r="D5732" s="15"/>
      <c r="E5732" s="18"/>
    </row>
    <row r="5733" spans="2:5" x14ac:dyDescent="0.4">
      <c r="B5733" s="17"/>
      <c r="C5733" s="15"/>
      <c r="D5733" s="15"/>
      <c r="E5733" s="18"/>
    </row>
    <row r="5734" spans="2:5" x14ac:dyDescent="0.4">
      <c r="B5734" s="17"/>
      <c r="C5734" s="15"/>
      <c r="D5734" s="15"/>
      <c r="E5734" s="18"/>
    </row>
    <row r="5735" spans="2:5" x14ac:dyDescent="0.4">
      <c r="B5735" s="17"/>
      <c r="C5735" s="15"/>
      <c r="D5735" s="15"/>
      <c r="E5735" s="18"/>
    </row>
    <row r="5736" spans="2:5" x14ac:dyDescent="0.4">
      <c r="B5736" s="17"/>
      <c r="C5736" s="15"/>
      <c r="D5736" s="15"/>
      <c r="E5736" s="18"/>
    </row>
    <row r="5737" spans="2:5" x14ac:dyDescent="0.4">
      <c r="B5737" s="17"/>
      <c r="C5737" s="15"/>
      <c r="D5737" s="15"/>
      <c r="E5737" s="18"/>
    </row>
    <row r="5738" spans="2:5" x14ac:dyDescent="0.4">
      <c r="B5738" s="17"/>
      <c r="C5738" s="15"/>
      <c r="D5738" s="15"/>
      <c r="E5738" s="18"/>
    </row>
    <row r="5739" spans="2:5" x14ac:dyDescent="0.4">
      <c r="B5739" s="17"/>
      <c r="C5739" s="15"/>
      <c r="D5739" s="15"/>
      <c r="E5739" s="18"/>
    </row>
    <row r="5740" spans="2:5" x14ac:dyDescent="0.4">
      <c r="B5740" s="17"/>
      <c r="C5740" s="15"/>
      <c r="D5740" s="15"/>
      <c r="E5740" s="18"/>
    </row>
    <row r="5741" spans="2:5" x14ac:dyDescent="0.4">
      <c r="B5741" s="17"/>
      <c r="C5741" s="15"/>
      <c r="D5741" s="15"/>
      <c r="E5741" s="18"/>
    </row>
    <row r="5742" spans="2:5" x14ac:dyDescent="0.4">
      <c r="B5742" s="17"/>
      <c r="C5742" s="15"/>
      <c r="D5742" s="15"/>
      <c r="E5742" s="18"/>
    </row>
    <row r="5743" spans="2:5" x14ac:dyDescent="0.4">
      <c r="B5743" s="17"/>
      <c r="C5743" s="15"/>
      <c r="D5743" s="15"/>
      <c r="E5743" s="18"/>
    </row>
    <row r="5744" spans="2:5" x14ac:dyDescent="0.4">
      <c r="B5744" s="17"/>
      <c r="C5744" s="15"/>
      <c r="D5744" s="15"/>
      <c r="E5744" s="18"/>
    </row>
    <row r="5745" spans="2:5" x14ac:dyDescent="0.4">
      <c r="B5745" s="17"/>
      <c r="C5745" s="15"/>
      <c r="D5745" s="15"/>
      <c r="E5745" s="18"/>
    </row>
    <row r="5746" spans="2:5" x14ac:dyDescent="0.4">
      <c r="B5746" s="17"/>
      <c r="C5746" s="15"/>
      <c r="D5746" s="15"/>
      <c r="E5746" s="18"/>
    </row>
    <row r="5747" spans="2:5" x14ac:dyDescent="0.4">
      <c r="B5747" s="17"/>
      <c r="C5747" s="15"/>
      <c r="D5747" s="15"/>
      <c r="E5747" s="18"/>
    </row>
    <row r="5748" spans="2:5" x14ac:dyDescent="0.4">
      <c r="B5748" s="17"/>
      <c r="C5748" s="15"/>
      <c r="D5748" s="15"/>
      <c r="E5748" s="18"/>
    </row>
    <row r="5749" spans="2:5" x14ac:dyDescent="0.4">
      <c r="B5749" s="17"/>
      <c r="C5749" s="15"/>
      <c r="D5749" s="15"/>
      <c r="E5749" s="18"/>
    </row>
    <row r="5750" spans="2:5" x14ac:dyDescent="0.4">
      <c r="B5750" s="17"/>
      <c r="C5750" s="15"/>
      <c r="D5750" s="15"/>
      <c r="E5750" s="18"/>
    </row>
    <row r="5751" spans="2:5" x14ac:dyDescent="0.4">
      <c r="B5751" s="17"/>
      <c r="C5751" s="15"/>
      <c r="D5751" s="15"/>
      <c r="E5751" s="18"/>
    </row>
    <row r="5752" spans="2:5" x14ac:dyDescent="0.4">
      <c r="B5752" s="17"/>
      <c r="C5752" s="15"/>
      <c r="D5752" s="15"/>
      <c r="E5752" s="18"/>
    </row>
    <row r="5753" spans="2:5" x14ac:dyDescent="0.4">
      <c r="B5753" s="17"/>
      <c r="C5753" s="15"/>
      <c r="D5753" s="15"/>
      <c r="E5753" s="18"/>
    </row>
    <row r="5754" spans="2:5" x14ac:dyDescent="0.4">
      <c r="B5754" s="17"/>
      <c r="C5754" s="15"/>
      <c r="D5754" s="15"/>
      <c r="E5754" s="18"/>
    </row>
    <row r="5755" spans="2:5" x14ac:dyDescent="0.4">
      <c r="B5755" s="17"/>
      <c r="C5755" s="15"/>
      <c r="D5755" s="15"/>
      <c r="E5755" s="18"/>
    </row>
    <row r="5756" spans="2:5" x14ac:dyDescent="0.4">
      <c r="B5756" s="17"/>
      <c r="C5756" s="15"/>
      <c r="D5756" s="15"/>
      <c r="E5756" s="18"/>
    </row>
    <row r="5757" spans="2:5" x14ac:dyDescent="0.4">
      <c r="B5757" s="17"/>
      <c r="C5757" s="15"/>
      <c r="D5757" s="15"/>
      <c r="E5757" s="18"/>
    </row>
    <row r="5758" spans="2:5" x14ac:dyDescent="0.4">
      <c r="B5758" s="17"/>
      <c r="C5758" s="15"/>
      <c r="D5758" s="15"/>
      <c r="E5758" s="18"/>
    </row>
    <row r="5759" spans="2:5" x14ac:dyDescent="0.4">
      <c r="B5759" s="17"/>
      <c r="C5759" s="15"/>
      <c r="D5759" s="15"/>
      <c r="E5759" s="18"/>
    </row>
    <row r="5760" spans="2:5" x14ac:dyDescent="0.4">
      <c r="B5760" s="17"/>
      <c r="C5760" s="15"/>
      <c r="D5760" s="15"/>
      <c r="E5760" s="18"/>
    </row>
    <row r="5761" spans="2:5" x14ac:dyDescent="0.4">
      <c r="B5761" s="17"/>
      <c r="C5761" s="15"/>
      <c r="D5761" s="15"/>
      <c r="E5761" s="18"/>
    </row>
    <row r="5762" spans="2:5" x14ac:dyDescent="0.4">
      <c r="B5762" s="17"/>
      <c r="C5762" s="15"/>
      <c r="D5762" s="15"/>
      <c r="E5762" s="18"/>
    </row>
    <row r="5763" spans="2:5" x14ac:dyDescent="0.4">
      <c r="B5763" s="17"/>
      <c r="C5763" s="15"/>
      <c r="D5763" s="15"/>
      <c r="E5763" s="18"/>
    </row>
    <row r="5764" spans="2:5" x14ac:dyDescent="0.4">
      <c r="B5764" s="17"/>
      <c r="C5764" s="15"/>
      <c r="D5764" s="15"/>
      <c r="E5764" s="18"/>
    </row>
    <row r="5765" spans="2:5" x14ac:dyDescent="0.4">
      <c r="B5765" s="17"/>
      <c r="C5765" s="15"/>
      <c r="D5765" s="15"/>
      <c r="E5765" s="18"/>
    </row>
    <row r="5766" spans="2:5" x14ac:dyDescent="0.4">
      <c r="B5766" s="17"/>
      <c r="C5766" s="15"/>
      <c r="D5766" s="15"/>
      <c r="E5766" s="18"/>
    </row>
    <row r="5767" spans="2:5" x14ac:dyDescent="0.4">
      <c r="B5767" s="17"/>
      <c r="C5767" s="15"/>
      <c r="D5767" s="15"/>
      <c r="E5767" s="18"/>
    </row>
    <row r="5768" spans="2:5" x14ac:dyDescent="0.4">
      <c r="B5768" s="17"/>
      <c r="C5768" s="15"/>
      <c r="D5768" s="15"/>
      <c r="E5768" s="18"/>
    </row>
    <row r="5769" spans="2:5" x14ac:dyDescent="0.4">
      <c r="B5769" s="17"/>
      <c r="C5769" s="15"/>
      <c r="D5769" s="15"/>
      <c r="E5769" s="18"/>
    </row>
    <row r="5770" spans="2:5" x14ac:dyDescent="0.4">
      <c r="B5770" s="17"/>
      <c r="C5770" s="15"/>
      <c r="D5770" s="15"/>
      <c r="E5770" s="18"/>
    </row>
    <row r="5771" spans="2:5" x14ac:dyDescent="0.4">
      <c r="B5771" s="17"/>
      <c r="C5771" s="15"/>
      <c r="D5771" s="15"/>
      <c r="E5771" s="18"/>
    </row>
    <row r="5772" spans="2:5" x14ac:dyDescent="0.4">
      <c r="B5772" s="17"/>
      <c r="C5772" s="15"/>
      <c r="D5772" s="15"/>
      <c r="E5772" s="18"/>
    </row>
    <row r="5773" spans="2:5" x14ac:dyDescent="0.4">
      <c r="B5773" s="17"/>
      <c r="C5773" s="15"/>
      <c r="D5773" s="15"/>
      <c r="E5773" s="18"/>
    </row>
    <row r="5774" spans="2:5" x14ac:dyDescent="0.4">
      <c r="B5774" s="17"/>
      <c r="C5774" s="15"/>
      <c r="D5774" s="15"/>
      <c r="E5774" s="18"/>
    </row>
    <row r="5775" spans="2:5" x14ac:dyDescent="0.4">
      <c r="B5775" s="17"/>
      <c r="C5775" s="15"/>
      <c r="D5775" s="15"/>
      <c r="E5775" s="18"/>
    </row>
    <row r="5776" spans="2:5" x14ac:dyDescent="0.4">
      <c r="B5776" s="17"/>
      <c r="C5776" s="15"/>
      <c r="D5776" s="15"/>
      <c r="E5776" s="18"/>
    </row>
    <row r="5777" spans="2:5" x14ac:dyDescent="0.4">
      <c r="B5777" s="17"/>
      <c r="C5777" s="15"/>
      <c r="D5777" s="15"/>
      <c r="E5777" s="18"/>
    </row>
    <row r="5778" spans="2:5" x14ac:dyDescent="0.4">
      <c r="B5778" s="17"/>
      <c r="C5778" s="15"/>
      <c r="D5778" s="15"/>
      <c r="E5778" s="18"/>
    </row>
    <row r="5779" spans="2:5" x14ac:dyDescent="0.4">
      <c r="B5779" s="17"/>
      <c r="C5779" s="15"/>
      <c r="D5779" s="15"/>
      <c r="E5779" s="18"/>
    </row>
    <row r="5780" spans="2:5" x14ac:dyDescent="0.4">
      <c r="B5780" s="17"/>
      <c r="C5780" s="15"/>
      <c r="D5780" s="15"/>
      <c r="E5780" s="18"/>
    </row>
    <row r="5781" spans="2:5" x14ac:dyDescent="0.4">
      <c r="B5781" s="17"/>
      <c r="C5781" s="15"/>
      <c r="D5781" s="15"/>
      <c r="E5781" s="18"/>
    </row>
    <row r="5782" spans="2:5" x14ac:dyDescent="0.4">
      <c r="B5782" s="17"/>
      <c r="C5782" s="15"/>
      <c r="D5782" s="15"/>
      <c r="E5782" s="18"/>
    </row>
    <row r="5783" spans="2:5" x14ac:dyDescent="0.4">
      <c r="B5783" s="17"/>
      <c r="C5783" s="15"/>
      <c r="D5783" s="15"/>
      <c r="E5783" s="18"/>
    </row>
    <row r="5784" spans="2:5" x14ac:dyDescent="0.4">
      <c r="B5784" s="17"/>
      <c r="C5784" s="15"/>
      <c r="D5784" s="15"/>
      <c r="E5784" s="18"/>
    </row>
    <row r="5785" spans="2:5" x14ac:dyDescent="0.4">
      <c r="B5785" s="17"/>
      <c r="C5785" s="15"/>
      <c r="D5785" s="15"/>
      <c r="E5785" s="18"/>
    </row>
    <row r="5786" spans="2:5" x14ac:dyDescent="0.4">
      <c r="B5786" s="17"/>
      <c r="C5786" s="15"/>
      <c r="D5786" s="15"/>
      <c r="E5786" s="18"/>
    </row>
    <row r="5787" spans="2:5" x14ac:dyDescent="0.4">
      <c r="B5787" s="17"/>
      <c r="C5787" s="15"/>
      <c r="D5787" s="15"/>
      <c r="E5787" s="18"/>
    </row>
    <row r="5788" spans="2:5" x14ac:dyDescent="0.4">
      <c r="B5788" s="17"/>
      <c r="C5788" s="15"/>
      <c r="D5788" s="15"/>
      <c r="E5788" s="18"/>
    </row>
    <row r="5789" spans="2:5" x14ac:dyDescent="0.4">
      <c r="B5789" s="17"/>
      <c r="C5789" s="15"/>
      <c r="D5789" s="15"/>
      <c r="E5789" s="18"/>
    </row>
    <row r="5790" spans="2:5" x14ac:dyDescent="0.4">
      <c r="B5790" s="17"/>
      <c r="C5790" s="15"/>
      <c r="D5790" s="15"/>
      <c r="E5790" s="18"/>
    </row>
    <row r="5791" spans="2:5" x14ac:dyDescent="0.4">
      <c r="B5791" s="17"/>
      <c r="C5791" s="15"/>
      <c r="D5791" s="15"/>
      <c r="E5791" s="18"/>
    </row>
    <row r="5792" spans="2:5" x14ac:dyDescent="0.4">
      <c r="B5792" s="17"/>
      <c r="C5792" s="15"/>
      <c r="D5792" s="15"/>
      <c r="E5792" s="18"/>
    </row>
    <row r="5793" spans="2:5" x14ac:dyDescent="0.4">
      <c r="B5793" s="17"/>
      <c r="C5793" s="15"/>
      <c r="D5793" s="15"/>
      <c r="E5793" s="18"/>
    </row>
    <row r="5794" spans="2:5" x14ac:dyDescent="0.4">
      <c r="B5794" s="17"/>
      <c r="C5794" s="15"/>
      <c r="D5794" s="15"/>
      <c r="E5794" s="18"/>
    </row>
    <row r="5795" spans="2:5" x14ac:dyDescent="0.4">
      <c r="B5795" s="17"/>
      <c r="C5795" s="15"/>
      <c r="D5795" s="15"/>
      <c r="E5795" s="18"/>
    </row>
    <row r="5796" spans="2:5" x14ac:dyDescent="0.4">
      <c r="B5796" s="17"/>
      <c r="C5796" s="15"/>
      <c r="D5796" s="15"/>
      <c r="E5796" s="18"/>
    </row>
    <row r="5797" spans="2:5" x14ac:dyDescent="0.4">
      <c r="B5797" s="17"/>
      <c r="C5797" s="15"/>
      <c r="D5797" s="15"/>
      <c r="E5797" s="18"/>
    </row>
    <row r="5798" spans="2:5" x14ac:dyDescent="0.4">
      <c r="B5798" s="17"/>
      <c r="C5798" s="15"/>
      <c r="D5798" s="15"/>
      <c r="E5798" s="18"/>
    </row>
    <row r="5799" spans="2:5" x14ac:dyDescent="0.4">
      <c r="B5799" s="17"/>
      <c r="C5799" s="15"/>
      <c r="D5799" s="15"/>
      <c r="E5799" s="18"/>
    </row>
    <row r="5800" spans="2:5" x14ac:dyDescent="0.4">
      <c r="B5800" s="17"/>
      <c r="C5800" s="15"/>
      <c r="D5800" s="15"/>
      <c r="E5800" s="18"/>
    </row>
    <row r="5801" spans="2:5" x14ac:dyDescent="0.4">
      <c r="B5801" s="17"/>
      <c r="C5801" s="15"/>
      <c r="D5801" s="15"/>
      <c r="E5801" s="18"/>
    </row>
    <row r="5802" spans="2:5" x14ac:dyDescent="0.4">
      <c r="B5802" s="17"/>
      <c r="C5802" s="15"/>
      <c r="D5802" s="15"/>
      <c r="E5802" s="18"/>
    </row>
    <row r="5803" spans="2:5" x14ac:dyDescent="0.4">
      <c r="B5803" s="17"/>
      <c r="C5803" s="15"/>
      <c r="D5803" s="15"/>
      <c r="E5803" s="18"/>
    </row>
    <row r="5804" spans="2:5" x14ac:dyDescent="0.4">
      <c r="B5804" s="17"/>
      <c r="C5804" s="15"/>
      <c r="D5804" s="15"/>
      <c r="E5804" s="18"/>
    </row>
    <row r="5805" spans="2:5" x14ac:dyDescent="0.4">
      <c r="B5805" s="17"/>
      <c r="C5805" s="15"/>
      <c r="D5805" s="15"/>
      <c r="E5805" s="18"/>
    </row>
    <row r="5806" spans="2:5" x14ac:dyDescent="0.4">
      <c r="B5806" s="17"/>
      <c r="C5806" s="15"/>
      <c r="D5806" s="15"/>
      <c r="E5806" s="18"/>
    </row>
    <row r="5807" spans="2:5" x14ac:dyDescent="0.4">
      <c r="B5807" s="17"/>
      <c r="C5807" s="15"/>
      <c r="D5807" s="15"/>
      <c r="E5807" s="18"/>
    </row>
    <row r="5808" spans="2:5" x14ac:dyDescent="0.4">
      <c r="B5808" s="17"/>
      <c r="C5808" s="15"/>
      <c r="D5808" s="15"/>
      <c r="E5808" s="18"/>
    </row>
    <row r="5809" spans="2:5" x14ac:dyDescent="0.4">
      <c r="B5809" s="17"/>
      <c r="C5809" s="15"/>
      <c r="D5809" s="15"/>
      <c r="E5809" s="18"/>
    </row>
    <row r="5810" spans="2:5" x14ac:dyDescent="0.4">
      <c r="B5810" s="17"/>
      <c r="C5810" s="15"/>
      <c r="D5810" s="15"/>
      <c r="E5810" s="18"/>
    </row>
    <row r="5811" spans="2:5" x14ac:dyDescent="0.4">
      <c r="B5811" s="17"/>
      <c r="C5811" s="15"/>
      <c r="D5811" s="15"/>
      <c r="E5811" s="18"/>
    </row>
    <row r="5812" spans="2:5" x14ac:dyDescent="0.4">
      <c r="B5812" s="17"/>
      <c r="C5812" s="15"/>
      <c r="D5812" s="15"/>
      <c r="E5812" s="18"/>
    </row>
    <row r="5813" spans="2:5" x14ac:dyDescent="0.4">
      <c r="B5813" s="17"/>
      <c r="C5813" s="15"/>
      <c r="D5813" s="15"/>
      <c r="E5813" s="18"/>
    </row>
    <row r="5814" spans="2:5" x14ac:dyDescent="0.4">
      <c r="B5814" s="17"/>
      <c r="C5814" s="15"/>
      <c r="D5814" s="15"/>
      <c r="E5814" s="18"/>
    </row>
    <row r="5815" spans="2:5" x14ac:dyDescent="0.4">
      <c r="B5815" s="17"/>
      <c r="C5815" s="15"/>
      <c r="D5815" s="15"/>
      <c r="E5815" s="18"/>
    </row>
    <row r="5816" spans="2:5" x14ac:dyDescent="0.4">
      <c r="B5816" s="17"/>
      <c r="C5816" s="15"/>
      <c r="D5816" s="15"/>
      <c r="E5816" s="18"/>
    </row>
    <row r="5817" spans="2:5" x14ac:dyDescent="0.4">
      <c r="B5817" s="17"/>
      <c r="C5817" s="15"/>
      <c r="D5817" s="15"/>
      <c r="E5817" s="18"/>
    </row>
    <row r="5818" spans="2:5" x14ac:dyDescent="0.4">
      <c r="B5818" s="17"/>
      <c r="C5818" s="15"/>
      <c r="D5818" s="15"/>
      <c r="E5818" s="18"/>
    </row>
    <row r="5819" spans="2:5" x14ac:dyDescent="0.4">
      <c r="B5819" s="17"/>
      <c r="C5819" s="15"/>
      <c r="D5819" s="15"/>
      <c r="E5819" s="18"/>
    </row>
    <row r="5820" spans="2:5" x14ac:dyDescent="0.4">
      <c r="B5820" s="17"/>
      <c r="C5820" s="15"/>
      <c r="D5820" s="15"/>
      <c r="E5820" s="18"/>
    </row>
    <row r="5821" spans="2:5" x14ac:dyDescent="0.4">
      <c r="B5821" s="17"/>
      <c r="C5821" s="15"/>
      <c r="D5821" s="15"/>
      <c r="E5821" s="18"/>
    </row>
    <row r="5822" spans="2:5" x14ac:dyDescent="0.4">
      <c r="B5822" s="17"/>
      <c r="C5822" s="15"/>
      <c r="D5822" s="15"/>
      <c r="E5822" s="18"/>
    </row>
    <row r="5823" spans="2:5" x14ac:dyDescent="0.4">
      <c r="B5823" s="17"/>
      <c r="C5823" s="15"/>
      <c r="D5823" s="15"/>
      <c r="E5823" s="18"/>
    </row>
    <row r="5824" spans="2:5" x14ac:dyDescent="0.4">
      <c r="B5824" s="17"/>
      <c r="C5824" s="15"/>
      <c r="D5824" s="15"/>
      <c r="E5824" s="18"/>
    </row>
    <row r="5825" spans="2:5" x14ac:dyDescent="0.4">
      <c r="B5825" s="17"/>
      <c r="C5825" s="15"/>
      <c r="D5825" s="15"/>
      <c r="E5825" s="18"/>
    </row>
    <row r="5826" spans="2:5" x14ac:dyDescent="0.4">
      <c r="B5826" s="17"/>
      <c r="C5826" s="15"/>
      <c r="D5826" s="15"/>
      <c r="E5826" s="18"/>
    </row>
    <row r="5827" spans="2:5" x14ac:dyDescent="0.4">
      <c r="B5827" s="17"/>
      <c r="C5827" s="15"/>
      <c r="D5827" s="15"/>
      <c r="E5827" s="18"/>
    </row>
    <row r="5828" spans="2:5" x14ac:dyDescent="0.4">
      <c r="B5828" s="17"/>
      <c r="C5828" s="15"/>
      <c r="D5828" s="15"/>
      <c r="E5828" s="18"/>
    </row>
    <row r="5829" spans="2:5" x14ac:dyDescent="0.4">
      <c r="B5829" s="17"/>
      <c r="C5829" s="15"/>
      <c r="D5829" s="15"/>
      <c r="E5829" s="18"/>
    </row>
    <row r="5830" spans="2:5" x14ac:dyDescent="0.4">
      <c r="B5830" s="17"/>
      <c r="C5830" s="15"/>
      <c r="D5830" s="15"/>
      <c r="E5830" s="18"/>
    </row>
    <row r="5831" spans="2:5" x14ac:dyDescent="0.4">
      <c r="B5831" s="17"/>
      <c r="C5831" s="15"/>
      <c r="D5831" s="15"/>
      <c r="E5831" s="18"/>
    </row>
    <row r="5832" spans="2:5" x14ac:dyDescent="0.4">
      <c r="B5832" s="17"/>
      <c r="C5832" s="15"/>
      <c r="D5832" s="15"/>
      <c r="E5832" s="18"/>
    </row>
    <row r="5833" spans="2:5" x14ac:dyDescent="0.4">
      <c r="B5833" s="17"/>
      <c r="C5833" s="15"/>
      <c r="D5833" s="15"/>
      <c r="E5833" s="18"/>
    </row>
    <row r="5834" spans="2:5" x14ac:dyDescent="0.4">
      <c r="B5834" s="17"/>
      <c r="C5834" s="15"/>
      <c r="D5834" s="15"/>
      <c r="E5834" s="18"/>
    </row>
    <row r="5835" spans="2:5" x14ac:dyDescent="0.4">
      <c r="B5835" s="17"/>
      <c r="C5835" s="15"/>
      <c r="D5835" s="15"/>
      <c r="E5835" s="18"/>
    </row>
    <row r="5836" spans="2:5" x14ac:dyDescent="0.4">
      <c r="B5836" s="17"/>
      <c r="C5836" s="15"/>
      <c r="D5836" s="15"/>
      <c r="E5836" s="18"/>
    </row>
    <row r="5837" spans="2:5" x14ac:dyDescent="0.4">
      <c r="B5837" s="17"/>
      <c r="C5837" s="15"/>
      <c r="D5837" s="15"/>
      <c r="E5837" s="18"/>
    </row>
    <row r="5838" spans="2:5" x14ac:dyDescent="0.4">
      <c r="B5838" s="17"/>
      <c r="C5838" s="15"/>
      <c r="D5838" s="15"/>
      <c r="E5838" s="18"/>
    </row>
    <row r="5839" spans="2:5" x14ac:dyDescent="0.4">
      <c r="B5839" s="17"/>
      <c r="C5839" s="15"/>
      <c r="D5839" s="15"/>
      <c r="E5839" s="18"/>
    </row>
    <row r="5840" spans="2:5" x14ac:dyDescent="0.4">
      <c r="B5840" s="17"/>
      <c r="C5840" s="15"/>
      <c r="D5840" s="15"/>
      <c r="E5840" s="18"/>
    </row>
    <row r="5841" spans="2:5" x14ac:dyDescent="0.4">
      <c r="B5841" s="17"/>
      <c r="C5841" s="15"/>
      <c r="D5841" s="15"/>
      <c r="E5841" s="18"/>
    </row>
    <row r="5842" spans="2:5" x14ac:dyDescent="0.4">
      <c r="B5842" s="17"/>
      <c r="C5842" s="15"/>
      <c r="D5842" s="15"/>
      <c r="E5842" s="18"/>
    </row>
    <row r="5843" spans="2:5" x14ac:dyDescent="0.4">
      <c r="B5843" s="17"/>
      <c r="C5843" s="15"/>
      <c r="D5843" s="15"/>
      <c r="E5843" s="18"/>
    </row>
    <row r="5844" spans="2:5" x14ac:dyDescent="0.4">
      <c r="B5844" s="17"/>
      <c r="C5844" s="15"/>
      <c r="D5844" s="15"/>
      <c r="E5844" s="18"/>
    </row>
    <row r="5845" spans="2:5" x14ac:dyDescent="0.4">
      <c r="B5845" s="17"/>
      <c r="C5845" s="15"/>
      <c r="D5845" s="15"/>
      <c r="E5845" s="18"/>
    </row>
    <row r="5846" spans="2:5" x14ac:dyDescent="0.4">
      <c r="B5846" s="17"/>
      <c r="C5846" s="15"/>
      <c r="D5846" s="15"/>
      <c r="E5846" s="18"/>
    </row>
    <row r="5847" spans="2:5" x14ac:dyDescent="0.4">
      <c r="B5847" s="17"/>
      <c r="C5847" s="15"/>
      <c r="D5847" s="15"/>
      <c r="E5847" s="18"/>
    </row>
    <row r="5848" spans="2:5" x14ac:dyDescent="0.4">
      <c r="B5848" s="17"/>
      <c r="C5848" s="15"/>
      <c r="D5848" s="15"/>
      <c r="E5848" s="18"/>
    </row>
    <row r="5849" spans="2:5" x14ac:dyDescent="0.4">
      <c r="B5849" s="17"/>
      <c r="C5849" s="15"/>
      <c r="D5849" s="15"/>
      <c r="E5849" s="18"/>
    </row>
    <row r="5850" spans="2:5" x14ac:dyDescent="0.4">
      <c r="B5850" s="17"/>
      <c r="C5850" s="15"/>
      <c r="D5850" s="15"/>
      <c r="E5850" s="18"/>
    </row>
    <row r="5851" spans="2:5" x14ac:dyDescent="0.4">
      <c r="B5851" s="17"/>
      <c r="C5851" s="15"/>
      <c r="D5851" s="15"/>
      <c r="E5851" s="18"/>
    </row>
    <row r="5852" spans="2:5" x14ac:dyDescent="0.4">
      <c r="B5852" s="17"/>
      <c r="C5852" s="15"/>
      <c r="D5852" s="15"/>
      <c r="E5852" s="18"/>
    </row>
    <row r="5853" spans="2:5" x14ac:dyDescent="0.4">
      <c r="B5853" s="17"/>
      <c r="C5853" s="15"/>
      <c r="D5853" s="15"/>
      <c r="E5853" s="18"/>
    </row>
    <row r="5854" spans="2:5" x14ac:dyDescent="0.4">
      <c r="B5854" s="17"/>
      <c r="C5854" s="15"/>
      <c r="D5854" s="15"/>
      <c r="E5854" s="18"/>
    </row>
    <row r="5855" spans="2:5" x14ac:dyDescent="0.4">
      <c r="B5855" s="17"/>
      <c r="C5855" s="15"/>
      <c r="D5855" s="15"/>
      <c r="E5855" s="18"/>
    </row>
    <row r="5856" spans="2:5" x14ac:dyDescent="0.4">
      <c r="B5856" s="17"/>
      <c r="C5856" s="15"/>
      <c r="D5856" s="15"/>
      <c r="E5856" s="18"/>
    </row>
    <row r="5857" spans="2:5" x14ac:dyDescent="0.4">
      <c r="B5857" s="17"/>
      <c r="C5857" s="15"/>
      <c r="D5857" s="15"/>
      <c r="E5857" s="18"/>
    </row>
    <row r="5858" spans="2:5" x14ac:dyDescent="0.4">
      <c r="B5858" s="17"/>
      <c r="C5858" s="15"/>
      <c r="D5858" s="15"/>
      <c r="E5858" s="18"/>
    </row>
    <row r="5859" spans="2:5" x14ac:dyDescent="0.4">
      <c r="B5859" s="17"/>
      <c r="C5859" s="15"/>
      <c r="D5859" s="15"/>
      <c r="E5859" s="18"/>
    </row>
    <row r="5860" spans="2:5" x14ac:dyDescent="0.4">
      <c r="B5860" s="17"/>
      <c r="C5860" s="15"/>
      <c r="D5860" s="15"/>
      <c r="E5860" s="18"/>
    </row>
    <row r="5861" spans="2:5" x14ac:dyDescent="0.4">
      <c r="B5861" s="17"/>
      <c r="C5861" s="15"/>
      <c r="D5861" s="15"/>
      <c r="E5861" s="18"/>
    </row>
    <row r="5862" spans="2:5" x14ac:dyDescent="0.4">
      <c r="B5862" s="17"/>
      <c r="C5862" s="15"/>
      <c r="D5862" s="15"/>
      <c r="E5862" s="18"/>
    </row>
    <row r="5863" spans="2:5" x14ac:dyDescent="0.4">
      <c r="B5863" s="17"/>
      <c r="C5863" s="15"/>
      <c r="D5863" s="15"/>
      <c r="E5863" s="18"/>
    </row>
    <row r="5864" spans="2:5" x14ac:dyDescent="0.4">
      <c r="B5864" s="17"/>
      <c r="C5864" s="15"/>
      <c r="D5864" s="15"/>
      <c r="E5864" s="18"/>
    </row>
    <row r="5865" spans="2:5" x14ac:dyDescent="0.4">
      <c r="B5865" s="17"/>
      <c r="C5865" s="15"/>
      <c r="D5865" s="15"/>
      <c r="E5865" s="18"/>
    </row>
    <row r="5866" spans="2:5" x14ac:dyDescent="0.4">
      <c r="B5866" s="17"/>
      <c r="C5866" s="15"/>
      <c r="D5866" s="15"/>
      <c r="E5866" s="18"/>
    </row>
    <row r="5867" spans="2:5" x14ac:dyDescent="0.4">
      <c r="B5867" s="17"/>
      <c r="C5867" s="15"/>
      <c r="D5867" s="15"/>
      <c r="E5867" s="18"/>
    </row>
    <row r="5868" spans="2:5" x14ac:dyDescent="0.4">
      <c r="B5868" s="17"/>
      <c r="C5868" s="15"/>
      <c r="D5868" s="15"/>
      <c r="E5868" s="18"/>
    </row>
    <row r="5869" spans="2:5" x14ac:dyDescent="0.4">
      <c r="B5869" s="17"/>
      <c r="C5869" s="15"/>
      <c r="D5869" s="15"/>
      <c r="E5869" s="18"/>
    </row>
    <row r="5870" spans="2:5" x14ac:dyDescent="0.4">
      <c r="B5870" s="17"/>
      <c r="C5870" s="15"/>
      <c r="D5870" s="15"/>
      <c r="E5870" s="18"/>
    </row>
    <row r="5871" spans="2:5" x14ac:dyDescent="0.4">
      <c r="B5871" s="17"/>
      <c r="C5871" s="15"/>
      <c r="D5871" s="15"/>
      <c r="E5871" s="18"/>
    </row>
    <row r="5872" spans="2:5" x14ac:dyDescent="0.4">
      <c r="B5872" s="17"/>
      <c r="C5872" s="15"/>
      <c r="D5872" s="15"/>
      <c r="E5872" s="18"/>
    </row>
    <row r="5873" spans="2:5" x14ac:dyDescent="0.4">
      <c r="B5873" s="17"/>
      <c r="C5873" s="15"/>
      <c r="D5873" s="15"/>
      <c r="E5873" s="18"/>
    </row>
    <row r="5874" spans="2:5" x14ac:dyDescent="0.4">
      <c r="B5874" s="17"/>
      <c r="C5874" s="15"/>
      <c r="D5874" s="15"/>
      <c r="E5874" s="18"/>
    </row>
    <row r="5875" spans="2:5" x14ac:dyDescent="0.4">
      <c r="B5875" s="17"/>
      <c r="C5875" s="15"/>
      <c r="D5875" s="15"/>
      <c r="E5875" s="18"/>
    </row>
    <row r="5876" spans="2:5" x14ac:dyDescent="0.4">
      <c r="B5876" s="17"/>
      <c r="C5876" s="15"/>
      <c r="D5876" s="15"/>
      <c r="E5876" s="18"/>
    </row>
    <row r="5877" spans="2:5" x14ac:dyDescent="0.4">
      <c r="B5877" s="17"/>
      <c r="C5877" s="15"/>
      <c r="D5877" s="15"/>
      <c r="E5877" s="18"/>
    </row>
    <row r="5878" spans="2:5" x14ac:dyDescent="0.4">
      <c r="B5878" s="17"/>
      <c r="C5878" s="15"/>
      <c r="D5878" s="15"/>
      <c r="E5878" s="18"/>
    </row>
    <row r="5879" spans="2:5" x14ac:dyDescent="0.4">
      <c r="B5879" s="17"/>
      <c r="C5879" s="15"/>
      <c r="D5879" s="15"/>
      <c r="E5879" s="18"/>
    </row>
    <row r="5880" spans="2:5" x14ac:dyDescent="0.4">
      <c r="B5880" s="17"/>
      <c r="C5880" s="15"/>
      <c r="D5880" s="15"/>
      <c r="E5880" s="18"/>
    </row>
    <row r="5881" spans="2:5" x14ac:dyDescent="0.4">
      <c r="B5881" s="17"/>
      <c r="C5881" s="15"/>
      <c r="D5881" s="15"/>
      <c r="E5881" s="18"/>
    </row>
    <row r="5882" spans="2:5" x14ac:dyDescent="0.4">
      <c r="B5882" s="17"/>
      <c r="C5882" s="15"/>
      <c r="D5882" s="15"/>
      <c r="E5882" s="18"/>
    </row>
    <row r="5883" spans="2:5" x14ac:dyDescent="0.4">
      <c r="B5883" s="17"/>
      <c r="C5883" s="15"/>
      <c r="D5883" s="15"/>
      <c r="E5883" s="18"/>
    </row>
    <row r="5884" spans="2:5" x14ac:dyDescent="0.4">
      <c r="B5884" s="17"/>
      <c r="C5884" s="15"/>
      <c r="D5884" s="15"/>
      <c r="E5884" s="18"/>
    </row>
    <row r="5885" spans="2:5" x14ac:dyDescent="0.4">
      <c r="B5885" s="17"/>
      <c r="C5885" s="15"/>
      <c r="D5885" s="15"/>
      <c r="E5885" s="18"/>
    </row>
    <row r="5886" spans="2:5" x14ac:dyDescent="0.4">
      <c r="B5886" s="17"/>
      <c r="C5886" s="15"/>
      <c r="D5886" s="15"/>
      <c r="E5886" s="18"/>
    </row>
    <row r="5887" spans="2:5" x14ac:dyDescent="0.4">
      <c r="B5887" s="17"/>
      <c r="C5887" s="15"/>
      <c r="D5887" s="15"/>
      <c r="E5887" s="18"/>
    </row>
    <row r="5888" spans="2:5" x14ac:dyDescent="0.4">
      <c r="B5888" s="17"/>
      <c r="C5888" s="15"/>
      <c r="D5888" s="15"/>
      <c r="E5888" s="18"/>
    </row>
    <row r="5889" spans="2:5" x14ac:dyDescent="0.4">
      <c r="B5889" s="17"/>
      <c r="C5889" s="15"/>
      <c r="D5889" s="15"/>
      <c r="E5889" s="18"/>
    </row>
    <row r="5890" spans="2:5" x14ac:dyDescent="0.4">
      <c r="B5890" s="17"/>
      <c r="C5890" s="15"/>
      <c r="D5890" s="15"/>
      <c r="E5890" s="18"/>
    </row>
    <row r="5891" spans="2:5" x14ac:dyDescent="0.4">
      <c r="B5891" s="17"/>
      <c r="C5891" s="15"/>
      <c r="D5891" s="15"/>
      <c r="E5891" s="18"/>
    </row>
    <row r="5892" spans="2:5" x14ac:dyDescent="0.4">
      <c r="B5892" s="17"/>
      <c r="C5892" s="15"/>
      <c r="D5892" s="15"/>
      <c r="E5892" s="18"/>
    </row>
    <row r="5893" spans="2:5" x14ac:dyDescent="0.4">
      <c r="B5893" s="17"/>
      <c r="C5893" s="15"/>
      <c r="D5893" s="15"/>
      <c r="E5893" s="18"/>
    </row>
    <row r="5894" spans="2:5" x14ac:dyDescent="0.4">
      <c r="B5894" s="17"/>
      <c r="C5894" s="15"/>
      <c r="D5894" s="15"/>
      <c r="E5894" s="18"/>
    </row>
    <row r="5895" spans="2:5" x14ac:dyDescent="0.4">
      <c r="B5895" s="17"/>
      <c r="C5895" s="15"/>
      <c r="D5895" s="15"/>
      <c r="E5895" s="18"/>
    </row>
    <row r="5896" spans="2:5" x14ac:dyDescent="0.4">
      <c r="B5896" s="17"/>
      <c r="C5896" s="15"/>
      <c r="D5896" s="15"/>
      <c r="E5896" s="18"/>
    </row>
    <row r="5897" spans="2:5" x14ac:dyDescent="0.4">
      <c r="B5897" s="17"/>
      <c r="C5897" s="15"/>
      <c r="D5897" s="15"/>
      <c r="E5897" s="18"/>
    </row>
    <row r="5898" spans="2:5" x14ac:dyDescent="0.4">
      <c r="B5898" s="17"/>
      <c r="C5898" s="15"/>
      <c r="D5898" s="15"/>
      <c r="E5898" s="18"/>
    </row>
    <row r="5899" spans="2:5" x14ac:dyDescent="0.4">
      <c r="B5899" s="17"/>
      <c r="C5899" s="15"/>
      <c r="D5899" s="15"/>
      <c r="E5899" s="18"/>
    </row>
    <row r="5900" spans="2:5" x14ac:dyDescent="0.4">
      <c r="B5900" s="17"/>
      <c r="C5900" s="15"/>
      <c r="D5900" s="15"/>
      <c r="E5900" s="18"/>
    </row>
    <row r="5901" spans="2:5" x14ac:dyDescent="0.4">
      <c r="B5901" s="17"/>
      <c r="C5901" s="15"/>
      <c r="D5901" s="15"/>
      <c r="E5901" s="18"/>
    </row>
    <row r="5902" spans="2:5" x14ac:dyDescent="0.4">
      <c r="B5902" s="17"/>
      <c r="C5902" s="15"/>
      <c r="D5902" s="15"/>
      <c r="E5902" s="18"/>
    </row>
    <row r="5903" spans="2:5" x14ac:dyDescent="0.4">
      <c r="B5903" s="17"/>
      <c r="C5903" s="15"/>
      <c r="D5903" s="15"/>
      <c r="E5903" s="18"/>
    </row>
    <row r="5904" spans="2:5" x14ac:dyDescent="0.4">
      <c r="B5904" s="17"/>
      <c r="C5904" s="15"/>
      <c r="D5904" s="15"/>
      <c r="E5904" s="18"/>
    </row>
    <row r="5905" spans="2:5" x14ac:dyDescent="0.4">
      <c r="B5905" s="17"/>
      <c r="C5905" s="15"/>
      <c r="D5905" s="15"/>
      <c r="E5905" s="18"/>
    </row>
    <row r="5906" spans="2:5" x14ac:dyDescent="0.4">
      <c r="B5906" s="17"/>
      <c r="C5906" s="15"/>
      <c r="D5906" s="15"/>
      <c r="E5906" s="18"/>
    </row>
    <row r="5907" spans="2:5" x14ac:dyDescent="0.4">
      <c r="B5907" s="17"/>
      <c r="C5907" s="15"/>
      <c r="D5907" s="15"/>
      <c r="E5907" s="18"/>
    </row>
    <row r="5908" spans="2:5" x14ac:dyDescent="0.4">
      <c r="B5908" s="17"/>
      <c r="C5908" s="15"/>
      <c r="D5908" s="15"/>
      <c r="E5908" s="18"/>
    </row>
    <row r="5909" spans="2:5" x14ac:dyDescent="0.4">
      <c r="B5909" s="17"/>
      <c r="C5909" s="15"/>
      <c r="D5909" s="15"/>
      <c r="E5909" s="18"/>
    </row>
    <row r="5910" spans="2:5" x14ac:dyDescent="0.4">
      <c r="B5910" s="17"/>
      <c r="C5910" s="15"/>
      <c r="D5910" s="15"/>
      <c r="E5910" s="18"/>
    </row>
    <row r="5911" spans="2:5" x14ac:dyDescent="0.4">
      <c r="B5911" s="17"/>
      <c r="C5911" s="15"/>
      <c r="D5911" s="15"/>
      <c r="E5911" s="18"/>
    </row>
    <row r="5912" spans="2:5" x14ac:dyDescent="0.4">
      <c r="B5912" s="17"/>
      <c r="C5912" s="15"/>
      <c r="D5912" s="15"/>
      <c r="E5912" s="18"/>
    </row>
    <row r="5913" spans="2:5" x14ac:dyDescent="0.4">
      <c r="B5913" s="17"/>
      <c r="C5913" s="15"/>
      <c r="D5913" s="15"/>
      <c r="E5913" s="18"/>
    </row>
    <row r="5914" spans="2:5" x14ac:dyDescent="0.4">
      <c r="B5914" s="17"/>
      <c r="C5914" s="15"/>
      <c r="D5914" s="15"/>
      <c r="E5914" s="18"/>
    </row>
    <row r="5915" spans="2:5" x14ac:dyDescent="0.4">
      <c r="B5915" s="17"/>
      <c r="C5915" s="15"/>
      <c r="D5915" s="15"/>
      <c r="E5915" s="18"/>
    </row>
    <row r="5916" spans="2:5" x14ac:dyDescent="0.4">
      <c r="B5916" s="17"/>
      <c r="C5916" s="15"/>
      <c r="D5916" s="15"/>
      <c r="E5916" s="18"/>
    </row>
    <row r="5917" spans="2:5" x14ac:dyDescent="0.4">
      <c r="B5917" s="17"/>
      <c r="C5917" s="15"/>
      <c r="D5917" s="15"/>
      <c r="E5917" s="18"/>
    </row>
    <row r="5918" spans="2:5" x14ac:dyDescent="0.4">
      <c r="B5918" s="17"/>
      <c r="C5918" s="15"/>
      <c r="D5918" s="15"/>
      <c r="E5918" s="18"/>
    </row>
    <row r="5919" spans="2:5" x14ac:dyDescent="0.4">
      <c r="B5919" s="17"/>
      <c r="C5919" s="15"/>
      <c r="D5919" s="15"/>
      <c r="E5919" s="18"/>
    </row>
    <row r="5920" spans="2:5" x14ac:dyDescent="0.4">
      <c r="B5920" s="17"/>
      <c r="C5920" s="15"/>
      <c r="D5920" s="15"/>
      <c r="E5920" s="18"/>
    </row>
    <row r="5921" spans="2:5" x14ac:dyDescent="0.4">
      <c r="B5921" s="17"/>
      <c r="C5921" s="15"/>
      <c r="D5921" s="15"/>
      <c r="E5921" s="18"/>
    </row>
    <row r="5922" spans="2:5" x14ac:dyDescent="0.4">
      <c r="B5922" s="17"/>
      <c r="C5922" s="15"/>
      <c r="D5922" s="15"/>
      <c r="E5922" s="18"/>
    </row>
    <row r="5923" spans="2:5" x14ac:dyDescent="0.4">
      <c r="B5923" s="17"/>
      <c r="C5923" s="15"/>
      <c r="D5923" s="15"/>
      <c r="E5923" s="18"/>
    </row>
    <row r="5924" spans="2:5" x14ac:dyDescent="0.4">
      <c r="B5924" s="17"/>
      <c r="C5924" s="15"/>
      <c r="D5924" s="15"/>
      <c r="E5924" s="18"/>
    </row>
    <row r="5925" spans="2:5" x14ac:dyDescent="0.4">
      <c r="B5925" s="17"/>
      <c r="C5925" s="15"/>
      <c r="D5925" s="15"/>
      <c r="E5925" s="18"/>
    </row>
    <row r="5926" spans="2:5" x14ac:dyDescent="0.4">
      <c r="B5926" s="17"/>
      <c r="C5926" s="15"/>
      <c r="D5926" s="15"/>
      <c r="E5926" s="18"/>
    </row>
    <row r="5927" spans="2:5" x14ac:dyDescent="0.4">
      <c r="B5927" s="17"/>
      <c r="C5927" s="15"/>
      <c r="D5927" s="15"/>
      <c r="E5927" s="18"/>
    </row>
    <row r="5928" spans="2:5" x14ac:dyDescent="0.4">
      <c r="B5928" s="17"/>
      <c r="C5928" s="15"/>
      <c r="D5928" s="15"/>
      <c r="E5928" s="18"/>
    </row>
    <row r="5929" spans="2:5" x14ac:dyDescent="0.4">
      <c r="B5929" s="17"/>
      <c r="C5929" s="15"/>
      <c r="D5929" s="15"/>
      <c r="E5929" s="18"/>
    </row>
    <row r="5930" spans="2:5" x14ac:dyDescent="0.4">
      <c r="B5930" s="17"/>
      <c r="C5930" s="15"/>
      <c r="D5930" s="15"/>
      <c r="E5930" s="18"/>
    </row>
    <row r="5931" spans="2:5" x14ac:dyDescent="0.4">
      <c r="B5931" s="17"/>
      <c r="C5931" s="15"/>
      <c r="D5931" s="15"/>
      <c r="E5931" s="18"/>
    </row>
    <row r="5932" spans="2:5" x14ac:dyDescent="0.4">
      <c r="B5932" s="17"/>
      <c r="C5932" s="15"/>
      <c r="D5932" s="15"/>
      <c r="E5932" s="18"/>
    </row>
    <row r="5933" spans="2:5" x14ac:dyDescent="0.4">
      <c r="B5933" s="17"/>
      <c r="C5933" s="15"/>
      <c r="D5933" s="15"/>
      <c r="E5933" s="18"/>
    </row>
    <row r="5934" spans="2:5" x14ac:dyDescent="0.4">
      <c r="B5934" s="17"/>
      <c r="C5934" s="15"/>
      <c r="D5934" s="15"/>
      <c r="E5934" s="18"/>
    </row>
    <row r="5935" spans="2:5" x14ac:dyDescent="0.4">
      <c r="B5935" s="17"/>
      <c r="C5935" s="15"/>
      <c r="D5935" s="15"/>
      <c r="E5935" s="18"/>
    </row>
    <row r="5936" spans="2:5" x14ac:dyDescent="0.4">
      <c r="B5936" s="17"/>
      <c r="C5936" s="15"/>
      <c r="D5936" s="15"/>
      <c r="E5936" s="18"/>
    </row>
    <row r="5937" spans="2:5" x14ac:dyDescent="0.4">
      <c r="B5937" s="17"/>
      <c r="C5937" s="15"/>
      <c r="D5937" s="15"/>
      <c r="E5937" s="18"/>
    </row>
    <row r="5938" spans="2:5" x14ac:dyDescent="0.4">
      <c r="B5938" s="17"/>
      <c r="C5938" s="15"/>
      <c r="D5938" s="15"/>
      <c r="E5938" s="18"/>
    </row>
    <row r="5939" spans="2:5" x14ac:dyDescent="0.4">
      <c r="B5939" s="17"/>
      <c r="C5939" s="15"/>
      <c r="D5939" s="15"/>
      <c r="E5939" s="18"/>
    </row>
    <row r="5940" spans="2:5" x14ac:dyDescent="0.4">
      <c r="B5940" s="17"/>
      <c r="C5940" s="15"/>
      <c r="D5940" s="15"/>
      <c r="E5940" s="18"/>
    </row>
    <row r="5941" spans="2:5" x14ac:dyDescent="0.4">
      <c r="B5941" s="17"/>
      <c r="C5941" s="15"/>
      <c r="D5941" s="15"/>
      <c r="E5941" s="18"/>
    </row>
    <row r="5942" spans="2:5" x14ac:dyDescent="0.4">
      <c r="B5942" s="17"/>
      <c r="C5942" s="15"/>
      <c r="D5942" s="15"/>
      <c r="E5942" s="18"/>
    </row>
    <row r="5943" spans="2:5" x14ac:dyDescent="0.4">
      <c r="B5943" s="17"/>
      <c r="C5943" s="15"/>
      <c r="D5943" s="15"/>
      <c r="E5943" s="18"/>
    </row>
    <row r="5944" spans="2:5" x14ac:dyDescent="0.4">
      <c r="B5944" s="17"/>
      <c r="C5944" s="15"/>
      <c r="D5944" s="15"/>
      <c r="E5944" s="18"/>
    </row>
    <row r="5945" spans="2:5" x14ac:dyDescent="0.4">
      <c r="B5945" s="17"/>
      <c r="C5945" s="15"/>
      <c r="D5945" s="15"/>
      <c r="E5945" s="18"/>
    </row>
    <row r="5946" spans="2:5" x14ac:dyDescent="0.4">
      <c r="B5946" s="17"/>
      <c r="C5946" s="15"/>
      <c r="D5946" s="15"/>
      <c r="E5946" s="18"/>
    </row>
    <row r="5947" spans="2:5" x14ac:dyDescent="0.4">
      <c r="B5947" s="17"/>
      <c r="C5947" s="15"/>
      <c r="D5947" s="15"/>
      <c r="E5947" s="18"/>
    </row>
    <row r="5948" spans="2:5" x14ac:dyDescent="0.4">
      <c r="B5948" s="17"/>
      <c r="C5948" s="15"/>
      <c r="D5948" s="15"/>
      <c r="E5948" s="18"/>
    </row>
    <row r="5949" spans="2:5" x14ac:dyDescent="0.4">
      <c r="B5949" s="17"/>
      <c r="C5949" s="15"/>
      <c r="D5949" s="15"/>
      <c r="E5949" s="18"/>
    </row>
    <row r="5950" spans="2:5" x14ac:dyDescent="0.4">
      <c r="B5950" s="17"/>
      <c r="C5950" s="15"/>
      <c r="D5950" s="15"/>
      <c r="E5950" s="18"/>
    </row>
    <row r="5951" spans="2:5" x14ac:dyDescent="0.4">
      <c r="B5951" s="17"/>
      <c r="C5951" s="15"/>
      <c r="D5951" s="15"/>
      <c r="E5951" s="18"/>
    </row>
    <row r="5952" spans="2:5" x14ac:dyDescent="0.4">
      <c r="B5952" s="17"/>
      <c r="C5952" s="15"/>
      <c r="D5952" s="15"/>
      <c r="E5952" s="18"/>
    </row>
    <row r="5953" spans="2:5" x14ac:dyDescent="0.4">
      <c r="B5953" s="17"/>
      <c r="C5953" s="15"/>
      <c r="D5953" s="15"/>
      <c r="E5953" s="18"/>
    </row>
    <row r="5954" spans="2:5" x14ac:dyDescent="0.4">
      <c r="B5954" s="17"/>
      <c r="C5954" s="15"/>
      <c r="D5954" s="15"/>
      <c r="E5954" s="18"/>
    </row>
    <row r="5955" spans="2:5" x14ac:dyDescent="0.4">
      <c r="B5955" s="17"/>
      <c r="C5955" s="15"/>
      <c r="D5955" s="15"/>
      <c r="E5955" s="18"/>
    </row>
    <row r="5956" spans="2:5" x14ac:dyDescent="0.4">
      <c r="B5956" s="17"/>
      <c r="C5956" s="15"/>
      <c r="D5956" s="15"/>
      <c r="E5956" s="18"/>
    </row>
    <row r="5957" spans="2:5" x14ac:dyDescent="0.4">
      <c r="B5957" s="17"/>
      <c r="C5957" s="15"/>
      <c r="D5957" s="15"/>
      <c r="E5957" s="18"/>
    </row>
    <row r="5958" spans="2:5" x14ac:dyDescent="0.4">
      <c r="B5958" s="17"/>
      <c r="C5958" s="15"/>
      <c r="D5958" s="15"/>
      <c r="E5958" s="18"/>
    </row>
    <row r="5959" spans="2:5" x14ac:dyDescent="0.4">
      <c r="B5959" s="17"/>
      <c r="C5959" s="15"/>
      <c r="D5959" s="15"/>
      <c r="E5959" s="18"/>
    </row>
    <row r="5960" spans="2:5" x14ac:dyDescent="0.4">
      <c r="B5960" s="17"/>
      <c r="C5960" s="15"/>
      <c r="D5960" s="15"/>
      <c r="E5960" s="18"/>
    </row>
    <row r="5961" spans="2:5" x14ac:dyDescent="0.4">
      <c r="B5961" s="17"/>
      <c r="C5961" s="15"/>
      <c r="D5961" s="15"/>
      <c r="E5961" s="18"/>
    </row>
    <row r="5962" spans="2:5" x14ac:dyDescent="0.4">
      <c r="B5962" s="17"/>
      <c r="C5962" s="15"/>
      <c r="D5962" s="15"/>
      <c r="E5962" s="18"/>
    </row>
    <row r="5963" spans="2:5" x14ac:dyDescent="0.4">
      <c r="B5963" s="17"/>
      <c r="C5963" s="15"/>
      <c r="D5963" s="15"/>
      <c r="E5963" s="18"/>
    </row>
    <row r="5964" spans="2:5" x14ac:dyDescent="0.4">
      <c r="B5964" s="17"/>
      <c r="C5964" s="15"/>
      <c r="D5964" s="15"/>
      <c r="E5964" s="18"/>
    </row>
    <row r="5965" spans="2:5" x14ac:dyDescent="0.4">
      <c r="B5965" s="17"/>
      <c r="C5965" s="15"/>
      <c r="D5965" s="15"/>
      <c r="E5965" s="18"/>
    </row>
    <row r="5966" spans="2:5" x14ac:dyDescent="0.4">
      <c r="B5966" s="17"/>
      <c r="C5966" s="15"/>
      <c r="D5966" s="15"/>
      <c r="E5966" s="18"/>
    </row>
    <row r="5967" spans="2:5" x14ac:dyDescent="0.4">
      <c r="B5967" s="17"/>
      <c r="C5967" s="15"/>
      <c r="D5967" s="15"/>
      <c r="E5967" s="18"/>
    </row>
    <row r="5968" spans="2:5" x14ac:dyDescent="0.4">
      <c r="B5968" s="17"/>
      <c r="C5968" s="15"/>
      <c r="D5968" s="15"/>
      <c r="E5968" s="18"/>
    </row>
    <row r="5969" spans="2:5" x14ac:dyDescent="0.4">
      <c r="B5969" s="17"/>
      <c r="C5969" s="15"/>
      <c r="D5969" s="15"/>
      <c r="E5969" s="18"/>
    </row>
    <row r="5970" spans="2:5" x14ac:dyDescent="0.4">
      <c r="B5970" s="17"/>
      <c r="C5970" s="15"/>
      <c r="D5970" s="15"/>
      <c r="E5970" s="18"/>
    </row>
    <row r="5971" spans="2:5" x14ac:dyDescent="0.4">
      <c r="B5971" s="17"/>
      <c r="C5971" s="15"/>
      <c r="D5971" s="15"/>
      <c r="E5971" s="18"/>
    </row>
    <row r="5972" spans="2:5" x14ac:dyDescent="0.4">
      <c r="B5972" s="17"/>
      <c r="C5972" s="15"/>
      <c r="D5972" s="15"/>
      <c r="E5972" s="18"/>
    </row>
    <row r="5973" spans="2:5" x14ac:dyDescent="0.4">
      <c r="B5973" s="17"/>
      <c r="C5973" s="15"/>
      <c r="D5973" s="15"/>
      <c r="E5973" s="18"/>
    </row>
    <row r="5974" spans="2:5" x14ac:dyDescent="0.4">
      <c r="B5974" s="17"/>
      <c r="C5974" s="15"/>
      <c r="D5974" s="15"/>
      <c r="E5974" s="18"/>
    </row>
    <row r="5975" spans="2:5" x14ac:dyDescent="0.4">
      <c r="B5975" s="17"/>
      <c r="C5975" s="15"/>
      <c r="D5975" s="15"/>
      <c r="E5975" s="18"/>
    </row>
    <row r="5976" spans="2:5" x14ac:dyDescent="0.4">
      <c r="B5976" s="17"/>
      <c r="C5976" s="15"/>
      <c r="D5976" s="15"/>
      <c r="E5976" s="18"/>
    </row>
    <row r="5977" spans="2:5" x14ac:dyDescent="0.4">
      <c r="B5977" s="17"/>
      <c r="C5977" s="15"/>
      <c r="D5977" s="15"/>
      <c r="E5977" s="18"/>
    </row>
    <row r="5978" spans="2:5" x14ac:dyDescent="0.4">
      <c r="B5978" s="17"/>
      <c r="C5978" s="15"/>
      <c r="D5978" s="15"/>
      <c r="E5978" s="18"/>
    </row>
    <row r="5979" spans="2:5" x14ac:dyDescent="0.4">
      <c r="B5979" s="17"/>
      <c r="C5979" s="15"/>
      <c r="D5979" s="15"/>
      <c r="E5979" s="18"/>
    </row>
    <row r="5980" spans="2:5" x14ac:dyDescent="0.4">
      <c r="B5980" s="17"/>
      <c r="C5980" s="15"/>
      <c r="D5980" s="15"/>
      <c r="E5980" s="18"/>
    </row>
    <row r="5981" spans="2:5" x14ac:dyDescent="0.4">
      <c r="B5981" s="17"/>
      <c r="C5981" s="15"/>
      <c r="D5981" s="15"/>
      <c r="E5981" s="18"/>
    </row>
    <row r="5982" spans="2:5" x14ac:dyDescent="0.4">
      <c r="B5982" s="17"/>
      <c r="C5982" s="15"/>
      <c r="D5982" s="15"/>
      <c r="E5982" s="18"/>
    </row>
    <row r="5983" spans="2:5" x14ac:dyDescent="0.4">
      <c r="B5983" s="17"/>
      <c r="C5983" s="15"/>
      <c r="D5983" s="15"/>
      <c r="E5983" s="18"/>
    </row>
    <row r="5984" spans="2:5" x14ac:dyDescent="0.4">
      <c r="B5984" s="17"/>
      <c r="C5984" s="15"/>
      <c r="D5984" s="15"/>
      <c r="E5984" s="18"/>
    </row>
    <row r="5985" spans="2:5" x14ac:dyDescent="0.4">
      <c r="B5985" s="17"/>
      <c r="C5985" s="15"/>
      <c r="D5985" s="15"/>
      <c r="E5985" s="18"/>
    </row>
    <row r="5986" spans="2:5" x14ac:dyDescent="0.4">
      <c r="B5986" s="17"/>
      <c r="C5986" s="15"/>
      <c r="D5986" s="15"/>
      <c r="E5986" s="18"/>
    </row>
    <row r="5987" spans="2:5" x14ac:dyDescent="0.4">
      <c r="B5987" s="17"/>
      <c r="C5987" s="15"/>
      <c r="D5987" s="15"/>
      <c r="E5987" s="18"/>
    </row>
    <row r="5988" spans="2:5" x14ac:dyDescent="0.4">
      <c r="B5988" s="17"/>
      <c r="C5988" s="15"/>
      <c r="D5988" s="15"/>
      <c r="E5988" s="18"/>
    </row>
    <row r="5989" spans="2:5" x14ac:dyDescent="0.4">
      <c r="B5989" s="17"/>
      <c r="C5989" s="15"/>
      <c r="D5989" s="15"/>
      <c r="E5989" s="18"/>
    </row>
    <row r="5990" spans="2:5" x14ac:dyDescent="0.4">
      <c r="B5990" s="17"/>
      <c r="C5990" s="15"/>
      <c r="D5990" s="15"/>
      <c r="E5990" s="18"/>
    </row>
    <row r="5991" spans="2:5" x14ac:dyDescent="0.4">
      <c r="B5991" s="17"/>
      <c r="C5991" s="15"/>
      <c r="D5991" s="15"/>
      <c r="E5991" s="18"/>
    </row>
    <row r="5992" spans="2:5" x14ac:dyDescent="0.4">
      <c r="B5992" s="17"/>
      <c r="C5992" s="15"/>
      <c r="D5992" s="15"/>
      <c r="E5992" s="18"/>
    </row>
    <row r="5993" spans="2:5" x14ac:dyDescent="0.4">
      <c r="B5993" s="17"/>
      <c r="C5993" s="15"/>
      <c r="D5993" s="15"/>
      <c r="E5993" s="18"/>
    </row>
    <row r="5994" spans="2:5" x14ac:dyDescent="0.4">
      <c r="B5994" s="17"/>
      <c r="C5994" s="15"/>
      <c r="D5994" s="15"/>
      <c r="E5994" s="18"/>
    </row>
    <row r="5995" spans="2:5" x14ac:dyDescent="0.4">
      <c r="B5995" s="17"/>
      <c r="C5995" s="15"/>
      <c r="D5995" s="15"/>
      <c r="E5995" s="18"/>
    </row>
    <row r="5996" spans="2:5" x14ac:dyDescent="0.4">
      <c r="B5996" s="17"/>
      <c r="C5996" s="15"/>
      <c r="D5996" s="15"/>
      <c r="E5996" s="18"/>
    </row>
    <row r="5997" spans="2:5" x14ac:dyDescent="0.4">
      <c r="B5997" s="17"/>
      <c r="C5997" s="15"/>
      <c r="D5997" s="15"/>
      <c r="E5997" s="18"/>
    </row>
    <row r="5998" spans="2:5" x14ac:dyDescent="0.4">
      <c r="B5998" s="17"/>
      <c r="C5998" s="15"/>
      <c r="D5998" s="15"/>
      <c r="E5998" s="18"/>
    </row>
    <row r="5999" spans="2:5" x14ac:dyDescent="0.4">
      <c r="B5999" s="17"/>
      <c r="C5999" s="15"/>
      <c r="D5999" s="15"/>
      <c r="E5999" s="18"/>
    </row>
    <row r="6000" spans="2:5" x14ac:dyDescent="0.4">
      <c r="B6000" s="17"/>
      <c r="C6000" s="15"/>
      <c r="D6000" s="15"/>
      <c r="E6000" s="18"/>
    </row>
    <row r="6001" spans="2:5" x14ac:dyDescent="0.4">
      <c r="B6001" s="17"/>
      <c r="C6001" s="15"/>
      <c r="D6001" s="15"/>
      <c r="E6001" s="18"/>
    </row>
    <row r="6002" spans="2:5" x14ac:dyDescent="0.4">
      <c r="B6002" s="17"/>
      <c r="C6002" s="15"/>
      <c r="D6002" s="15"/>
      <c r="E6002" s="18"/>
    </row>
    <row r="6003" spans="2:5" x14ac:dyDescent="0.4">
      <c r="B6003" s="17"/>
      <c r="C6003" s="15"/>
      <c r="D6003" s="15"/>
      <c r="E6003" s="18"/>
    </row>
    <row r="6004" spans="2:5" x14ac:dyDescent="0.4">
      <c r="B6004" s="17"/>
      <c r="C6004" s="15"/>
      <c r="D6004" s="15"/>
      <c r="E6004" s="18"/>
    </row>
    <row r="6005" spans="2:5" x14ac:dyDescent="0.4">
      <c r="B6005" s="17"/>
      <c r="C6005" s="15"/>
      <c r="D6005" s="15"/>
      <c r="E6005" s="18"/>
    </row>
    <row r="6006" spans="2:5" x14ac:dyDescent="0.4">
      <c r="B6006" s="17"/>
      <c r="C6006" s="15"/>
      <c r="D6006" s="15"/>
      <c r="E6006" s="18"/>
    </row>
    <row r="6007" spans="2:5" x14ac:dyDescent="0.4">
      <c r="B6007" s="17"/>
      <c r="C6007" s="15"/>
      <c r="D6007" s="15"/>
      <c r="E6007" s="18"/>
    </row>
    <row r="6008" spans="2:5" x14ac:dyDescent="0.4">
      <c r="B6008" s="17"/>
      <c r="C6008" s="15"/>
      <c r="D6008" s="15"/>
      <c r="E6008" s="18"/>
    </row>
    <row r="6009" spans="2:5" x14ac:dyDescent="0.4">
      <c r="B6009" s="17"/>
      <c r="C6009" s="15"/>
      <c r="D6009" s="15"/>
      <c r="E6009" s="18"/>
    </row>
    <row r="6010" spans="2:5" x14ac:dyDescent="0.4">
      <c r="B6010" s="17"/>
      <c r="C6010" s="15"/>
      <c r="D6010" s="15"/>
      <c r="E6010" s="18"/>
    </row>
    <row r="6011" spans="2:5" x14ac:dyDescent="0.4">
      <c r="B6011" s="17"/>
      <c r="C6011" s="15"/>
      <c r="D6011" s="15"/>
      <c r="E6011" s="18"/>
    </row>
    <row r="6012" spans="2:5" x14ac:dyDescent="0.4">
      <c r="B6012" s="17"/>
      <c r="C6012" s="15"/>
      <c r="D6012" s="15"/>
      <c r="E6012" s="18"/>
    </row>
    <row r="6013" spans="2:5" x14ac:dyDescent="0.4">
      <c r="B6013" s="17"/>
      <c r="C6013" s="15"/>
      <c r="D6013" s="15"/>
      <c r="E6013" s="18"/>
    </row>
    <row r="6014" spans="2:5" x14ac:dyDescent="0.4">
      <c r="B6014" s="17"/>
      <c r="C6014" s="15"/>
      <c r="D6014" s="15"/>
      <c r="E6014" s="18"/>
    </row>
    <row r="6015" spans="2:5" x14ac:dyDescent="0.4">
      <c r="B6015" s="17"/>
      <c r="C6015" s="15"/>
      <c r="D6015" s="15"/>
      <c r="E6015" s="18"/>
    </row>
    <row r="6016" spans="2:5" x14ac:dyDescent="0.4">
      <c r="B6016" s="17"/>
      <c r="C6016" s="15"/>
      <c r="D6016" s="15"/>
      <c r="E6016" s="18"/>
    </row>
    <row r="6017" spans="2:5" x14ac:dyDescent="0.4">
      <c r="B6017" s="17"/>
      <c r="C6017" s="15"/>
      <c r="D6017" s="15"/>
      <c r="E6017" s="18"/>
    </row>
    <row r="6018" spans="2:5" x14ac:dyDescent="0.4">
      <c r="B6018" s="17"/>
      <c r="C6018" s="15"/>
      <c r="D6018" s="15"/>
      <c r="E6018" s="18"/>
    </row>
    <row r="6019" spans="2:5" x14ac:dyDescent="0.4">
      <c r="B6019" s="17"/>
      <c r="C6019" s="15"/>
      <c r="D6019" s="15"/>
      <c r="E6019" s="18"/>
    </row>
    <row r="6020" spans="2:5" x14ac:dyDescent="0.4">
      <c r="B6020" s="17"/>
      <c r="C6020" s="15"/>
      <c r="D6020" s="15"/>
      <c r="E6020" s="18"/>
    </row>
    <row r="6021" spans="2:5" x14ac:dyDescent="0.4">
      <c r="B6021" s="17"/>
      <c r="C6021" s="15"/>
      <c r="D6021" s="15"/>
      <c r="E6021" s="18"/>
    </row>
    <row r="6022" spans="2:5" x14ac:dyDescent="0.4">
      <c r="B6022" s="17"/>
      <c r="C6022" s="15"/>
      <c r="D6022" s="15"/>
      <c r="E6022" s="18"/>
    </row>
    <row r="6023" spans="2:5" x14ac:dyDescent="0.4">
      <c r="B6023" s="17"/>
      <c r="C6023" s="15"/>
      <c r="D6023" s="15"/>
      <c r="E6023" s="18"/>
    </row>
    <row r="6024" spans="2:5" x14ac:dyDescent="0.4">
      <c r="B6024" s="17"/>
      <c r="C6024" s="15"/>
      <c r="D6024" s="15"/>
      <c r="E6024" s="18"/>
    </row>
    <row r="6025" spans="2:5" x14ac:dyDescent="0.4">
      <c r="B6025" s="17"/>
      <c r="C6025" s="15"/>
      <c r="D6025" s="15"/>
      <c r="E6025" s="18"/>
    </row>
    <row r="6026" spans="2:5" x14ac:dyDescent="0.4">
      <c r="B6026" s="17"/>
      <c r="C6026" s="15"/>
      <c r="D6026" s="15"/>
      <c r="E6026" s="18"/>
    </row>
    <row r="6027" spans="2:5" x14ac:dyDescent="0.4">
      <c r="B6027" s="17"/>
      <c r="C6027" s="15"/>
      <c r="D6027" s="15"/>
      <c r="E6027" s="18"/>
    </row>
    <row r="6028" spans="2:5" x14ac:dyDescent="0.4">
      <c r="B6028" s="17"/>
      <c r="C6028" s="15"/>
      <c r="D6028" s="15"/>
      <c r="E6028" s="18"/>
    </row>
    <row r="6029" spans="2:5" x14ac:dyDescent="0.4">
      <c r="B6029" s="17"/>
      <c r="C6029" s="15"/>
      <c r="D6029" s="15"/>
      <c r="E6029" s="18"/>
    </row>
    <row r="6030" spans="2:5" x14ac:dyDescent="0.4">
      <c r="B6030" s="17"/>
      <c r="C6030" s="15"/>
      <c r="D6030" s="15"/>
      <c r="E6030" s="18"/>
    </row>
    <row r="6031" spans="2:5" x14ac:dyDescent="0.4">
      <c r="B6031" s="17"/>
      <c r="C6031" s="15"/>
      <c r="D6031" s="15"/>
      <c r="E6031" s="18"/>
    </row>
    <row r="6032" spans="2:5" x14ac:dyDescent="0.4">
      <c r="B6032" s="17"/>
      <c r="C6032" s="15"/>
      <c r="D6032" s="15"/>
      <c r="E6032" s="18"/>
    </row>
    <row r="6033" spans="2:5" x14ac:dyDescent="0.4">
      <c r="B6033" s="17"/>
      <c r="C6033" s="15"/>
      <c r="D6033" s="15"/>
      <c r="E6033" s="18"/>
    </row>
    <row r="6034" spans="2:5" x14ac:dyDescent="0.4">
      <c r="B6034" s="17"/>
      <c r="C6034" s="15"/>
      <c r="D6034" s="15"/>
      <c r="E6034" s="18"/>
    </row>
    <row r="6035" spans="2:5" x14ac:dyDescent="0.4">
      <c r="B6035" s="17"/>
      <c r="C6035" s="15"/>
      <c r="D6035" s="15"/>
      <c r="E6035" s="18"/>
    </row>
    <row r="6036" spans="2:5" x14ac:dyDescent="0.4">
      <c r="B6036" s="17"/>
      <c r="C6036" s="15"/>
      <c r="D6036" s="15"/>
      <c r="E6036" s="18"/>
    </row>
    <row r="6037" spans="2:5" x14ac:dyDescent="0.4">
      <c r="B6037" s="17"/>
      <c r="C6037" s="15"/>
      <c r="D6037" s="15"/>
      <c r="E6037" s="18"/>
    </row>
    <row r="6038" spans="2:5" x14ac:dyDescent="0.4">
      <c r="B6038" s="17"/>
      <c r="C6038" s="15"/>
      <c r="D6038" s="15"/>
      <c r="E6038" s="18"/>
    </row>
    <row r="6039" spans="2:5" x14ac:dyDescent="0.4">
      <c r="B6039" s="17"/>
      <c r="C6039" s="15"/>
      <c r="D6039" s="15"/>
      <c r="E6039" s="18"/>
    </row>
    <row r="6040" spans="2:5" x14ac:dyDescent="0.4">
      <c r="B6040" s="17"/>
      <c r="C6040" s="15"/>
      <c r="D6040" s="15"/>
      <c r="E6040" s="18"/>
    </row>
    <row r="6041" spans="2:5" x14ac:dyDescent="0.4">
      <c r="B6041" s="17"/>
      <c r="C6041" s="15"/>
      <c r="D6041" s="15"/>
      <c r="E6041" s="18"/>
    </row>
    <row r="6042" spans="2:5" x14ac:dyDescent="0.4">
      <c r="B6042" s="17"/>
      <c r="C6042" s="15"/>
      <c r="D6042" s="15"/>
      <c r="E6042" s="18"/>
    </row>
    <row r="6043" spans="2:5" x14ac:dyDescent="0.4">
      <c r="B6043" s="17"/>
      <c r="C6043" s="15"/>
      <c r="D6043" s="15"/>
      <c r="E6043" s="18"/>
    </row>
    <row r="6044" spans="2:5" x14ac:dyDescent="0.4">
      <c r="B6044" s="17"/>
      <c r="C6044" s="15"/>
      <c r="D6044" s="15"/>
      <c r="E6044" s="18"/>
    </row>
    <row r="6045" spans="2:5" x14ac:dyDescent="0.4">
      <c r="B6045" s="17"/>
      <c r="C6045" s="15"/>
      <c r="D6045" s="15"/>
      <c r="E6045" s="18"/>
    </row>
    <row r="6046" spans="2:5" x14ac:dyDescent="0.4">
      <c r="B6046" s="17"/>
      <c r="C6046" s="15"/>
      <c r="D6046" s="15"/>
      <c r="E6046" s="18"/>
    </row>
    <row r="6047" spans="2:5" x14ac:dyDescent="0.4">
      <c r="B6047" s="17"/>
      <c r="C6047" s="15"/>
      <c r="D6047" s="15"/>
      <c r="E6047" s="18"/>
    </row>
    <row r="6048" spans="2:5" x14ac:dyDescent="0.4">
      <c r="B6048" s="17"/>
      <c r="C6048" s="15"/>
      <c r="D6048" s="15"/>
      <c r="E6048" s="18"/>
    </row>
    <row r="6049" spans="2:5" x14ac:dyDescent="0.4">
      <c r="B6049" s="17"/>
      <c r="C6049" s="15"/>
      <c r="D6049" s="15"/>
      <c r="E6049" s="18"/>
    </row>
    <row r="6050" spans="2:5" x14ac:dyDescent="0.4">
      <c r="B6050" s="17"/>
      <c r="C6050" s="15"/>
      <c r="D6050" s="15"/>
      <c r="E6050" s="18"/>
    </row>
    <row r="6051" spans="2:5" x14ac:dyDescent="0.4">
      <c r="B6051" s="17"/>
      <c r="C6051" s="15"/>
      <c r="D6051" s="15"/>
      <c r="E6051" s="18"/>
    </row>
    <row r="6052" spans="2:5" x14ac:dyDescent="0.4">
      <c r="B6052" s="17"/>
      <c r="C6052" s="15"/>
      <c r="D6052" s="15"/>
      <c r="E6052" s="18"/>
    </row>
    <row r="6053" spans="2:5" x14ac:dyDescent="0.4">
      <c r="B6053" s="17"/>
      <c r="C6053" s="15"/>
      <c r="D6053" s="15"/>
      <c r="E6053" s="18"/>
    </row>
    <row r="6054" spans="2:5" x14ac:dyDescent="0.4">
      <c r="B6054" s="17"/>
      <c r="C6054" s="15"/>
      <c r="D6054" s="15"/>
      <c r="E6054" s="18"/>
    </row>
    <row r="6055" spans="2:5" x14ac:dyDescent="0.4">
      <c r="B6055" s="17"/>
      <c r="C6055" s="15"/>
      <c r="D6055" s="15"/>
      <c r="E6055" s="18"/>
    </row>
    <row r="6056" spans="2:5" x14ac:dyDescent="0.4">
      <c r="B6056" s="17"/>
      <c r="C6056" s="15"/>
      <c r="D6056" s="15"/>
      <c r="E6056" s="18"/>
    </row>
    <row r="6057" spans="2:5" x14ac:dyDescent="0.4">
      <c r="B6057" s="17"/>
      <c r="C6057" s="15"/>
      <c r="D6057" s="15"/>
      <c r="E6057" s="18"/>
    </row>
    <row r="6058" spans="2:5" x14ac:dyDescent="0.4">
      <c r="B6058" s="17"/>
      <c r="C6058" s="15"/>
      <c r="D6058" s="15"/>
      <c r="E6058" s="18"/>
    </row>
    <row r="6059" spans="2:5" x14ac:dyDescent="0.4">
      <c r="B6059" s="17"/>
      <c r="C6059" s="15"/>
      <c r="D6059" s="15"/>
      <c r="E6059" s="18"/>
    </row>
    <row r="6060" spans="2:5" x14ac:dyDescent="0.4">
      <c r="B6060" s="17"/>
      <c r="C6060" s="15"/>
      <c r="D6060" s="15"/>
      <c r="E6060" s="18"/>
    </row>
    <row r="6061" spans="2:5" x14ac:dyDescent="0.4">
      <c r="B6061" s="17"/>
      <c r="C6061" s="15"/>
      <c r="D6061" s="15"/>
      <c r="E6061" s="18"/>
    </row>
    <row r="6062" spans="2:5" x14ac:dyDescent="0.4">
      <c r="B6062" s="17"/>
      <c r="C6062" s="15"/>
      <c r="D6062" s="15"/>
      <c r="E6062" s="18"/>
    </row>
    <row r="6063" spans="2:5" x14ac:dyDescent="0.4">
      <c r="B6063" s="17"/>
      <c r="C6063" s="15"/>
      <c r="D6063" s="15"/>
      <c r="E6063" s="18"/>
    </row>
    <row r="6064" spans="2:5" x14ac:dyDescent="0.4">
      <c r="B6064" s="17"/>
      <c r="C6064" s="15"/>
      <c r="D6064" s="15"/>
      <c r="E6064" s="18"/>
    </row>
    <row r="6065" spans="2:5" x14ac:dyDescent="0.4">
      <c r="B6065" s="17"/>
      <c r="C6065" s="15"/>
      <c r="D6065" s="15"/>
      <c r="E6065" s="18"/>
    </row>
    <row r="6066" spans="2:5" x14ac:dyDescent="0.4">
      <c r="B6066" s="17"/>
      <c r="C6066" s="15"/>
      <c r="D6066" s="15"/>
      <c r="E6066" s="18"/>
    </row>
    <row r="6067" spans="2:5" x14ac:dyDescent="0.4">
      <c r="B6067" s="17"/>
      <c r="C6067" s="15"/>
      <c r="D6067" s="15"/>
      <c r="E6067" s="18"/>
    </row>
    <row r="6068" spans="2:5" x14ac:dyDescent="0.4">
      <c r="B6068" s="17"/>
      <c r="C6068" s="15"/>
      <c r="D6068" s="15"/>
      <c r="E6068" s="18"/>
    </row>
    <row r="6069" spans="2:5" x14ac:dyDescent="0.4">
      <c r="B6069" s="17"/>
      <c r="C6069" s="15"/>
      <c r="D6069" s="15"/>
      <c r="E6069" s="18"/>
    </row>
    <row r="6070" spans="2:5" x14ac:dyDescent="0.4">
      <c r="B6070" s="17"/>
      <c r="C6070" s="15"/>
      <c r="D6070" s="15"/>
      <c r="E6070" s="18"/>
    </row>
    <row r="6071" spans="2:5" x14ac:dyDescent="0.4">
      <c r="B6071" s="17"/>
      <c r="C6071" s="15"/>
      <c r="D6071" s="15"/>
      <c r="E6071" s="18"/>
    </row>
    <row r="6072" spans="2:5" x14ac:dyDescent="0.4">
      <c r="B6072" s="17"/>
      <c r="C6072" s="15"/>
      <c r="D6072" s="15"/>
      <c r="E6072" s="18"/>
    </row>
    <row r="6073" spans="2:5" x14ac:dyDescent="0.4">
      <c r="B6073" s="17"/>
      <c r="C6073" s="15"/>
      <c r="D6073" s="15"/>
      <c r="E6073" s="18"/>
    </row>
    <row r="6074" spans="2:5" x14ac:dyDescent="0.4">
      <c r="B6074" s="17"/>
      <c r="C6074" s="15"/>
      <c r="D6074" s="15"/>
      <c r="E6074" s="18"/>
    </row>
    <row r="6075" spans="2:5" x14ac:dyDescent="0.4">
      <c r="B6075" s="17"/>
      <c r="C6075" s="15"/>
      <c r="D6075" s="15"/>
      <c r="E6075" s="18"/>
    </row>
    <row r="6076" spans="2:5" x14ac:dyDescent="0.4">
      <c r="B6076" s="17"/>
      <c r="C6076" s="15"/>
      <c r="D6076" s="15"/>
      <c r="E6076" s="18"/>
    </row>
    <row r="6077" spans="2:5" x14ac:dyDescent="0.4">
      <c r="B6077" s="17"/>
      <c r="C6077" s="15"/>
      <c r="D6077" s="15"/>
      <c r="E6077" s="18"/>
    </row>
    <row r="6078" spans="2:5" x14ac:dyDescent="0.4">
      <c r="B6078" s="17"/>
      <c r="C6078" s="15"/>
      <c r="D6078" s="15"/>
      <c r="E6078" s="18"/>
    </row>
    <row r="6079" spans="2:5" x14ac:dyDescent="0.4">
      <c r="B6079" s="17"/>
      <c r="C6079" s="15"/>
      <c r="D6079" s="15"/>
      <c r="E6079" s="18"/>
    </row>
    <row r="6080" spans="2:5" x14ac:dyDescent="0.4">
      <c r="B6080" s="17"/>
      <c r="C6080" s="15"/>
      <c r="D6080" s="15"/>
      <c r="E6080" s="18"/>
    </row>
    <row r="6081" spans="2:5" x14ac:dyDescent="0.4">
      <c r="B6081" s="17"/>
      <c r="C6081" s="15"/>
      <c r="D6081" s="15"/>
      <c r="E6081" s="18"/>
    </row>
    <row r="6082" spans="2:5" x14ac:dyDescent="0.4">
      <c r="B6082" s="17"/>
      <c r="C6082" s="15"/>
      <c r="D6082" s="15"/>
      <c r="E6082" s="18"/>
    </row>
    <row r="6083" spans="2:5" x14ac:dyDescent="0.4">
      <c r="B6083" s="17"/>
      <c r="C6083" s="15"/>
      <c r="D6083" s="15"/>
      <c r="E6083" s="18"/>
    </row>
    <row r="6084" spans="2:5" x14ac:dyDescent="0.4">
      <c r="B6084" s="17"/>
      <c r="C6084" s="15"/>
      <c r="D6084" s="15"/>
      <c r="E6084" s="18"/>
    </row>
    <row r="6085" spans="2:5" x14ac:dyDescent="0.4">
      <c r="B6085" s="17"/>
      <c r="C6085" s="15"/>
      <c r="D6085" s="15"/>
      <c r="E6085" s="18"/>
    </row>
    <row r="6086" spans="2:5" x14ac:dyDescent="0.4">
      <c r="B6086" s="17"/>
      <c r="C6086" s="15"/>
      <c r="D6086" s="15"/>
      <c r="E6086" s="18"/>
    </row>
    <row r="6087" spans="2:5" x14ac:dyDescent="0.4">
      <c r="B6087" s="17"/>
      <c r="C6087" s="15"/>
      <c r="D6087" s="15"/>
      <c r="E6087" s="18"/>
    </row>
    <row r="6088" spans="2:5" x14ac:dyDescent="0.4">
      <c r="B6088" s="17"/>
      <c r="C6088" s="15"/>
      <c r="D6088" s="15"/>
      <c r="E6088" s="18"/>
    </row>
    <row r="6089" spans="2:5" x14ac:dyDescent="0.4">
      <c r="B6089" s="17"/>
      <c r="C6089" s="15"/>
      <c r="D6089" s="15"/>
      <c r="E6089" s="18"/>
    </row>
    <row r="6090" spans="2:5" x14ac:dyDescent="0.4">
      <c r="B6090" s="17"/>
      <c r="C6090" s="15"/>
      <c r="D6090" s="15"/>
      <c r="E6090" s="18"/>
    </row>
    <row r="6091" spans="2:5" x14ac:dyDescent="0.4">
      <c r="B6091" s="17"/>
      <c r="C6091" s="15"/>
      <c r="D6091" s="15"/>
      <c r="E6091" s="18"/>
    </row>
    <row r="6092" spans="2:5" x14ac:dyDescent="0.4">
      <c r="B6092" s="17"/>
      <c r="C6092" s="15"/>
      <c r="D6092" s="15"/>
      <c r="E6092" s="18"/>
    </row>
    <row r="6093" spans="2:5" x14ac:dyDescent="0.4">
      <c r="B6093" s="17"/>
      <c r="C6093" s="15"/>
      <c r="D6093" s="15"/>
      <c r="E6093" s="18"/>
    </row>
    <row r="6094" spans="2:5" x14ac:dyDescent="0.4">
      <c r="B6094" s="17"/>
      <c r="C6094" s="15"/>
      <c r="D6094" s="15"/>
      <c r="E6094" s="18"/>
    </row>
    <row r="6095" spans="2:5" x14ac:dyDescent="0.4">
      <c r="B6095" s="17"/>
      <c r="C6095" s="15"/>
      <c r="D6095" s="15"/>
      <c r="E6095" s="18"/>
    </row>
    <row r="6096" spans="2:5" x14ac:dyDescent="0.4">
      <c r="B6096" s="17"/>
      <c r="C6096" s="15"/>
      <c r="D6096" s="15"/>
      <c r="E6096" s="18"/>
    </row>
    <row r="6097" spans="2:5" x14ac:dyDescent="0.4">
      <c r="B6097" s="17"/>
      <c r="C6097" s="15"/>
      <c r="D6097" s="15"/>
      <c r="E6097" s="18"/>
    </row>
    <row r="6098" spans="2:5" x14ac:dyDescent="0.4">
      <c r="B6098" s="17"/>
      <c r="C6098" s="15"/>
      <c r="D6098" s="15"/>
      <c r="E6098" s="18"/>
    </row>
    <row r="6099" spans="2:5" x14ac:dyDescent="0.4">
      <c r="B6099" s="17"/>
      <c r="C6099" s="15"/>
      <c r="D6099" s="15"/>
      <c r="E6099" s="18"/>
    </row>
    <row r="6100" spans="2:5" x14ac:dyDescent="0.4">
      <c r="B6100" s="17"/>
      <c r="C6100" s="15"/>
      <c r="D6100" s="15"/>
      <c r="E6100" s="18"/>
    </row>
    <row r="6101" spans="2:5" x14ac:dyDescent="0.4">
      <c r="B6101" s="17"/>
      <c r="C6101" s="15"/>
      <c r="D6101" s="15"/>
      <c r="E6101" s="18"/>
    </row>
    <row r="6102" spans="2:5" x14ac:dyDescent="0.4">
      <c r="B6102" s="17"/>
      <c r="C6102" s="15"/>
      <c r="D6102" s="15"/>
      <c r="E6102" s="18"/>
    </row>
    <row r="6103" spans="2:5" x14ac:dyDescent="0.4">
      <c r="B6103" s="17"/>
      <c r="C6103" s="15"/>
      <c r="D6103" s="15"/>
      <c r="E6103" s="18"/>
    </row>
    <row r="6104" spans="2:5" x14ac:dyDescent="0.4">
      <c r="B6104" s="17"/>
      <c r="C6104" s="15"/>
      <c r="D6104" s="15"/>
      <c r="E6104" s="18"/>
    </row>
    <row r="6105" spans="2:5" x14ac:dyDescent="0.4">
      <c r="B6105" s="17"/>
      <c r="C6105" s="15"/>
      <c r="D6105" s="15"/>
      <c r="E6105" s="18"/>
    </row>
    <row r="6106" spans="2:5" x14ac:dyDescent="0.4">
      <c r="B6106" s="17"/>
      <c r="C6106" s="15"/>
      <c r="D6106" s="15"/>
      <c r="E6106" s="18"/>
    </row>
    <row r="6107" spans="2:5" x14ac:dyDescent="0.4">
      <c r="B6107" s="17"/>
      <c r="C6107" s="15"/>
      <c r="D6107" s="15"/>
      <c r="E6107" s="18"/>
    </row>
    <row r="6108" spans="2:5" x14ac:dyDescent="0.4">
      <c r="B6108" s="17"/>
      <c r="C6108" s="15"/>
      <c r="D6108" s="15"/>
      <c r="E6108" s="18"/>
    </row>
    <row r="6109" spans="2:5" x14ac:dyDescent="0.4">
      <c r="B6109" s="17"/>
      <c r="C6109" s="15"/>
      <c r="D6109" s="15"/>
      <c r="E6109" s="18"/>
    </row>
    <row r="6110" spans="2:5" x14ac:dyDescent="0.4">
      <c r="B6110" s="17"/>
      <c r="C6110" s="15"/>
      <c r="D6110" s="15"/>
      <c r="E6110" s="18"/>
    </row>
    <row r="6111" spans="2:5" x14ac:dyDescent="0.4">
      <c r="B6111" s="17"/>
      <c r="C6111" s="15"/>
      <c r="D6111" s="15"/>
      <c r="E6111" s="18"/>
    </row>
    <row r="6112" spans="2:5" x14ac:dyDescent="0.4">
      <c r="B6112" s="17"/>
      <c r="C6112" s="15"/>
      <c r="D6112" s="15"/>
      <c r="E6112" s="18"/>
    </row>
    <row r="6113" spans="2:5" x14ac:dyDescent="0.4">
      <c r="B6113" s="17"/>
      <c r="C6113" s="15"/>
      <c r="D6113" s="15"/>
      <c r="E6113" s="18"/>
    </row>
    <row r="6114" spans="2:5" x14ac:dyDescent="0.4">
      <c r="B6114" s="17"/>
      <c r="C6114" s="15"/>
      <c r="D6114" s="15"/>
      <c r="E6114" s="18"/>
    </row>
    <row r="6115" spans="2:5" x14ac:dyDescent="0.4">
      <c r="B6115" s="17"/>
      <c r="C6115" s="15"/>
      <c r="D6115" s="15"/>
      <c r="E6115" s="18"/>
    </row>
    <row r="6116" spans="2:5" x14ac:dyDescent="0.4">
      <c r="B6116" s="17"/>
      <c r="C6116" s="15"/>
      <c r="D6116" s="15"/>
      <c r="E6116" s="18"/>
    </row>
    <row r="6117" spans="2:5" x14ac:dyDescent="0.4">
      <c r="B6117" s="17"/>
      <c r="C6117" s="15"/>
      <c r="D6117" s="15"/>
      <c r="E6117" s="18"/>
    </row>
    <row r="6118" spans="2:5" x14ac:dyDescent="0.4">
      <c r="B6118" s="17"/>
      <c r="C6118" s="15"/>
      <c r="D6118" s="15"/>
      <c r="E6118" s="18"/>
    </row>
    <row r="6119" spans="2:5" x14ac:dyDescent="0.4">
      <c r="B6119" s="17"/>
      <c r="C6119" s="15"/>
      <c r="D6119" s="15"/>
      <c r="E6119" s="18"/>
    </row>
    <row r="6120" spans="2:5" x14ac:dyDescent="0.4">
      <c r="B6120" s="17"/>
      <c r="C6120" s="15"/>
      <c r="D6120" s="15"/>
      <c r="E6120" s="18"/>
    </row>
    <row r="6121" spans="2:5" x14ac:dyDescent="0.4">
      <c r="B6121" s="17"/>
      <c r="C6121" s="15"/>
      <c r="D6121" s="15"/>
      <c r="E6121" s="18"/>
    </row>
    <row r="6122" spans="2:5" x14ac:dyDescent="0.4">
      <c r="B6122" s="17"/>
      <c r="C6122" s="15"/>
      <c r="D6122" s="15"/>
      <c r="E6122" s="18"/>
    </row>
    <row r="6123" spans="2:5" x14ac:dyDescent="0.4">
      <c r="B6123" s="17"/>
      <c r="C6123" s="15"/>
      <c r="D6123" s="15"/>
      <c r="E6123" s="18"/>
    </row>
    <row r="6124" spans="2:5" x14ac:dyDescent="0.4">
      <c r="B6124" s="17"/>
      <c r="C6124" s="15"/>
      <c r="D6124" s="15"/>
      <c r="E6124" s="18"/>
    </row>
    <row r="6125" spans="2:5" x14ac:dyDescent="0.4">
      <c r="B6125" s="17"/>
      <c r="C6125" s="15"/>
      <c r="D6125" s="15"/>
      <c r="E6125" s="18"/>
    </row>
    <row r="6126" spans="2:5" x14ac:dyDescent="0.4">
      <c r="B6126" s="17"/>
      <c r="C6126" s="15"/>
      <c r="D6126" s="15"/>
      <c r="E6126" s="18"/>
    </row>
    <row r="6127" spans="2:5" x14ac:dyDescent="0.4">
      <c r="B6127" s="17"/>
      <c r="C6127" s="15"/>
      <c r="D6127" s="15"/>
      <c r="E6127" s="18"/>
    </row>
    <row r="6128" spans="2:5" x14ac:dyDescent="0.4">
      <c r="B6128" s="17"/>
      <c r="C6128" s="15"/>
      <c r="D6128" s="15"/>
      <c r="E6128" s="18"/>
    </row>
    <row r="6129" spans="2:5" x14ac:dyDescent="0.4">
      <c r="B6129" s="17"/>
      <c r="C6129" s="15"/>
      <c r="D6129" s="15"/>
      <c r="E6129" s="18"/>
    </row>
    <row r="6130" spans="2:5" x14ac:dyDescent="0.4">
      <c r="B6130" s="17"/>
      <c r="C6130" s="15"/>
      <c r="D6130" s="15"/>
      <c r="E6130" s="18"/>
    </row>
    <row r="6131" spans="2:5" x14ac:dyDescent="0.4">
      <c r="B6131" s="17"/>
      <c r="C6131" s="15"/>
      <c r="D6131" s="15"/>
      <c r="E6131" s="18"/>
    </row>
    <row r="6132" spans="2:5" x14ac:dyDescent="0.4">
      <c r="B6132" s="17"/>
      <c r="C6132" s="15"/>
      <c r="D6132" s="15"/>
      <c r="E6132" s="18"/>
    </row>
    <row r="6133" spans="2:5" x14ac:dyDescent="0.4">
      <c r="B6133" s="17"/>
      <c r="C6133" s="15"/>
      <c r="D6133" s="15"/>
      <c r="E6133" s="18"/>
    </row>
    <row r="6134" spans="2:5" x14ac:dyDescent="0.4">
      <c r="B6134" s="17"/>
      <c r="C6134" s="15"/>
      <c r="D6134" s="15"/>
      <c r="E6134" s="18"/>
    </row>
    <row r="6135" spans="2:5" x14ac:dyDescent="0.4">
      <c r="B6135" s="17"/>
      <c r="C6135" s="15"/>
      <c r="D6135" s="15"/>
      <c r="E6135" s="18"/>
    </row>
    <row r="6136" spans="2:5" x14ac:dyDescent="0.4">
      <c r="B6136" s="17"/>
      <c r="C6136" s="15"/>
      <c r="D6136" s="15"/>
      <c r="E6136" s="18"/>
    </row>
    <row r="6137" spans="2:5" x14ac:dyDescent="0.4">
      <c r="B6137" s="17"/>
      <c r="C6137" s="15"/>
      <c r="D6137" s="15"/>
      <c r="E6137" s="18"/>
    </row>
    <row r="6138" spans="2:5" x14ac:dyDescent="0.4">
      <c r="B6138" s="17"/>
      <c r="C6138" s="15"/>
      <c r="D6138" s="15"/>
      <c r="E6138" s="18"/>
    </row>
    <row r="6139" spans="2:5" x14ac:dyDescent="0.4">
      <c r="B6139" s="17"/>
      <c r="C6139" s="15"/>
      <c r="D6139" s="15"/>
      <c r="E6139" s="18"/>
    </row>
    <row r="6140" spans="2:5" x14ac:dyDescent="0.4">
      <c r="B6140" s="17"/>
      <c r="C6140" s="15"/>
      <c r="D6140" s="15"/>
      <c r="E6140" s="18"/>
    </row>
    <row r="6141" spans="2:5" x14ac:dyDescent="0.4">
      <c r="B6141" s="17"/>
      <c r="C6141" s="15"/>
      <c r="D6141" s="15"/>
      <c r="E6141" s="18"/>
    </row>
    <row r="6142" spans="2:5" x14ac:dyDescent="0.4">
      <c r="B6142" s="17"/>
      <c r="C6142" s="15"/>
      <c r="D6142" s="15"/>
      <c r="E6142" s="18"/>
    </row>
    <row r="6143" spans="2:5" x14ac:dyDescent="0.4">
      <c r="B6143" s="17"/>
      <c r="C6143" s="15"/>
      <c r="D6143" s="15"/>
      <c r="E6143" s="18"/>
    </row>
    <row r="6144" spans="2:5" x14ac:dyDescent="0.4">
      <c r="B6144" s="17"/>
      <c r="C6144" s="15"/>
      <c r="D6144" s="15"/>
      <c r="E6144" s="18"/>
    </row>
    <row r="6145" spans="2:5" x14ac:dyDescent="0.4">
      <c r="B6145" s="17"/>
      <c r="C6145" s="15"/>
      <c r="D6145" s="15"/>
      <c r="E6145" s="18"/>
    </row>
    <row r="6146" spans="2:5" x14ac:dyDescent="0.4">
      <c r="B6146" s="17"/>
      <c r="C6146" s="15"/>
      <c r="D6146" s="15"/>
      <c r="E6146" s="18"/>
    </row>
    <row r="6147" spans="2:5" x14ac:dyDescent="0.4">
      <c r="B6147" s="17"/>
      <c r="C6147" s="15"/>
      <c r="D6147" s="15"/>
      <c r="E6147" s="18"/>
    </row>
    <row r="6148" spans="2:5" x14ac:dyDescent="0.4">
      <c r="B6148" s="17"/>
      <c r="C6148" s="15"/>
      <c r="D6148" s="15"/>
      <c r="E6148" s="18"/>
    </row>
    <row r="6149" spans="2:5" x14ac:dyDescent="0.4">
      <c r="B6149" s="17"/>
      <c r="C6149" s="15"/>
      <c r="D6149" s="15"/>
      <c r="E6149" s="18"/>
    </row>
    <row r="6150" spans="2:5" x14ac:dyDescent="0.4">
      <c r="B6150" s="17"/>
      <c r="C6150" s="15"/>
      <c r="D6150" s="15"/>
      <c r="E6150" s="18"/>
    </row>
    <row r="6151" spans="2:5" x14ac:dyDescent="0.4">
      <c r="B6151" s="17"/>
      <c r="C6151" s="15"/>
      <c r="D6151" s="15"/>
      <c r="E6151" s="18"/>
    </row>
    <row r="6152" spans="2:5" x14ac:dyDescent="0.4">
      <c r="B6152" s="17"/>
      <c r="C6152" s="15"/>
      <c r="D6152" s="15"/>
      <c r="E6152" s="18"/>
    </row>
    <row r="6153" spans="2:5" x14ac:dyDescent="0.4">
      <c r="B6153" s="17"/>
      <c r="C6153" s="15"/>
      <c r="D6153" s="15"/>
      <c r="E6153" s="18"/>
    </row>
    <row r="6154" spans="2:5" x14ac:dyDescent="0.4">
      <c r="B6154" s="17"/>
      <c r="C6154" s="15"/>
      <c r="D6154" s="15"/>
      <c r="E6154" s="18"/>
    </row>
    <row r="6155" spans="2:5" x14ac:dyDescent="0.4">
      <c r="B6155" s="17"/>
      <c r="C6155" s="15"/>
      <c r="D6155" s="15"/>
      <c r="E6155" s="18"/>
    </row>
    <row r="6156" spans="2:5" x14ac:dyDescent="0.4">
      <c r="B6156" s="17"/>
      <c r="C6156" s="15"/>
      <c r="D6156" s="15"/>
      <c r="E6156" s="18"/>
    </row>
    <row r="6157" spans="2:5" x14ac:dyDescent="0.4">
      <c r="B6157" s="17"/>
      <c r="C6157" s="15"/>
      <c r="D6157" s="15"/>
      <c r="E6157" s="18"/>
    </row>
    <row r="6158" spans="2:5" x14ac:dyDescent="0.4">
      <c r="B6158" s="17"/>
      <c r="C6158" s="15"/>
      <c r="D6158" s="15"/>
      <c r="E6158" s="18"/>
    </row>
    <row r="6159" spans="2:5" x14ac:dyDescent="0.4">
      <c r="B6159" s="17"/>
      <c r="C6159" s="15"/>
      <c r="D6159" s="15"/>
      <c r="E6159" s="18"/>
    </row>
    <row r="6160" spans="2:5" x14ac:dyDescent="0.4">
      <c r="B6160" s="17"/>
      <c r="C6160" s="15"/>
      <c r="D6160" s="15"/>
      <c r="E6160" s="18"/>
    </row>
    <row r="6161" spans="2:5" x14ac:dyDescent="0.4">
      <c r="B6161" s="17"/>
      <c r="C6161" s="15"/>
      <c r="D6161" s="15"/>
      <c r="E6161" s="18"/>
    </row>
    <row r="6162" spans="2:5" x14ac:dyDescent="0.4">
      <c r="B6162" s="17"/>
      <c r="C6162" s="15"/>
      <c r="D6162" s="15"/>
      <c r="E6162" s="18"/>
    </row>
    <row r="6163" spans="2:5" x14ac:dyDescent="0.4">
      <c r="B6163" s="17"/>
      <c r="C6163" s="15"/>
      <c r="D6163" s="15"/>
      <c r="E6163" s="18"/>
    </row>
    <row r="6164" spans="2:5" x14ac:dyDescent="0.4">
      <c r="B6164" s="17"/>
      <c r="C6164" s="15"/>
      <c r="D6164" s="15"/>
      <c r="E6164" s="18"/>
    </row>
    <row r="6165" spans="2:5" x14ac:dyDescent="0.4">
      <c r="B6165" s="17"/>
      <c r="C6165" s="15"/>
      <c r="D6165" s="15"/>
      <c r="E6165" s="18"/>
    </row>
    <row r="6166" spans="2:5" x14ac:dyDescent="0.4">
      <c r="B6166" s="17"/>
      <c r="C6166" s="15"/>
      <c r="D6166" s="15"/>
      <c r="E6166" s="18"/>
    </row>
    <row r="6167" spans="2:5" x14ac:dyDescent="0.4">
      <c r="B6167" s="17"/>
      <c r="C6167" s="15"/>
      <c r="D6167" s="15"/>
      <c r="E6167" s="18"/>
    </row>
    <row r="6168" spans="2:5" x14ac:dyDescent="0.4">
      <c r="B6168" s="17"/>
      <c r="C6168" s="15"/>
      <c r="D6168" s="15"/>
      <c r="E6168" s="18"/>
    </row>
    <row r="6169" spans="2:5" x14ac:dyDescent="0.4">
      <c r="B6169" s="17"/>
      <c r="C6169" s="15"/>
      <c r="D6169" s="15"/>
      <c r="E6169" s="18"/>
    </row>
    <row r="6170" spans="2:5" x14ac:dyDescent="0.4">
      <c r="B6170" s="17"/>
      <c r="C6170" s="15"/>
      <c r="D6170" s="15"/>
      <c r="E6170" s="18"/>
    </row>
    <row r="6171" spans="2:5" x14ac:dyDescent="0.4">
      <c r="B6171" s="17"/>
      <c r="C6171" s="15"/>
      <c r="D6171" s="15"/>
      <c r="E6171" s="18"/>
    </row>
    <row r="6172" spans="2:5" x14ac:dyDescent="0.4">
      <c r="B6172" s="17"/>
      <c r="C6172" s="15"/>
      <c r="D6172" s="15"/>
      <c r="E6172" s="18"/>
    </row>
    <row r="6173" spans="2:5" x14ac:dyDescent="0.4">
      <c r="B6173" s="17"/>
      <c r="C6173" s="15"/>
      <c r="D6173" s="15"/>
      <c r="E6173" s="18"/>
    </row>
    <row r="6174" spans="2:5" x14ac:dyDescent="0.4">
      <c r="B6174" s="17"/>
      <c r="C6174" s="15"/>
      <c r="D6174" s="15"/>
      <c r="E6174" s="18"/>
    </row>
    <row r="6175" spans="2:5" x14ac:dyDescent="0.4">
      <c r="B6175" s="17"/>
      <c r="C6175" s="15"/>
      <c r="D6175" s="15"/>
      <c r="E6175" s="18"/>
    </row>
    <row r="6176" spans="2:5" x14ac:dyDescent="0.4">
      <c r="B6176" s="17"/>
      <c r="C6176" s="15"/>
      <c r="D6176" s="15"/>
      <c r="E6176" s="18"/>
    </row>
    <row r="6177" spans="2:5" x14ac:dyDescent="0.4">
      <c r="B6177" s="17"/>
      <c r="C6177" s="15"/>
      <c r="D6177" s="15"/>
      <c r="E6177" s="18"/>
    </row>
    <row r="6178" spans="2:5" x14ac:dyDescent="0.4">
      <c r="B6178" s="17"/>
      <c r="C6178" s="15"/>
      <c r="D6178" s="15"/>
      <c r="E6178" s="18"/>
    </row>
    <row r="6179" spans="2:5" x14ac:dyDescent="0.4">
      <c r="B6179" s="17"/>
      <c r="C6179" s="15"/>
      <c r="D6179" s="15"/>
      <c r="E6179" s="18"/>
    </row>
    <row r="6180" spans="2:5" x14ac:dyDescent="0.4">
      <c r="B6180" s="17"/>
      <c r="C6180" s="15"/>
      <c r="D6180" s="15"/>
      <c r="E6180" s="18"/>
    </row>
    <row r="6181" spans="2:5" x14ac:dyDescent="0.4">
      <c r="B6181" s="17"/>
      <c r="C6181" s="15"/>
      <c r="D6181" s="15"/>
      <c r="E6181" s="18"/>
    </row>
    <row r="6182" spans="2:5" x14ac:dyDescent="0.4">
      <c r="B6182" s="17"/>
      <c r="C6182" s="15"/>
      <c r="D6182" s="15"/>
      <c r="E6182" s="18"/>
    </row>
    <row r="6183" spans="2:5" x14ac:dyDescent="0.4">
      <c r="B6183" s="17"/>
      <c r="C6183" s="15"/>
      <c r="D6183" s="15"/>
      <c r="E6183" s="18"/>
    </row>
    <row r="6184" spans="2:5" x14ac:dyDescent="0.4">
      <c r="B6184" s="17"/>
      <c r="C6184" s="15"/>
      <c r="D6184" s="15"/>
      <c r="E6184" s="18"/>
    </row>
    <row r="6185" spans="2:5" x14ac:dyDescent="0.4">
      <c r="B6185" s="17"/>
      <c r="C6185" s="15"/>
      <c r="D6185" s="15"/>
      <c r="E6185" s="18"/>
    </row>
    <row r="6186" spans="2:5" x14ac:dyDescent="0.4">
      <c r="B6186" s="17"/>
      <c r="C6186" s="15"/>
      <c r="D6186" s="15"/>
      <c r="E6186" s="18"/>
    </row>
    <row r="6187" spans="2:5" x14ac:dyDescent="0.4">
      <c r="B6187" s="17"/>
      <c r="C6187" s="15"/>
      <c r="D6187" s="15"/>
      <c r="E6187" s="18"/>
    </row>
    <row r="6188" spans="2:5" x14ac:dyDescent="0.4">
      <c r="B6188" s="17"/>
      <c r="C6188" s="15"/>
      <c r="D6188" s="15"/>
      <c r="E6188" s="18"/>
    </row>
    <row r="6189" spans="2:5" x14ac:dyDescent="0.4">
      <c r="B6189" s="17"/>
      <c r="C6189" s="15"/>
      <c r="D6189" s="15"/>
      <c r="E6189" s="18"/>
    </row>
    <row r="6190" spans="2:5" x14ac:dyDescent="0.4">
      <c r="B6190" s="17"/>
      <c r="C6190" s="15"/>
      <c r="D6190" s="15"/>
      <c r="E6190" s="18"/>
    </row>
    <row r="6191" spans="2:5" x14ac:dyDescent="0.4">
      <c r="B6191" s="17"/>
      <c r="C6191" s="15"/>
      <c r="D6191" s="15"/>
      <c r="E6191" s="18"/>
    </row>
    <row r="6192" spans="2:5" x14ac:dyDescent="0.4">
      <c r="B6192" s="17"/>
      <c r="C6192" s="15"/>
      <c r="D6192" s="15"/>
      <c r="E6192" s="18"/>
    </row>
    <row r="6193" spans="2:5" x14ac:dyDescent="0.4">
      <c r="B6193" s="17"/>
      <c r="C6193" s="15"/>
      <c r="D6193" s="15"/>
      <c r="E6193" s="18"/>
    </row>
    <row r="6194" spans="2:5" x14ac:dyDescent="0.4">
      <c r="B6194" s="17"/>
      <c r="C6194" s="15"/>
      <c r="D6194" s="15"/>
      <c r="E6194" s="18"/>
    </row>
    <row r="6195" spans="2:5" x14ac:dyDescent="0.4">
      <c r="B6195" s="17"/>
      <c r="C6195" s="15"/>
      <c r="D6195" s="15"/>
      <c r="E6195" s="18"/>
    </row>
    <row r="6196" spans="2:5" x14ac:dyDescent="0.4">
      <c r="B6196" s="17"/>
      <c r="C6196" s="15"/>
      <c r="D6196" s="15"/>
      <c r="E6196" s="18"/>
    </row>
    <row r="6197" spans="2:5" x14ac:dyDescent="0.4">
      <c r="B6197" s="17"/>
      <c r="C6197" s="15"/>
      <c r="D6197" s="15"/>
      <c r="E6197" s="18"/>
    </row>
    <row r="6198" spans="2:5" x14ac:dyDescent="0.4">
      <c r="B6198" s="17"/>
      <c r="C6198" s="15"/>
      <c r="D6198" s="15"/>
      <c r="E6198" s="18"/>
    </row>
    <row r="6199" spans="2:5" x14ac:dyDescent="0.4">
      <c r="B6199" s="17"/>
      <c r="C6199" s="15"/>
      <c r="D6199" s="15"/>
      <c r="E6199" s="18"/>
    </row>
    <row r="6200" spans="2:5" x14ac:dyDescent="0.4">
      <c r="B6200" s="17"/>
      <c r="C6200" s="15"/>
      <c r="D6200" s="15"/>
      <c r="E6200" s="18"/>
    </row>
    <row r="6201" spans="2:5" x14ac:dyDescent="0.4">
      <c r="B6201" s="17"/>
      <c r="C6201" s="15"/>
      <c r="D6201" s="15"/>
      <c r="E6201" s="18"/>
    </row>
    <row r="6202" spans="2:5" x14ac:dyDescent="0.4">
      <c r="B6202" s="17"/>
      <c r="C6202" s="15"/>
      <c r="D6202" s="15"/>
      <c r="E6202" s="18"/>
    </row>
    <row r="6203" spans="2:5" x14ac:dyDescent="0.4">
      <c r="B6203" s="17"/>
      <c r="C6203" s="15"/>
      <c r="D6203" s="15"/>
      <c r="E6203" s="18"/>
    </row>
    <row r="6204" spans="2:5" x14ac:dyDescent="0.4">
      <c r="B6204" s="17"/>
      <c r="C6204" s="15"/>
      <c r="D6204" s="15"/>
      <c r="E6204" s="18"/>
    </row>
    <row r="6205" spans="2:5" x14ac:dyDescent="0.4">
      <c r="B6205" s="17"/>
      <c r="C6205" s="15"/>
      <c r="D6205" s="15"/>
      <c r="E6205" s="18"/>
    </row>
    <row r="6206" spans="2:5" x14ac:dyDescent="0.4">
      <c r="B6206" s="17"/>
      <c r="C6206" s="15"/>
      <c r="D6206" s="15"/>
      <c r="E6206" s="18"/>
    </row>
    <row r="6207" spans="2:5" x14ac:dyDescent="0.4">
      <c r="B6207" s="17"/>
      <c r="C6207" s="15"/>
      <c r="D6207" s="15"/>
      <c r="E6207" s="18"/>
    </row>
    <row r="6208" spans="2:5" x14ac:dyDescent="0.4">
      <c r="B6208" s="17"/>
      <c r="C6208" s="15"/>
      <c r="D6208" s="15"/>
      <c r="E6208" s="18"/>
    </row>
    <row r="6209" spans="2:5" x14ac:dyDescent="0.4">
      <c r="B6209" s="17"/>
      <c r="C6209" s="15"/>
      <c r="D6209" s="15"/>
      <c r="E6209" s="18"/>
    </row>
    <row r="6210" spans="2:5" x14ac:dyDescent="0.4">
      <c r="B6210" s="17"/>
      <c r="C6210" s="15"/>
      <c r="D6210" s="15"/>
      <c r="E6210" s="18"/>
    </row>
    <row r="6211" spans="2:5" x14ac:dyDescent="0.4">
      <c r="B6211" s="17"/>
      <c r="C6211" s="15"/>
      <c r="D6211" s="15"/>
      <c r="E6211" s="18"/>
    </row>
    <row r="6212" spans="2:5" x14ac:dyDescent="0.4">
      <c r="B6212" s="17"/>
      <c r="C6212" s="15"/>
      <c r="D6212" s="15"/>
      <c r="E6212" s="18"/>
    </row>
    <row r="6213" spans="2:5" x14ac:dyDescent="0.4">
      <c r="B6213" s="17"/>
      <c r="C6213" s="15"/>
      <c r="D6213" s="15"/>
      <c r="E6213" s="18"/>
    </row>
    <row r="6214" spans="2:5" x14ac:dyDescent="0.4">
      <c r="B6214" s="17"/>
      <c r="C6214" s="15"/>
      <c r="D6214" s="15"/>
      <c r="E6214" s="18"/>
    </row>
    <row r="6215" spans="2:5" x14ac:dyDescent="0.4">
      <c r="B6215" s="17"/>
      <c r="C6215" s="15"/>
      <c r="D6215" s="15"/>
      <c r="E6215" s="18"/>
    </row>
    <row r="6216" spans="2:5" x14ac:dyDescent="0.4">
      <c r="B6216" s="17"/>
      <c r="C6216" s="15"/>
      <c r="D6216" s="15"/>
      <c r="E6216" s="18"/>
    </row>
    <row r="6217" spans="2:5" x14ac:dyDescent="0.4">
      <c r="B6217" s="17"/>
      <c r="C6217" s="15"/>
      <c r="D6217" s="15"/>
      <c r="E6217" s="18"/>
    </row>
    <row r="6218" spans="2:5" x14ac:dyDescent="0.4">
      <c r="B6218" s="17"/>
      <c r="C6218" s="15"/>
      <c r="D6218" s="15"/>
      <c r="E6218" s="18"/>
    </row>
    <row r="6219" spans="2:5" x14ac:dyDescent="0.4">
      <c r="B6219" s="17"/>
      <c r="C6219" s="15"/>
      <c r="D6219" s="15"/>
      <c r="E6219" s="18"/>
    </row>
    <row r="6220" spans="2:5" x14ac:dyDescent="0.4">
      <c r="B6220" s="17"/>
      <c r="C6220" s="15"/>
      <c r="D6220" s="15"/>
      <c r="E6220" s="18"/>
    </row>
    <row r="6221" spans="2:5" x14ac:dyDescent="0.4">
      <c r="B6221" s="17"/>
      <c r="C6221" s="15"/>
      <c r="D6221" s="15"/>
      <c r="E6221" s="18"/>
    </row>
    <row r="6222" spans="2:5" x14ac:dyDescent="0.4">
      <c r="B6222" s="17"/>
      <c r="C6222" s="15"/>
      <c r="D6222" s="15"/>
      <c r="E6222" s="18"/>
    </row>
    <row r="6223" spans="2:5" x14ac:dyDescent="0.4">
      <c r="B6223" s="17"/>
      <c r="C6223" s="15"/>
      <c r="D6223" s="15"/>
      <c r="E6223" s="18"/>
    </row>
    <row r="6224" spans="2:5" x14ac:dyDescent="0.4">
      <c r="B6224" s="17"/>
      <c r="C6224" s="15"/>
      <c r="D6224" s="15"/>
      <c r="E6224" s="18"/>
    </row>
    <row r="6225" spans="2:5" x14ac:dyDescent="0.4">
      <c r="B6225" s="17"/>
      <c r="C6225" s="15"/>
      <c r="D6225" s="15"/>
      <c r="E6225" s="18"/>
    </row>
    <row r="6226" spans="2:5" x14ac:dyDescent="0.4">
      <c r="B6226" s="17"/>
      <c r="C6226" s="15"/>
      <c r="D6226" s="15"/>
      <c r="E6226" s="18"/>
    </row>
    <row r="6227" spans="2:5" x14ac:dyDescent="0.4">
      <c r="B6227" s="17"/>
      <c r="C6227" s="15"/>
      <c r="D6227" s="15"/>
      <c r="E6227" s="18"/>
    </row>
    <row r="6228" spans="2:5" x14ac:dyDescent="0.4">
      <c r="B6228" s="17"/>
      <c r="C6228" s="15"/>
      <c r="D6228" s="15"/>
      <c r="E6228" s="18"/>
    </row>
    <row r="6229" spans="2:5" x14ac:dyDescent="0.4">
      <c r="B6229" s="17"/>
      <c r="C6229" s="15"/>
      <c r="D6229" s="15"/>
      <c r="E6229" s="18"/>
    </row>
    <row r="6230" spans="2:5" x14ac:dyDescent="0.4">
      <c r="B6230" s="17"/>
      <c r="C6230" s="15"/>
      <c r="D6230" s="15"/>
      <c r="E6230" s="18"/>
    </row>
    <row r="6231" spans="2:5" x14ac:dyDescent="0.4">
      <c r="B6231" s="17"/>
      <c r="C6231" s="15"/>
      <c r="D6231" s="15"/>
      <c r="E6231" s="18"/>
    </row>
    <row r="6232" spans="2:5" x14ac:dyDescent="0.4">
      <c r="B6232" s="17"/>
      <c r="C6232" s="15"/>
      <c r="D6232" s="15"/>
      <c r="E6232" s="18"/>
    </row>
    <row r="6233" spans="2:5" x14ac:dyDescent="0.4">
      <c r="B6233" s="17"/>
      <c r="C6233" s="15"/>
      <c r="D6233" s="15"/>
      <c r="E6233" s="18"/>
    </row>
    <row r="6234" spans="2:5" x14ac:dyDescent="0.4">
      <c r="B6234" s="17"/>
      <c r="C6234" s="15"/>
      <c r="D6234" s="15"/>
      <c r="E6234" s="18"/>
    </row>
    <row r="6235" spans="2:5" x14ac:dyDescent="0.4">
      <c r="B6235" s="17"/>
      <c r="C6235" s="15"/>
      <c r="D6235" s="15"/>
      <c r="E6235" s="18"/>
    </row>
    <row r="6236" spans="2:5" x14ac:dyDescent="0.4">
      <c r="B6236" s="17"/>
      <c r="C6236" s="15"/>
      <c r="D6236" s="15"/>
      <c r="E6236" s="18"/>
    </row>
    <row r="6237" spans="2:5" x14ac:dyDescent="0.4">
      <c r="B6237" s="17"/>
      <c r="C6237" s="15"/>
      <c r="D6237" s="15"/>
      <c r="E6237" s="18"/>
    </row>
    <row r="6238" spans="2:5" x14ac:dyDescent="0.4">
      <c r="B6238" s="17"/>
      <c r="C6238" s="15"/>
      <c r="D6238" s="15"/>
      <c r="E6238" s="18"/>
    </row>
    <row r="6239" spans="2:5" x14ac:dyDescent="0.4">
      <c r="B6239" s="17"/>
      <c r="C6239" s="15"/>
      <c r="D6239" s="15"/>
      <c r="E6239" s="18"/>
    </row>
    <row r="6240" spans="2:5" x14ac:dyDescent="0.4">
      <c r="B6240" s="17"/>
      <c r="C6240" s="15"/>
      <c r="D6240" s="15"/>
      <c r="E6240" s="18"/>
    </row>
    <row r="6241" spans="2:5" x14ac:dyDescent="0.4">
      <c r="B6241" s="17"/>
      <c r="C6241" s="15"/>
      <c r="D6241" s="15"/>
      <c r="E6241" s="18"/>
    </row>
    <row r="6242" spans="2:5" x14ac:dyDescent="0.4">
      <c r="B6242" s="17"/>
      <c r="C6242" s="15"/>
      <c r="D6242" s="15"/>
      <c r="E6242" s="18"/>
    </row>
    <row r="6243" spans="2:5" x14ac:dyDescent="0.4">
      <c r="B6243" s="17"/>
      <c r="C6243" s="15"/>
      <c r="D6243" s="15"/>
      <c r="E6243" s="18"/>
    </row>
    <row r="6244" spans="2:5" x14ac:dyDescent="0.4">
      <c r="B6244" s="17"/>
      <c r="C6244" s="15"/>
      <c r="D6244" s="15"/>
      <c r="E6244" s="18"/>
    </row>
    <row r="6245" spans="2:5" x14ac:dyDescent="0.4">
      <c r="B6245" s="17"/>
      <c r="C6245" s="15"/>
      <c r="D6245" s="15"/>
      <c r="E6245" s="18"/>
    </row>
    <row r="6246" spans="2:5" x14ac:dyDescent="0.4">
      <c r="B6246" s="17"/>
      <c r="C6246" s="15"/>
      <c r="D6246" s="15"/>
      <c r="E6246" s="18"/>
    </row>
    <row r="6247" spans="2:5" x14ac:dyDescent="0.4">
      <c r="B6247" s="17"/>
      <c r="C6247" s="15"/>
      <c r="D6247" s="15"/>
      <c r="E6247" s="18"/>
    </row>
    <row r="6248" spans="2:5" x14ac:dyDescent="0.4">
      <c r="B6248" s="17"/>
      <c r="C6248" s="15"/>
      <c r="D6248" s="15"/>
      <c r="E6248" s="18"/>
    </row>
    <row r="6249" spans="2:5" x14ac:dyDescent="0.4">
      <c r="B6249" s="17"/>
      <c r="C6249" s="15"/>
      <c r="D6249" s="15"/>
      <c r="E6249" s="18"/>
    </row>
    <row r="6250" spans="2:5" x14ac:dyDescent="0.4">
      <c r="B6250" s="17"/>
      <c r="C6250" s="15"/>
      <c r="D6250" s="15"/>
      <c r="E6250" s="18"/>
    </row>
    <row r="6251" spans="2:5" x14ac:dyDescent="0.4">
      <c r="B6251" s="17"/>
      <c r="C6251" s="15"/>
      <c r="D6251" s="15"/>
      <c r="E6251" s="18"/>
    </row>
    <row r="6252" spans="2:5" x14ac:dyDescent="0.4">
      <c r="B6252" s="17"/>
      <c r="C6252" s="15"/>
      <c r="D6252" s="15"/>
      <c r="E6252" s="18"/>
    </row>
    <row r="6253" spans="2:5" x14ac:dyDescent="0.4">
      <c r="B6253" s="17"/>
      <c r="C6253" s="15"/>
      <c r="D6253" s="15"/>
      <c r="E6253" s="18"/>
    </row>
    <row r="6254" spans="2:5" x14ac:dyDescent="0.4">
      <c r="B6254" s="17"/>
      <c r="C6254" s="15"/>
      <c r="D6254" s="15"/>
      <c r="E6254" s="18"/>
    </row>
    <row r="6255" spans="2:5" x14ac:dyDescent="0.4">
      <c r="B6255" s="17"/>
      <c r="C6255" s="15"/>
      <c r="D6255" s="15"/>
      <c r="E6255" s="18"/>
    </row>
    <row r="6256" spans="2:5" x14ac:dyDescent="0.4">
      <c r="B6256" s="17"/>
      <c r="C6256" s="15"/>
      <c r="D6256" s="15"/>
      <c r="E6256" s="18"/>
    </row>
    <row r="6257" spans="2:5" x14ac:dyDescent="0.4">
      <c r="B6257" s="17"/>
      <c r="C6257" s="15"/>
      <c r="D6257" s="15"/>
      <c r="E6257" s="18"/>
    </row>
    <row r="6258" spans="2:5" x14ac:dyDescent="0.4">
      <c r="B6258" s="17"/>
      <c r="C6258" s="15"/>
      <c r="D6258" s="15"/>
      <c r="E6258" s="18"/>
    </row>
    <row r="6259" spans="2:5" x14ac:dyDescent="0.4">
      <c r="B6259" s="17"/>
      <c r="C6259" s="15"/>
      <c r="D6259" s="15"/>
      <c r="E6259" s="18"/>
    </row>
    <row r="6260" spans="2:5" x14ac:dyDescent="0.4">
      <c r="B6260" s="17"/>
      <c r="C6260" s="15"/>
      <c r="D6260" s="15"/>
      <c r="E6260" s="18"/>
    </row>
    <row r="6261" spans="2:5" x14ac:dyDescent="0.4">
      <c r="B6261" s="17"/>
      <c r="C6261" s="15"/>
      <c r="D6261" s="15"/>
      <c r="E6261" s="18"/>
    </row>
    <row r="6262" spans="2:5" x14ac:dyDescent="0.4">
      <c r="B6262" s="17"/>
      <c r="C6262" s="15"/>
      <c r="D6262" s="15"/>
      <c r="E6262" s="18"/>
    </row>
    <row r="6263" spans="2:5" x14ac:dyDescent="0.4">
      <c r="B6263" s="17"/>
      <c r="C6263" s="15"/>
      <c r="D6263" s="15"/>
      <c r="E6263" s="18"/>
    </row>
    <row r="6264" spans="2:5" x14ac:dyDescent="0.4">
      <c r="B6264" s="17"/>
      <c r="C6264" s="15"/>
      <c r="D6264" s="15"/>
      <c r="E6264" s="18"/>
    </row>
    <row r="6265" spans="2:5" x14ac:dyDescent="0.4">
      <c r="B6265" s="17"/>
      <c r="C6265" s="15"/>
      <c r="D6265" s="15"/>
      <c r="E6265" s="18"/>
    </row>
    <row r="6266" spans="2:5" x14ac:dyDescent="0.4">
      <c r="B6266" s="17"/>
      <c r="C6266" s="15"/>
      <c r="D6266" s="15"/>
      <c r="E6266" s="18"/>
    </row>
    <row r="6267" spans="2:5" x14ac:dyDescent="0.4">
      <c r="B6267" s="17"/>
      <c r="C6267" s="15"/>
      <c r="D6267" s="15"/>
      <c r="E6267" s="18"/>
    </row>
    <row r="6268" spans="2:5" x14ac:dyDescent="0.4">
      <c r="B6268" s="17"/>
      <c r="C6268" s="15"/>
      <c r="D6268" s="15"/>
      <c r="E6268" s="18"/>
    </row>
    <row r="6269" spans="2:5" x14ac:dyDescent="0.4">
      <c r="B6269" s="17"/>
      <c r="C6269" s="15"/>
      <c r="D6269" s="15"/>
      <c r="E6269" s="18"/>
    </row>
    <row r="6270" spans="2:5" x14ac:dyDescent="0.4">
      <c r="B6270" s="17"/>
      <c r="C6270" s="15"/>
      <c r="D6270" s="15"/>
      <c r="E6270" s="18"/>
    </row>
    <row r="6271" spans="2:5" x14ac:dyDescent="0.4">
      <c r="B6271" s="17"/>
      <c r="C6271" s="15"/>
      <c r="D6271" s="15"/>
      <c r="E6271" s="18"/>
    </row>
    <row r="6272" spans="2:5" x14ac:dyDescent="0.4">
      <c r="B6272" s="17"/>
      <c r="C6272" s="15"/>
      <c r="D6272" s="15"/>
      <c r="E6272" s="18"/>
    </row>
    <row r="6273" spans="2:5" x14ac:dyDescent="0.4">
      <c r="B6273" s="17"/>
      <c r="C6273" s="15"/>
      <c r="D6273" s="15"/>
      <c r="E6273" s="18"/>
    </row>
    <row r="6274" spans="2:5" x14ac:dyDescent="0.4">
      <c r="B6274" s="17"/>
      <c r="C6274" s="15"/>
      <c r="D6274" s="15"/>
      <c r="E6274" s="18"/>
    </row>
    <row r="6275" spans="2:5" x14ac:dyDescent="0.4">
      <c r="B6275" s="17"/>
      <c r="C6275" s="15"/>
      <c r="D6275" s="15"/>
      <c r="E6275" s="18"/>
    </row>
    <row r="6276" spans="2:5" x14ac:dyDescent="0.4">
      <c r="B6276" s="17"/>
      <c r="C6276" s="15"/>
      <c r="D6276" s="15"/>
      <c r="E6276" s="18"/>
    </row>
    <row r="6277" spans="2:5" x14ac:dyDescent="0.4">
      <c r="B6277" s="17"/>
      <c r="C6277" s="15"/>
      <c r="D6277" s="15"/>
      <c r="E6277" s="18"/>
    </row>
    <row r="6278" spans="2:5" x14ac:dyDescent="0.4">
      <c r="B6278" s="17"/>
      <c r="C6278" s="15"/>
      <c r="D6278" s="15"/>
      <c r="E6278" s="18"/>
    </row>
    <row r="6279" spans="2:5" x14ac:dyDescent="0.4">
      <c r="B6279" s="17"/>
      <c r="C6279" s="15"/>
      <c r="D6279" s="15"/>
      <c r="E6279" s="18"/>
    </row>
    <row r="6280" spans="2:5" x14ac:dyDescent="0.4">
      <c r="B6280" s="17"/>
      <c r="C6280" s="15"/>
      <c r="D6280" s="15"/>
      <c r="E6280" s="18"/>
    </row>
    <row r="6281" spans="2:5" x14ac:dyDescent="0.4">
      <c r="B6281" s="17"/>
      <c r="C6281" s="15"/>
      <c r="D6281" s="15"/>
      <c r="E6281" s="18"/>
    </row>
    <row r="6282" spans="2:5" x14ac:dyDescent="0.4">
      <c r="B6282" s="17"/>
      <c r="C6282" s="15"/>
      <c r="D6282" s="15"/>
      <c r="E6282" s="18"/>
    </row>
    <row r="6283" spans="2:5" x14ac:dyDescent="0.4">
      <c r="B6283" s="17"/>
      <c r="C6283" s="15"/>
      <c r="D6283" s="15"/>
      <c r="E6283" s="18"/>
    </row>
    <row r="6284" spans="2:5" x14ac:dyDescent="0.4">
      <c r="B6284" s="17"/>
      <c r="C6284" s="15"/>
      <c r="D6284" s="15"/>
      <c r="E6284" s="18"/>
    </row>
    <row r="6285" spans="2:5" x14ac:dyDescent="0.4">
      <c r="B6285" s="17"/>
      <c r="C6285" s="15"/>
      <c r="D6285" s="15"/>
      <c r="E6285" s="18"/>
    </row>
    <row r="6286" spans="2:5" x14ac:dyDescent="0.4">
      <c r="B6286" s="17"/>
      <c r="C6286" s="15"/>
      <c r="D6286" s="15"/>
      <c r="E6286" s="18"/>
    </row>
    <row r="6287" spans="2:5" x14ac:dyDescent="0.4">
      <c r="B6287" s="17"/>
      <c r="C6287" s="15"/>
      <c r="D6287" s="15"/>
      <c r="E6287" s="18"/>
    </row>
    <row r="6288" spans="2:5" x14ac:dyDescent="0.4">
      <c r="B6288" s="17"/>
      <c r="C6288" s="15"/>
      <c r="D6288" s="15"/>
      <c r="E6288" s="18"/>
    </row>
    <row r="6289" spans="2:5" x14ac:dyDescent="0.4">
      <c r="B6289" s="17"/>
      <c r="C6289" s="15"/>
      <c r="D6289" s="15"/>
      <c r="E6289" s="18"/>
    </row>
    <row r="6290" spans="2:5" x14ac:dyDescent="0.4">
      <c r="B6290" s="17"/>
      <c r="C6290" s="15"/>
      <c r="D6290" s="15"/>
      <c r="E6290" s="18"/>
    </row>
    <row r="6291" spans="2:5" x14ac:dyDescent="0.4">
      <c r="B6291" s="17"/>
      <c r="C6291" s="15"/>
      <c r="D6291" s="15"/>
      <c r="E6291" s="18"/>
    </row>
    <row r="6292" spans="2:5" x14ac:dyDescent="0.4">
      <c r="B6292" s="17"/>
      <c r="C6292" s="15"/>
      <c r="D6292" s="15"/>
      <c r="E6292" s="18"/>
    </row>
    <row r="6293" spans="2:5" x14ac:dyDescent="0.4">
      <c r="B6293" s="17"/>
      <c r="C6293" s="15"/>
      <c r="D6293" s="15"/>
      <c r="E6293" s="18"/>
    </row>
    <row r="6294" spans="2:5" x14ac:dyDescent="0.4">
      <c r="B6294" s="17"/>
      <c r="C6294" s="15"/>
      <c r="D6294" s="15"/>
      <c r="E6294" s="18"/>
    </row>
    <row r="6295" spans="2:5" x14ac:dyDescent="0.4">
      <c r="B6295" s="17"/>
      <c r="C6295" s="15"/>
      <c r="D6295" s="15"/>
      <c r="E6295" s="18"/>
    </row>
    <row r="6296" spans="2:5" x14ac:dyDescent="0.4">
      <c r="B6296" s="17"/>
      <c r="C6296" s="15"/>
      <c r="D6296" s="15"/>
      <c r="E6296" s="18"/>
    </row>
    <row r="6297" spans="2:5" x14ac:dyDescent="0.4">
      <c r="B6297" s="17"/>
      <c r="C6297" s="15"/>
      <c r="D6297" s="15"/>
      <c r="E6297" s="18"/>
    </row>
    <row r="6298" spans="2:5" x14ac:dyDescent="0.4">
      <c r="B6298" s="17"/>
      <c r="C6298" s="15"/>
      <c r="D6298" s="15"/>
      <c r="E6298" s="18"/>
    </row>
    <row r="6299" spans="2:5" x14ac:dyDescent="0.4">
      <c r="B6299" s="17"/>
      <c r="C6299" s="15"/>
      <c r="D6299" s="15"/>
      <c r="E6299" s="18"/>
    </row>
    <row r="6300" spans="2:5" x14ac:dyDescent="0.4">
      <c r="B6300" s="17"/>
      <c r="C6300" s="15"/>
      <c r="D6300" s="15"/>
      <c r="E6300" s="18"/>
    </row>
    <row r="6301" spans="2:5" x14ac:dyDescent="0.4">
      <c r="B6301" s="17"/>
      <c r="C6301" s="15"/>
      <c r="D6301" s="15"/>
      <c r="E6301" s="18"/>
    </row>
    <row r="6302" spans="2:5" x14ac:dyDescent="0.4">
      <c r="B6302" s="17"/>
      <c r="C6302" s="15"/>
      <c r="D6302" s="15"/>
      <c r="E6302" s="18"/>
    </row>
    <row r="6303" spans="2:5" x14ac:dyDescent="0.4">
      <c r="B6303" s="17"/>
      <c r="C6303" s="15"/>
      <c r="D6303" s="15"/>
      <c r="E6303" s="18"/>
    </row>
    <row r="6304" spans="2:5" x14ac:dyDescent="0.4">
      <c r="B6304" s="17"/>
      <c r="C6304" s="15"/>
      <c r="D6304" s="15"/>
      <c r="E6304" s="18"/>
    </row>
    <row r="6305" spans="2:5" x14ac:dyDescent="0.4">
      <c r="B6305" s="17"/>
      <c r="C6305" s="15"/>
      <c r="D6305" s="15"/>
      <c r="E6305" s="18"/>
    </row>
    <row r="6306" spans="2:5" x14ac:dyDescent="0.4">
      <c r="B6306" s="17"/>
      <c r="C6306" s="15"/>
      <c r="D6306" s="15"/>
      <c r="E6306" s="18"/>
    </row>
    <row r="6307" spans="2:5" x14ac:dyDescent="0.4">
      <c r="B6307" s="17"/>
      <c r="C6307" s="15"/>
      <c r="D6307" s="15"/>
      <c r="E6307" s="18"/>
    </row>
    <row r="6308" spans="2:5" x14ac:dyDescent="0.4">
      <c r="B6308" s="17"/>
      <c r="C6308" s="15"/>
      <c r="D6308" s="15"/>
      <c r="E6308" s="18"/>
    </row>
    <row r="6309" spans="2:5" x14ac:dyDescent="0.4">
      <c r="B6309" s="17"/>
      <c r="C6309" s="15"/>
      <c r="D6309" s="15"/>
      <c r="E6309" s="18"/>
    </row>
    <row r="6310" spans="2:5" x14ac:dyDescent="0.4">
      <c r="B6310" s="17"/>
      <c r="C6310" s="15"/>
      <c r="D6310" s="15"/>
      <c r="E6310" s="18"/>
    </row>
    <row r="6311" spans="2:5" x14ac:dyDescent="0.4">
      <c r="B6311" s="17"/>
      <c r="C6311" s="15"/>
      <c r="D6311" s="15"/>
      <c r="E6311" s="18"/>
    </row>
    <row r="6312" spans="2:5" x14ac:dyDescent="0.4">
      <c r="B6312" s="17"/>
      <c r="C6312" s="15"/>
      <c r="D6312" s="15"/>
      <c r="E6312" s="18"/>
    </row>
    <row r="6313" spans="2:5" x14ac:dyDescent="0.4">
      <c r="B6313" s="17"/>
      <c r="C6313" s="15"/>
      <c r="D6313" s="15"/>
      <c r="E6313" s="18"/>
    </row>
    <row r="6314" spans="2:5" x14ac:dyDescent="0.4">
      <c r="B6314" s="17"/>
      <c r="C6314" s="15"/>
      <c r="D6314" s="15"/>
      <c r="E6314" s="18"/>
    </row>
    <row r="6315" spans="2:5" x14ac:dyDescent="0.4">
      <c r="B6315" s="17"/>
      <c r="C6315" s="15"/>
      <c r="D6315" s="15"/>
      <c r="E6315" s="18"/>
    </row>
    <row r="6316" spans="2:5" x14ac:dyDescent="0.4">
      <c r="B6316" s="17"/>
      <c r="C6316" s="15"/>
      <c r="D6316" s="15"/>
      <c r="E6316" s="18"/>
    </row>
    <row r="6317" spans="2:5" x14ac:dyDescent="0.4">
      <c r="B6317" s="17"/>
      <c r="C6317" s="15"/>
      <c r="D6317" s="15"/>
      <c r="E6317" s="18"/>
    </row>
    <row r="6318" spans="2:5" x14ac:dyDescent="0.4">
      <c r="B6318" s="17"/>
      <c r="C6318" s="15"/>
      <c r="D6318" s="15"/>
      <c r="E6318" s="18"/>
    </row>
    <row r="6319" spans="2:5" x14ac:dyDescent="0.4">
      <c r="B6319" s="17"/>
      <c r="C6319" s="15"/>
      <c r="D6319" s="15"/>
      <c r="E6319" s="18"/>
    </row>
    <row r="6320" spans="2:5" x14ac:dyDescent="0.4">
      <c r="B6320" s="17"/>
      <c r="C6320" s="15"/>
      <c r="D6320" s="15"/>
      <c r="E6320" s="18"/>
    </row>
    <row r="6321" spans="2:5" x14ac:dyDescent="0.4">
      <c r="B6321" s="17"/>
      <c r="C6321" s="15"/>
      <c r="D6321" s="15"/>
      <c r="E6321" s="18"/>
    </row>
    <row r="6322" spans="2:5" x14ac:dyDescent="0.4">
      <c r="B6322" s="17"/>
      <c r="C6322" s="15"/>
      <c r="D6322" s="15"/>
      <c r="E6322" s="18"/>
    </row>
    <row r="6323" spans="2:5" x14ac:dyDescent="0.4">
      <c r="B6323" s="17"/>
      <c r="C6323" s="15"/>
      <c r="D6323" s="15"/>
      <c r="E6323" s="18"/>
    </row>
    <row r="6324" spans="2:5" x14ac:dyDescent="0.4">
      <c r="B6324" s="17"/>
      <c r="C6324" s="15"/>
      <c r="D6324" s="15"/>
      <c r="E6324" s="18"/>
    </row>
    <row r="6325" spans="2:5" x14ac:dyDescent="0.4">
      <c r="B6325" s="17"/>
      <c r="C6325" s="15"/>
      <c r="D6325" s="15"/>
      <c r="E6325" s="18"/>
    </row>
    <row r="6326" spans="2:5" x14ac:dyDescent="0.4">
      <c r="B6326" s="17"/>
      <c r="C6326" s="15"/>
      <c r="D6326" s="15"/>
      <c r="E6326" s="18"/>
    </row>
    <row r="6327" spans="2:5" x14ac:dyDescent="0.4">
      <c r="B6327" s="17"/>
      <c r="C6327" s="15"/>
      <c r="D6327" s="15"/>
      <c r="E6327" s="18"/>
    </row>
    <row r="6328" spans="2:5" x14ac:dyDescent="0.4">
      <c r="B6328" s="17"/>
      <c r="C6328" s="15"/>
      <c r="D6328" s="15"/>
      <c r="E6328" s="18"/>
    </row>
    <row r="6329" spans="2:5" x14ac:dyDescent="0.4">
      <c r="B6329" s="17"/>
      <c r="C6329" s="15"/>
      <c r="D6329" s="15"/>
      <c r="E6329" s="18"/>
    </row>
    <row r="6330" spans="2:5" x14ac:dyDescent="0.4">
      <c r="B6330" s="17"/>
      <c r="C6330" s="15"/>
      <c r="D6330" s="15"/>
      <c r="E6330" s="18"/>
    </row>
    <row r="6331" spans="2:5" x14ac:dyDescent="0.4">
      <c r="B6331" s="17"/>
      <c r="C6331" s="15"/>
      <c r="D6331" s="15"/>
      <c r="E6331" s="18"/>
    </row>
    <row r="6332" spans="2:5" x14ac:dyDescent="0.4">
      <c r="B6332" s="17"/>
      <c r="C6332" s="15"/>
      <c r="D6332" s="15"/>
      <c r="E6332" s="18"/>
    </row>
    <row r="6333" spans="2:5" x14ac:dyDescent="0.4">
      <c r="B6333" s="17"/>
      <c r="C6333" s="15"/>
      <c r="D6333" s="15"/>
      <c r="E6333" s="18"/>
    </row>
    <row r="6334" spans="2:5" x14ac:dyDescent="0.4">
      <c r="B6334" s="17"/>
      <c r="C6334" s="15"/>
      <c r="D6334" s="15"/>
      <c r="E6334" s="18"/>
    </row>
    <row r="6335" spans="2:5" x14ac:dyDescent="0.4">
      <c r="B6335" s="17"/>
      <c r="C6335" s="15"/>
      <c r="D6335" s="15"/>
      <c r="E6335" s="18"/>
    </row>
    <row r="6336" spans="2:5" x14ac:dyDescent="0.4">
      <c r="B6336" s="17"/>
      <c r="C6336" s="15"/>
      <c r="D6336" s="15"/>
      <c r="E6336" s="18"/>
    </row>
    <row r="6337" spans="2:5" x14ac:dyDescent="0.4">
      <c r="B6337" s="17"/>
      <c r="C6337" s="15"/>
      <c r="D6337" s="15"/>
      <c r="E6337" s="18"/>
    </row>
    <row r="6338" spans="2:5" x14ac:dyDescent="0.4">
      <c r="B6338" s="17"/>
      <c r="C6338" s="15"/>
      <c r="D6338" s="15"/>
      <c r="E6338" s="18"/>
    </row>
    <row r="6339" spans="2:5" x14ac:dyDescent="0.4">
      <c r="B6339" s="17"/>
      <c r="C6339" s="15"/>
      <c r="D6339" s="15"/>
      <c r="E6339" s="18"/>
    </row>
    <row r="6340" spans="2:5" x14ac:dyDescent="0.4">
      <c r="B6340" s="17"/>
      <c r="C6340" s="15"/>
      <c r="D6340" s="15"/>
      <c r="E6340" s="18"/>
    </row>
    <row r="6341" spans="2:5" x14ac:dyDescent="0.4">
      <c r="B6341" s="17"/>
      <c r="C6341" s="15"/>
      <c r="D6341" s="15"/>
      <c r="E6341" s="18"/>
    </row>
    <row r="6342" spans="2:5" x14ac:dyDescent="0.4">
      <c r="B6342" s="17"/>
      <c r="C6342" s="15"/>
      <c r="D6342" s="15"/>
      <c r="E6342" s="18"/>
    </row>
    <row r="6343" spans="2:5" x14ac:dyDescent="0.4">
      <c r="B6343" s="17"/>
      <c r="C6343" s="15"/>
      <c r="D6343" s="15"/>
      <c r="E6343" s="18"/>
    </row>
    <row r="6344" spans="2:5" x14ac:dyDescent="0.4">
      <c r="B6344" s="17"/>
      <c r="C6344" s="15"/>
      <c r="D6344" s="15"/>
      <c r="E6344" s="18"/>
    </row>
    <row r="6345" spans="2:5" x14ac:dyDescent="0.4">
      <c r="B6345" s="17"/>
      <c r="C6345" s="15"/>
      <c r="D6345" s="15"/>
      <c r="E6345" s="18"/>
    </row>
    <row r="6346" spans="2:5" x14ac:dyDescent="0.4">
      <c r="B6346" s="17"/>
      <c r="C6346" s="15"/>
      <c r="D6346" s="15"/>
      <c r="E6346" s="18"/>
    </row>
    <row r="6347" spans="2:5" x14ac:dyDescent="0.4">
      <c r="B6347" s="17"/>
      <c r="C6347" s="15"/>
      <c r="D6347" s="15"/>
      <c r="E6347" s="18"/>
    </row>
    <row r="6348" spans="2:5" x14ac:dyDescent="0.4">
      <c r="B6348" s="17"/>
      <c r="C6348" s="15"/>
      <c r="D6348" s="15"/>
      <c r="E6348" s="18"/>
    </row>
    <row r="6349" spans="2:5" x14ac:dyDescent="0.4">
      <c r="B6349" s="17"/>
      <c r="C6349" s="15"/>
      <c r="D6349" s="15"/>
      <c r="E6349" s="18"/>
    </row>
    <row r="6350" spans="2:5" x14ac:dyDescent="0.4">
      <c r="B6350" s="17"/>
      <c r="C6350" s="15"/>
      <c r="D6350" s="15"/>
      <c r="E6350" s="18"/>
    </row>
    <row r="6351" spans="2:5" x14ac:dyDescent="0.4">
      <c r="B6351" s="17"/>
      <c r="C6351" s="15"/>
      <c r="D6351" s="15"/>
      <c r="E6351" s="18"/>
    </row>
    <row r="6352" spans="2:5" x14ac:dyDescent="0.4">
      <c r="B6352" s="17"/>
      <c r="C6352" s="15"/>
      <c r="D6352" s="15"/>
      <c r="E6352" s="18"/>
    </row>
    <row r="6353" spans="2:5" x14ac:dyDescent="0.4">
      <c r="B6353" s="17"/>
      <c r="C6353" s="15"/>
      <c r="D6353" s="15"/>
      <c r="E6353" s="18"/>
    </row>
    <row r="6354" spans="2:5" x14ac:dyDescent="0.4">
      <c r="B6354" s="17"/>
      <c r="C6354" s="15"/>
      <c r="D6354" s="15"/>
      <c r="E6354" s="18"/>
    </row>
    <row r="6355" spans="2:5" x14ac:dyDescent="0.4">
      <c r="B6355" s="17"/>
      <c r="C6355" s="15"/>
      <c r="D6355" s="15"/>
      <c r="E6355" s="18"/>
    </row>
    <row r="6356" spans="2:5" x14ac:dyDescent="0.4">
      <c r="B6356" s="17"/>
      <c r="C6356" s="15"/>
      <c r="D6356" s="15"/>
      <c r="E6356" s="18"/>
    </row>
    <row r="6357" spans="2:5" x14ac:dyDescent="0.4">
      <c r="B6357" s="17"/>
      <c r="C6357" s="15"/>
      <c r="D6357" s="15"/>
      <c r="E6357" s="18"/>
    </row>
    <row r="6358" spans="2:5" x14ac:dyDescent="0.4">
      <c r="B6358" s="17"/>
      <c r="C6358" s="15"/>
      <c r="D6358" s="15"/>
      <c r="E6358" s="18"/>
    </row>
    <row r="6359" spans="2:5" x14ac:dyDescent="0.4">
      <c r="B6359" s="17"/>
      <c r="C6359" s="15"/>
      <c r="D6359" s="15"/>
      <c r="E6359" s="18"/>
    </row>
    <row r="6360" spans="2:5" x14ac:dyDescent="0.4">
      <c r="B6360" s="17"/>
      <c r="C6360" s="15"/>
      <c r="D6360" s="15"/>
      <c r="E6360" s="18"/>
    </row>
    <row r="6361" spans="2:5" x14ac:dyDescent="0.4">
      <c r="B6361" s="17"/>
      <c r="C6361" s="15"/>
      <c r="D6361" s="15"/>
      <c r="E6361" s="18"/>
    </row>
    <row r="6362" spans="2:5" x14ac:dyDescent="0.4">
      <c r="B6362" s="17"/>
      <c r="C6362" s="15"/>
      <c r="D6362" s="15"/>
      <c r="E6362" s="18"/>
    </row>
    <row r="6363" spans="2:5" x14ac:dyDescent="0.4">
      <c r="B6363" s="17"/>
      <c r="C6363" s="15"/>
      <c r="D6363" s="15"/>
      <c r="E6363" s="18"/>
    </row>
    <row r="6364" spans="2:5" x14ac:dyDescent="0.4">
      <c r="B6364" s="17"/>
      <c r="C6364" s="15"/>
      <c r="D6364" s="15"/>
      <c r="E6364" s="18"/>
    </row>
    <row r="6365" spans="2:5" x14ac:dyDescent="0.4">
      <c r="B6365" s="17"/>
      <c r="C6365" s="15"/>
      <c r="D6365" s="15"/>
      <c r="E6365" s="18"/>
    </row>
    <row r="6366" spans="2:5" x14ac:dyDescent="0.4">
      <c r="B6366" s="17"/>
      <c r="C6366" s="15"/>
      <c r="D6366" s="15"/>
      <c r="E6366" s="18"/>
    </row>
    <row r="6367" spans="2:5" x14ac:dyDescent="0.4">
      <c r="B6367" s="17"/>
      <c r="C6367" s="15"/>
      <c r="D6367" s="15"/>
      <c r="E6367" s="18"/>
    </row>
    <row r="6368" spans="2:5" x14ac:dyDescent="0.4">
      <c r="B6368" s="17"/>
      <c r="C6368" s="15"/>
      <c r="D6368" s="15"/>
      <c r="E6368" s="18"/>
    </row>
    <row r="6369" spans="2:5" x14ac:dyDescent="0.4">
      <c r="B6369" s="17"/>
      <c r="C6369" s="15"/>
      <c r="D6369" s="15"/>
      <c r="E6369" s="18"/>
    </row>
    <row r="6370" spans="2:5" x14ac:dyDescent="0.4">
      <c r="B6370" s="17"/>
      <c r="C6370" s="15"/>
      <c r="D6370" s="15"/>
      <c r="E6370" s="18"/>
    </row>
    <row r="6371" spans="2:5" x14ac:dyDescent="0.4">
      <c r="B6371" s="17"/>
      <c r="C6371" s="15"/>
      <c r="D6371" s="15"/>
      <c r="E6371" s="18"/>
    </row>
    <row r="6372" spans="2:5" x14ac:dyDescent="0.4">
      <c r="B6372" s="17"/>
      <c r="C6372" s="15"/>
      <c r="D6372" s="15"/>
      <c r="E6372" s="18"/>
    </row>
    <row r="6373" spans="2:5" x14ac:dyDescent="0.4">
      <c r="B6373" s="17"/>
      <c r="C6373" s="15"/>
      <c r="D6373" s="15"/>
      <c r="E6373" s="18"/>
    </row>
    <row r="6374" spans="2:5" x14ac:dyDescent="0.4">
      <c r="B6374" s="17"/>
      <c r="C6374" s="15"/>
      <c r="D6374" s="15"/>
      <c r="E6374" s="18"/>
    </row>
    <row r="6375" spans="2:5" x14ac:dyDescent="0.4">
      <c r="B6375" s="17"/>
      <c r="C6375" s="15"/>
      <c r="D6375" s="15"/>
      <c r="E6375" s="18"/>
    </row>
    <row r="6376" spans="2:5" x14ac:dyDescent="0.4">
      <c r="B6376" s="17"/>
      <c r="C6376" s="15"/>
      <c r="D6376" s="15"/>
      <c r="E6376" s="18"/>
    </row>
    <row r="6377" spans="2:5" x14ac:dyDescent="0.4">
      <c r="B6377" s="17"/>
      <c r="C6377" s="15"/>
      <c r="D6377" s="15"/>
      <c r="E6377" s="18"/>
    </row>
    <row r="6378" spans="2:5" x14ac:dyDescent="0.4">
      <c r="B6378" s="17"/>
      <c r="C6378" s="15"/>
      <c r="D6378" s="15"/>
      <c r="E6378" s="18"/>
    </row>
    <row r="6379" spans="2:5" x14ac:dyDescent="0.4">
      <c r="B6379" s="17"/>
      <c r="C6379" s="15"/>
      <c r="D6379" s="15"/>
      <c r="E6379" s="18"/>
    </row>
    <row r="6380" spans="2:5" x14ac:dyDescent="0.4">
      <c r="B6380" s="17"/>
      <c r="C6380" s="15"/>
      <c r="D6380" s="15"/>
      <c r="E6380" s="18"/>
    </row>
    <row r="6381" spans="2:5" x14ac:dyDescent="0.4">
      <c r="B6381" s="17"/>
      <c r="C6381" s="15"/>
      <c r="D6381" s="15"/>
      <c r="E6381" s="18"/>
    </row>
    <row r="6382" spans="2:5" x14ac:dyDescent="0.4">
      <c r="B6382" s="17"/>
      <c r="C6382" s="15"/>
      <c r="D6382" s="15"/>
      <c r="E6382" s="18"/>
    </row>
    <row r="6383" spans="2:5" x14ac:dyDescent="0.4">
      <c r="B6383" s="17"/>
      <c r="C6383" s="15"/>
      <c r="D6383" s="15"/>
      <c r="E6383" s="18"/>
    </row>
    <row r="6384" spans="2:5" x14ac:dyDescent="0.4">
      <c r="B6384" s="17"/>
      <c r="C6384" s="15"/>
      <c r="D6384" s="15"/>
      <c r="E6384" s="18"/>
    </row>
    <row r="6385" spans="2:5" x14ac:dyDescent="0.4">
      <c r="B6385" s="17"/>
      <c r="C6385" s="15"/>
      <c r="D6385" s="15"/>
      <c r="E6385" s="18"/>
    </row>
    <row r="6386" spans="2:5" x14ac:dyDescent="0.4">
      <c r="B6386" s="17"/>
      <c r="C6386" s="15"/>
      <c r="D6386" s="15"/>
      <c r="E6386" s="18"/>
    </row>
    <row r="6387" spans="2:5" x14ac:dyDescent="0.4">
      <c r="B6387" s="17"/>
      <c r="C6387" s="15"/>
      <c r="D6387" s="15"/>
      <c r="E6387" s="18"/>
    </row>
    <row r="6388" spans="2:5" x14ac:dyDescent="0.4">
      <c r="B6388" s="17"/>
      <c r="C6388" s="15"/>
      <c r="D6388" s="15"/>
      <c r="E6388" s="18"/>
    </row>
    <row r="6389" spans="2:5" x14ac:dyDescent="0.4">
      <c r="B6389" s="17"/>
      <c r="C6389" s="15"/>
      <c r="D6389" s="15"/>
      <c r="E6389" s="18"/>
    </row>
    <row r="6390" spans="2:5" x14ac:dyDescent="0.4">
      <c r="B6390" s="17"/>
      <c r="C6390" s="15"/>
      <c r="D6390" s="15"/>
      <c r="E6390" s="18"/>
    </row>
    <row r="6391" spans="2:5" x14ac:dyDescent="0.4">
      <c r="B6391" s="17"/>
      <c r="C6391" s="15"/>
      <c r="D6391" s="15"/>
      <c r="E6391" s="18"/>
    </row>
    <row r="6392" spans="2:5" x14ac:dyDescent="0.4">
      <c r="B6392" s="17"/>
      <c r="C6392" s="15"/>
      <c r="D6392" s="15"/>
      <c r="E6392" s="18"/>
    </row>
    <row r="6393" spans="2:5" x14ac:dyDescent="0.4">
      <c r="B6393" s="17"/>
      <c r="C6393" s="15"/>
      <c r="D6393" s="15"/>
      <c r="E6393" s="18"/>
    </row>
    <row r="6394" spans="2:5" x14ac:dyDescent="0.4">
      <c r="B6394" s="17"/>
      <c r="C6394" s="15"/>
      <c r="D6394" s="15"/>
      <c r="E6394" s="18"/>
    </row>
    <row r="6395" spans="2:5" x14ac:dyDescent="0.4">
      <c r="B6395" s="17"/>
      <c r="C6395" s="15"/>
      <c r="D6395" s="15"/>
      <c r="E6395" s="18"/>
    </row>
    <row r="6396" spans="2:5" x14ac:dyDescent="0.4">
      <c r="B6396" s="17"/>
      <c r="C6396" s="15"/>
      <c r="D6396" s="15"/>
      <c r="E6396" s="18"/>
    </row>
    <row r="6397" spans="2:5" x14ac:dyDescent="0.4">
      <c r="B6397" s="17"/>
      <c r="C6397" s="15"/>
      <c r="D6397" s="15"/>
      <c r="E6397" s="18"/>
    </row>
    <row r="6398" spans="2:5" x14ac:dyDescent="0.4">
      <c r="B6398" s="17"/>
      <c r="C6398" s="15"/>
      <c r="D6398" s="15"/>
      <c r="E6398" s="18"/>
    </row>
    <row r="6399" spans="2:5" x14ac:dyDescent="0.4">
      <c r="B6399" s="17"/>
      <c r="C6399" s="15"/>
      <c r="D6399" s="15"/>
      <c r="E6399" s="18"/>
    </row>
    <row r="6400" spans="2:5" x14ac:dyDescent="0.4">
      <c r="B6400" s="17"/>
      <c r="C6400" s="15"/>
      <c r="D6400" s="15"/>
      <c r="E6400" s="18"/>
    </row>
    <row r="6401" spans="2:5" x14ac:dyDescent="0.4">
      <c r="B6401" s="17"/>
      <c r="C6401" s="15"/>
      <c r="D6401" s="15"/>
      <c r="E6401" s="18"/>
    </row>
    <row r="6402" spans="2:5" x14ac:dyDescent="0.4">
      <c r="B6402" s="17"/>
      <c r="C6402" s="15"/>
      <c r="D6402" s="15"/>
      <c r="E6402" s="18"/>
    </row>
    <row r="6403" spans="2:5" x14ac:dyDescent="0.4">
      <c r="B6403" s="17"/>
      <c r="C6403" s="15"/>
      <c r="D6403" s="15"/>
      <c r="E6403" s="18"/>
    </row>
    <row r="6404" spans="2:5" x14ac:dyDescent="0.4">
      <c r="B6404" s="17"/>
      <c r="C6404" s="15"/>
      <c r="D6404" s="15"/>
      <c r="E6404" s="18"/>
    </row>
    <row r="6405" spans="2:5" x14ac:dyDescent="0.4">
      <c r="B6405" s="17"/>
      <c r="C6405" s="15"/>
      <c r="D6405" s="15"/>
      <c r="E6405" s="18"/>
    </row>
    <row r="6406" spans="2:5" x14ac:dyDescent="0.4">
      <c r="B6406" s="17"/>
      <c r="C6406" s="15"/>
      <c r="D6406" s="15"/>
      <c r="E6406" s="18"/>
    </row>
    <row r="6407" spans="2:5" x14ac:dyDescent="0.4">
      <c r="B6407" s="17"/>
      <c r="C6407" s="15"/>
      <c r="D6407" s="15"/>
      <c r="E6407" s="18"/>
    </row>
    <row r="6408" spans="2:5" x14ac:dyDescent="0.4">
      <c r="B6408" s="17"/>
      <c r="C6408" s="15"/>
      <c r="D6408" s="15"/>
      <c r="E6408" s="18"/>
    </row>
    <row r="6409" spans="2:5" x14ac:dyDescent="0.4">
      <c r="B6409" s="17"/>
      <c r="C6409" s="15"/>
      <c r="D6409" s="15"/>
      <c r="E6409" s="18"/>
    </row>
    <row r="6410" spans="2:5" x14ac:dyDescent="0.4">
      <c r="B6410" s="17"/>
      <c r="C6410" s="15"/>
      <c r="D6410" s="15"/>
      <c r="E6410" s="18"/>
    </row>
    <row r="6411" spans="2:5" x14ac:dyDescent="0.4">
      <c r="B6411" s="17"/>
      <c r="C6411" s="15"/>
      <c r="D6411" s="15"/>
      <c r="E6411" s="18"/>
    </row>
    <row r="6412" spans="2:5" x14ac:dyDescent="0.4">
      <c r="B6412" s="17"/>
      <c r="C6412" s="15"/>
      <c r="D6412" s="15"/>
      <c r="E6412" s="18"/>
    </row>
    <row r="6413" spans="2:5" x14ac:dyDescent="0.4">
      <c r="B6413" s="17"/>
      <c r="C6413" s="15"/>
      <c r="D6413" s="15"/>
      <c r="E6413" s="18"/>
    </row>
    <row r="6414" spans="2:5" x14ac:dyDescent="0.4">
      <c r="B6414" s="17"/>
      <c r="C6414" s="15"/>
      <c r="D6414" s="15"/>
      <c r="E6414" s="18"/>
    </row>
    <row r="6415" spans="2:5" x14ac:dyDescent="0.4">
      <c r="B6415" s="17"/>
      <c r="C6415" s="15"/>
      <c r="D6415" s="15"/>
      <c r="E6415" s="18"/>
    </row>
    <row r="6416" spans="2:5" x14ac:dyDescent="0.4">
      <c r="B6416" s="17"/>
      <c r="C6416" s="15"/>
      <c r="D6416" s="15"/>
      <c r="E6416" s="18"/>
    </row>
    <row r="6417" spans="2:5" x14ac:dyDescent="0.4">
      <c r="B6417" s="17"/>
      <c r="C6417" s="15"/>
      <c r="D6417" s="15"/>
      <c r="E6417" s="18"/>
    </row>
    <row r="6418" spans="2:5" x14ac:dyDescent="0.4">
      <c r="B6418" s="17"/>
      <c r="C6418" s="15"/>
      <c r="D6418" s="15"/>
      <c r="E6418" s="18"/>
    </row>
    <row r="6419" spans="2:5" x14ac:dyDescent="0.4">
      <c r="B6419" s="17"/>
      <c r="C6419" s="15"/>
      <c r="D6419" s="15"/>
      <c r="E6419" s="18"/>
    </row>
    <row r="6420" spans="2:5" x14ac:dyDescent="0.4">
      <c r="B6420" s="17"/>
      <c r="C6420" s="15"/>
      <c r="D6420" s="15"/>
      <c r="E6420" s="18"/>
    </row>
    <row r="6421" spans="2:5" x14ac:dyDescent="0.4">
      <c r="B6421" s="17"/>
      <c r="C6421" s="15"/>
      <c r="D6421" s="15"/>
      <c r="E6421" s="18"/>
    </row>
    <row r="6422" spans="2:5" x14ac:dyDescent="0.4">
      <c r="B6422" s="17"/>
      <c r="C6422" s="15"/>
      <c r="D6422" s="15"/>
      <c r="E6422" s="18"/>
    </row>
    <row r="6423" spans="2:5" x14ac:dyDescent="0.4">
      <c r="B6423" s="17"/>
      <c r="C6423" s="15"/>
      <c r="D6423" s="15"/>
      <c r="E6423" s="18"/>
    </row>
    <row r="6424" spans="2:5" x14ac:dyDescent="0.4">
      <c r="B6424" s="17"/>
      <c r="C6424" s="15"/>
      <c r="D6424" s="15"/>
      <c r="E6424" s="18"/>
    </row>
    <row r="6425" spans="2:5" x14ac:dyDescent="0.4">
      <c r="B6425" s="17"/>
      <c r="C6425" s="15"/>
      <c r="D6425" s="15"/>
      <c r="E6425" s="18"/>
    </row>
    <row r="6426" spans="2:5" x14ac:dyDescent="0.4">
      <c r="B6426" s="17"/>
      <c r="C6426" s="15"/>
      <c r="D6426" s="15"/>
      <c r="E6426" s="18"/>
    </row>
    <row r="6427" spans="2:5" x14ac:dyDescent="0.4">
      <c r="B6427" s="17"/>
      <c r="C6427" s="15"/>
      <c r="D6427" s="15"/>
      <c r="E6427" s="18"/>
    </row>
    <row r="6428" spans="2:5" x14ac:dyDescent="0.4">
      <c r="B6428" s="17"/>
      <c r="C6428" s="15"/>
      <c r="D6428" s="15"/>
      <c r="E6428" s="18"/>
    </row>
    <row r="6429" spans="2:5" x14ac:dyDescent="0.4">
      <c r="B6429" s="17"/>
      <c r="C6429" s="15"/>
      <c r="D6429" s="15"/>
      <c r="E6429" s="18"/>
    </row>
    <row r="6430" spans="2:5" x14ac:dyDescent="0.4">
      <c r="B6430" s="17"/>
      <c r="C6430" s="15"/>
      <c r="D6430" s="15"/>
      <c r="E6430" s="18"/>
    </row>
    <row r="6431" spans="2:5" x14ac:dyDescent="0.4">
      <c r="B6431" s="17"/>
      <c r="C6431" s="15"/>
      <c r="D6431" s="15"/>
      <c r="E6431" s="18"/>
    </row>
    <row r="6432" spans="2:5" x14ac:dyDescent="0.4">
      <c r="B6432" s="17"/>
      <c r="C6432" s="15"/>
      <c r="D6432" s="15"/>
      <c r="E6432" s="18"/>
    </row>
    <row r="6433" spans="2:5" x14ac:dyDescent="0.4">
      <c r="B6433" s="17"/>
      <c r="C6433" s="15"/>
      <c r="D6433" s="15"/>
      <c r="E6433" s="18"/>
    </row>
    <row r="6434" spans="2:5" x14ac:dyDescent="0.4">
      <c r="B6434" s="17"/>
      <c r="C6434" s="15"/>
      <c r="D6434" s="15"/>
      <c r="E6434" s="18"/>
    </row>
    <row r="6435" spans="2:5" x14ac:dyDescent="0.4">
      <c r="B6435" s="17"/>
      <c r="C6435" s="15"/>
      <c r="D6435" s="15"/>
      <c r="E6435" s="18"/>
    </row>
    <row r="6436" spans="2:5" x14ac:dyDescent="0.4">
      <c r="B6436" s="17"/>
      <c r="C6436" s="15"/>
      <c r="D6436" s="15"/>
      <c r="E6436" s="18"/>
    </row>
    <row r="6437" spans="2:5" x14ac:dyDescent="0.4">
      <c r="B6437" s="17"/>
      <c r="C6437" s="15"/>
      <c r="D6437" s="15"/>
      <c r="E6437" s="18"/>
    </row>
    <row r="6438" spans="2:5" x14ac:dyDescent="0.4">
      <c r="B6438" s="17"/>
      <c r="C6438" s="15"/>
      <c r="D6438" s="15"/>
      <c r="E6438" s="18"/>
    </row>
    <row r="6439" spans="2:5" x14ac:dyDescent="0.4">
      <c r="B6439" s="17"/>
      <c r="C6439" s="15"/>
      <c r="D6439" s="15"/>
      <c r="E6439" s="18"/>
    </row>
    <row r="6440" spans="2:5" x14ac:dyDescent="0.4">
      <c r="B6440" s="17"/>
      <c r="C6440" s="15"/>
      <c r="D6440" s="15"/>
      <c r="E6440" s="18"/>
    </row>
    <row r="6441" spans="2:5" x14ac:dyDescent="0.4">
      <c r="B6441" s="17"/>
      <c r="C6441" s="15"/>
      <c r="D6441" s="15"/>
      <c r="E6441" s="18"/>
    </row>
    <row r="6442" spans="2:5" x14ac:dyDescent="0.4">
      <c r="B6442" s="17"/>
      <c r="C6442" s="15"/>
      <c r="D6442" s="15"/>
      <c r="E6442" s="18"/>
    </row>
    <row r="6443" spans="2:5" x14ac:dyDescent="0.4">
      <c r="B6443" s="17"/>
      <c r="C6443" s="15"/>
      <c r="D6443" s="15"/>
      <c r="E6443" s="18"/>
    </row>
    <row r="6444" spans="2:5" x14ac:dyDescent="0.4">
      <c r="B6444" s="17"/>
      <c r="C6444" s="15"/>
      <c r="D6444" s="15"/>
      <c r="E6444" s="18"/>
    </row>
    <row r="6445" spans="2:5" x14ac:dyDescent="0.4">
      <c r="B6445" s="17"/>
      <c r="C6445" s="15"/>
      <c r="D6445" s="15"/>
      <c r="E6445" s="18"/>
    </row>
    <row r="6446" spans="2:5" x14ac:dyDescent="0.4">
      <c r="B6446" s="17"/>
      <c r="C6446" s="15"/>
      <c r="D6446" s="15"/>
      <c r="E6446" s="18"/>
    </row>
    <row r="6447" spans="2:5" x14ac:dyDescent="0.4">
      <c r="B6447" s="17"/>
      <c r="C6447" s="15"/>
      <c r="D6447" s="15"/>
      <c r="E6447" s="18"/>
    </row>
    <row r="6448" spans="2:5" x14ac:dyDescent="0.4">
      <c r="B6448" s="17"/>
      <c r="C6448" s="15"/>
      <c r="D6448" s="15"/>
      <c r="E6448" s="18"/>
    </row>
    <row r="6449" spans="2:5" x14ac:dyDescent="0.4">
      <c r="B6449" s="17"/>
      <c r="C6449" s="15"/>
      <c r="D6449" s="15"/>
      <c r="E6449" s="18"/>
    </row>
    <row r="6450" spans="2:5" x14ac:dyDescent="0.4">
      <c r="B6450" s="17"/>
      <c r="C6450" s="15"/>
      <c r="D6450" s="15"/>
      <c r="E6450" s="18"/>
    </row>
    <row r="6451" spans="2:5" x14ac:dyDescent="0.4">
      <c r="B6451" s="17"/>
      <c r="C6451" s="15"/>
      <c r="D6451" s="15"/>
      <c r="E6451" s="18"/>
    </row>
    <row r="6452" spans="2:5" x14ac:dyDescent="0.4">
      <c r="B6452" s="17"/>
      <c r="C6452" s="15"/>
      <c r="D6452" s="15"/>
      <c r="E6452" s="18"/>
    </row>
    <row r="6453" spans="2:5" x14ac:dyDescent="0.4">
      <c r="B6453" s="17"/>
      <c r="C6453" s="15"/>
      <c r="D6453" s="15"/>
      <c r="E6453" s="18"/>
    </row>
    <row r="6454" spans="2:5" x14ac:dyDescent="0.4">
      <c r="B6454" s="17"/>
      <c r="C6454" s="15"/>
      <c r="D6454" s="15"/>
      <c r="E6454" s="18"/>
    </row>
    <row r="6455" spans="2:5" x14ac:dyDescent="0.4">
      <c r="B6455" s="17"/>
      <c r="C6455" s="15"/>
      <c r="D6455" s="15"/>
      <c r="E6455" s="18"/>
    </row>
    <row r="6456" spans="2:5" x14ac:dyDescent="0.4">
      <c r="B6456" s="17"/>
      <c r="C6456" s="15"/>
      <c r="D6456" s="15"/>
      <c r="E6456" s="18"/>
    </row>
    <row r="6457" spans="2:5" x14ac:dyDescent="0.4">
      <c r="B6457" s="17"/>
      <c r="C6457" s="15"/>
      <c r="D6457" s="15"/>
      <c r="E6457" s="18"/>
    </row>
    <row r="6458" spans="2:5" x14ac:dyDescent="0.4">
      <c r="B6458" s="17"/>
      <c r="C6458" s="15"/>
      <c r="D6458" s="15"/>
      <c r="E6458" s="18"/>
    </row>
    <row r="6459" spans="2:5" x14ac:dyDescent="0.4">
      <c r="B6459" s="17"/>
      <c r="C6459" s="15"/>
      <c r="D6459" s="15"/>
      <c r="E6459" s="18"/>
    </row>
    <row r="6460" spans="2:5" x14ac:dyDescent="0.4">
      <c r="B6460" s="17"/>
      <c r="C6460" s="15"/>
      <c r="D6460" s="15"/>
      <c r="E6460" s="18"/>
    </row>
    <row r="6461" spans="2:5" x14ac:dyDescent="0.4">
      <c r="B6461" s="17"/>
      <c r="C6461" s="15"/>
      <c r="D6461" s="15"/>
      <c r="E6461" s="18"/>
    </row>
    <row r="6462" spans="2:5" x14ac:dyDescent="0.4">
      <c r="B6462" s="17"/>
      <c r="C6462" s="15"/>
      <c r="D6462" s="15"/>
      <c r="E6462" s="18"/>
    </row>
    <row r="6463" spans="2:5" x14ac:dyDescent="0.4">
      <c r="B6463" s="17"/>
      <c r="C6463" s="15"/>
      <c r="D6463" s="15"/>
      <c r="E6463" s="18"/>
    </row>
    <row r="6464" spans="2:5" x14ac:dyDescent="0.4">
      <c r="B6464" s="17"/>
      <c r="C6464" s="15"/>
      <c r="D6464" s="15"/>
      <c r="E6464" s="18"/>
    </row>
    <row r="6465" spans="2:5" x14ac:dyDescent="0.4">
      <c r="B6465" s="17"/>
      <c r="C6465" s="15"/>
      <c r="D6465" s="15"/>
      <c r="E6465" s="18"/>
    </row>
    <row r="6466" spans="2:5" x14ac:dyDescent="0.4">
      <c r="B6466" s="17"/>
      <c r="C6466" s="15"/>
      <c r="D6466" s="15"/>
      <c r="E6466" s="18"/>
    </row>
    <row r="6467" spans="2:5" x14ac:dyDescent="0.4">
      <c r="B6467" s="17"/>
      <c r="C6467" s="15"/>
      <c r="D6467" s="15"/>
      <c r="E6467" s="18"/>
    </row>
    <row r="6468" spans="2:5" x14ac:dyDescent="0.4">
      <c r="B6468" s="17"/>
      <c r="C6468" s="15"/>
      <c r="D6468" s="15"/>
      <c r="E6468" s="18"/>
    </row>
    <row r="6469" spans="2:5" x14ac:dyDescent="0.4">
      <c r="B6469" s="17"/>
      <c r="C6469" s="15"/>
      <c r="D6469" s="15"/>
      <c r="E6469" s="18"/>
    </row>
    <row r="6470" spans="2:5" x14ac:dyDescent="0.4">
      <c r="B6470" s="17"/>
      <c r="C6470" s="15"/>
      <c r="D6470" s="15"/>
      <c r="E6470" s="18"/>
    </row>
    <row r="6471" spans="2:5" x14ac:dyDescent="0.4">
      <c r="B6471" s="17"/>
      <c r="C6471" s="15"/>
      <c r="D6471" s="15"/>
      <c r="E6471" s="18"/>
    </row>
    <row r="6472" spans="2:5" x14ac:dyDescent="0.4">
      <c r="B6472" s="17"/>
      <c r="C6472" s="15"/>
      <c r="D6472" s="15"/>
      <c r="E6472" s="18"/>
    </row>
    <row r="6473" spans="2:5" x14ac:dyDescent="0.4">
      <c r="B6473" s="17"/>
      <c r="C6473" s="15"/>
      <c r="D6473" s="15"/>
      <c r="E6473" s="18"/>
    </row>
    <row r="6474" spans="2:5" x14ac:dyDescent="0.4">
      <c r="B6474" s="17"/>
      <c r="C6474" s="15"/>
      <c r="D6474" s="15"/>
      <c r="E6474" s="18"/>
    </row>
    <row r="6475" spans="2:5" x14ac:dyDescent="0.4">
      <c r="B6475" s="17"/>
      <c r="C6475" s="15"/>
      <c r="D6475" s="15"/>
      <c r="E6475" s="18"/>
    </row>
    <row r="6476" spans="2:5" x14ac:dyDescent="0.4">
      <c r="B6476" s="17"/>
      <c r="C6476" s="15"/>
      <c r="D6476" s="15"/>
      <c r="E6476" s="18"/>
    </row>
    <row r="6477" spans="2:5" x14ac:dyDescent="0.4">
      <c r="B6477" s="17"/>
      <c r="C6477" s="15"/>
      <c r="D6477" s="15"/>
      <c r="E6477" s="18"/>
    </row>
    <row r="6478" spans="2:5" x14ac:dyDescent="0.4">
      <c r="B6478" s="17"/>
      <c r="C6478" s="15"/>
      <c r="D6478" s="15"/>
      <c r="E6478" s="18"/>
    </row>
    <row r="6479" spans="2:5" x14ac:dyDescent="0.4">
      <c r="B6479" s="17"/>
      <c r="C6479" s="15"/>
      <c r="D6479" s="15"/>
      <c r="E6479" s="18"/>
    </row>
    <row r="6480" spans="2:5" x14ac:dyDescent="0.4">
      <c r="B6480" s="17"/>
      <c r="C6480" s="15"/>
      <c r="D6480" s="15"/>
      <c r="E6480" s="18"/>
    </row>
    <row r="6481" spans="2:5" x14ac:dyDescent="0.4">
      <c r="B6481" s="17"/>
      <c r="C6481" s="15"/>
      <c r="D6481" s="15"/>
      <c r="E6481" s="18"/>
    </row>
    <row r="6482" spans="2:5" x14ac:dyDescent="0.4">
      <c r="B6482" s="17"/>
      <c r="C6482" s="15"/>
      <c r="D6482" s="15"/>
      <c r="E6482" s="18"/>
    </row>
    <row r="6483" spans="2:5" x14ac:dyDescent="0.4">
      <c r="B6483" s="17"/>
      <c r="C6483" s="15"/>
      <c r="D6483" s="15"/>
      <c r="E6483" s="18"/>
    </row>
    <row r="6484" spans="2:5" x14ac:dyDescent="0.4">
      <c r="B6484" s="17"/>
      <c r="C6484" s="15"/>
      <c r="D6484" s="15"/>
      <c r="E6484" s="18"/>
    </row>
    <row r="6485" spans="2:5" x14ac:dyDescent="0.4">
      <c r="B6485" s="17"/>
      <c r="C6485" s="15"/>
      <c r="D6485" s="15"/>
      <c r="E6485" s="18"/>
    </row>
    <row r="6486" spans="2:5" x14ac:dyDescent="0.4">
      <c r="B6486" s="17"/>
      <c r="C6486" s="15"/>
      <c r="D6486" s="15"/>
      <c r="E6486" s="18"/>
    </row>
    <row r="6487" spans="2:5" x14ac:dyDescent="0.4">
      <c r="B6487" s="17"/>
      <c r="C6487" s="15"/>
      <c r="D6487" s="15"/>
      <c r="E6487" s="18"/>
    </row>
    <row r="6488" spans="2:5" x14ac:dyDescent="0.4">
      <c r="B6488" s="17"/>
      <c r="C6488" s="15"/>
      <c r="D6488" s="15"/>
      <c r="E6488" s="18"/>
    </row>
    <row r="6489" spans="2:5" x14ac:dyDescent="0.4">
      <c r="B6489" s="17"/>
      <c r="C6489" s="15"/>
      <c r="D6489" s="15"/>
      <c r="E6489" s="18"/>
    </row>
    <row r="6490" spans="2:5" x14ac:dyDescent="0.4">
      <c r="B6490" s="17"/>
      <c r="C6490" s="15"/>
      <c r="D6490" s="15"/>
      <c r="E6490" s="18"/>
    </row>
    <row r="6491" spans="2:5" x14ac:dyDescent="0.4">
      <c r="B6491" s="17"/>
      <c r="C6491" s="15"/>
      <c r="D6491" s="15"/>
      <c r="E6491" s="18"/>
    </row>
    <row r="6492" spans="2:5" x14ac:dyDescent="0.4">
      <c r="B6492" s="17"/>
      <c r="C6492" s="15"/>
      <c r="D6492" s="15"/>
      <c r="E6492" s="18"/>
    </row>
    <row r="6493" spans="2:5" x14ac:dyDescent="0.4">
      <c r="B6493" s="17"/>
      <c r="C6493" s="15"/>
      <c r="D6493" s="15"/>
      <c r="E6493" s="18"/>
    </row>
    <row r="6494" spans="2:5" x14ac:dyDescent="0.4">
      <c r="B6494" s="17"/>
      <c r="C6494" s="15"/>
      <c r="D6494" s="15"/>
      <c r="E6494" s="18"/>
    </row>
    <row r="6495" spans="2:5" x14ac:dyDescent="0.4">
      <c r="B6495" s="17"/>
      <c r="C6495" s="15"/>
      <c r="D6495" s="15"/>
      <c r="E6495" s="18"/>
    </row>
    <row r="6496" spans="2:5" x14ac:dyDescent="0.4">
      <c r="B6496" s="17"/>
      <c r="C6496" s="15"/>
      <c r="D6496" s="15"/>
      <c r="E6496" s="18"/>
    </row>
    <row r="6497" spans="2:5" x14ac:dyDescent="0.4">
      <c r="B6497" s="17"/>
      <c r="C6497" s="15"/>
      <c r="D6497" s="15"/>
      <c r="E6497" s="18"/>
    </row>
    <row r="6498" spans="2:5" x14ac:dyDescent="0.4">
      <c r="B6498" s="17"/>
      <c r="C6498" s="15"/>
      <c r="D6498" s="15"/>
      <c r="E6498" s="18"/>
    </row>
    <row r="6499" spans="2:5" x14ac:dyDescent="0.4">
      <c r="B6499" s="17"/>
      <c r="C6499" s="15"/>
      <c r="D6499" s="15"/>
      <c r="E6499" s="18"/>
    </row>
    <row r="6500" spans="2:5" x14ac:dyDescent="0.4">
      <c r="B6500" s="17"/>
      <c r="C6500" s="15"/>
      <c r="D6500" s="15"/>
      <c r="E6500" s="18"/>
    </row>
    <row r="6501" spans="2:5" x14ac:dyDescent="0.4">
      <c r="B6501" s="17"/>
      <c r="C6501" s="15"/>
      <c r="D6501" s="15"/>
      <c r="E6501" s="18"/>
    </row>
    <row r="6502" spans="2:5" x14ac:dyDescent="0.4">
      <c r="B6502" s="17"/>
      <c r="C6502" s="15"/>
      <c r="D6502" s="15"/>
      <c r="E6502" s="18"/>
    </row>
    <row r="6503" spans="2:5" x14ac:dyDescent="0.4">
      <c r="B6503" s="17"/>
      <c r="C6503" s="15"/>
      <c r="D6503" s="15"/>
      <c r="E6503" s="18"/>
    </row>
    <row r="6504" spans="2:5" x14ac:dyDescent="0.4">
      <c r="B6504" s="17"/>
      <c r="C6504" s="15"/>
      <c r="D6504" s="15"/>
      <c r="E6504" s="18"/>
    </row>
    <row r="6505" spans="2:5" x14ac:dyDescent="0.4">
      <c r="B6505" s="17"/>
      <c r="C6505" s="15"/>
      <c r="D6505" s="15"/>
      <c r="E6505" s="18"/>
    </row>
    <row r="6506" spans="2:5" x14ac:dyDescent="0.4">
      <c r="B6506" s="17"/>
      <c r="C6506" s="15"/>
      <c r="D6506" s="15"/>
      <c r="E6506" s="18"/>
    </row>
    <row r="6507" spans="2:5" x14ac:dyDescent="0.4">
      <c r="B6507" s="17"/>
      <c r="C6507" s="15"/>
      <c r="D6507" s="15"/>
      <c r="E6507" s="18"/>
    </row>
    <row r="6508" spans="2:5" x14ac:dyDescent="0.4">
      <c r="B6508" s="17"/>
      <c r="C6508" s="15"/>
      <c r="D6508" s="15"/>
      <c r="E6508" s="18"/>
    </row>
    <row r="6509" spans="2:5" x14ac:dyDescent="0.4">
      <c r="B6509" s="17"/>
      <c r="C6509" s="15"/>
      <c r="D6509" s="15"/>
      <c r="E6509" s="18"/>
    </row>
    <row r="6510" spans="2:5" x14ac:dyDescent="0.4">
      <c r="B6510" s="17"/>
      <c r="C6510" s="15"/>
      <c r="D6510" s="15"/>
      <c r="E6510" s="18"/>
    </row>
    <row r="6511" spans="2:5" x14ac:dyDescent="0.4">
      <c r="B6511" s="17"/>
      <c r="C6511" s="15"/>
      <c r="D6511" s="15"/>
      <c r="E6511" s="18"/>
    </row>
    <row r="6512" spans="2:5" x14ac:dyDescent="0.4">
      <c r="B6512" s="17"/>
      <c r="C6512" s="15"/>
      <c r="D6512" s="15"/>
      <c r="E6512" s="18"/>
    </row>
    <row r="6513" spans="2:5" x14ac:dyDescent="0.4">
      <c r="B6513" s="17"/>
      <c r="C6513" s="15"/>
      <c r="D6513" s="15"/>
      <c r="E6513" s="18"/>
    </row>
    <row r="6514" spans="2:5" x14ac:dyDescent="0.4">
      <c r="B6514" s="17"/>
      <c r="C6514" s="15"/>
      <c r="D6514" s="15"/>
      <c r="E6514" s="18"/>
    </row>
    <row r="6515" spans="2:5" x14ac:dyDescent="0.4">
      <c r="B6515" s="17"/>
      <c r="C6515" s="15"/>
      <c r="D6515" s="15"/>
      <c r="E6515" s="18"/>
    </row>
    <row r="6516" spans="2:5" x14ac:dyDescent="0.4">
      <c r="B6516" s="17"/>
      <c r="C6516" s="15"/>
      <c r="D6516" s="15"/>
      <c r="E6516" s="18"/>
    </row>
    <row r="6517" spans="2:5" x14ac:dyDescent="0.4">
      <c r="B6517" s="17"/>
      <c r="C6517" s="15"/>
      <c r="D6517" s="15"/>
      <c r="E6517" s="18"/>
    </row>
    <row r="6518" spans="2:5" x14ac:dyDescent="0.4">
      <c r="B6518" s="17"/>
      <c r="C6518" s="15"/>
      <c r="D6518" s="15"/>
      <c r="E6518" s="18"/>
    </row>
    <row r="6519" spans="2:5" x14ac:dyDescent="0.4">
      <c r="B6519" s="17"/>
      <c r="C6519" s="15"/>
      <c r="D6519" s="15"/>
      <c r="E6519" s="18"/>
    </row>
    <row r="6520" spans="2:5" x14ac:dyDescent="0.4">
      <c r="B6520" s="17"/>
      <c r="C6520" s="15"/>
      <c r="D6520" s="15"/>
      <c r="E6520" s="18"/>
    </row>
    <row r="6521" spans="2:5" x14ac:dyDescent="0.4">
      <c r="B6521" s="17"/>
      <c r="C6521" s="15"/>
      <c r="D6521" s="15"/>
      <c r="E6521" s="18"/>
    </row>
    <row r="6522" spans="2:5" x14ac:dyDescent="0.4">
      <c r="B6522" s="17"/>
      <c r="C6522" s="15"/>
      <c r="D6522" s="15"/>
      <c r="E6522" s="18"/>
    </row>
    <row r="6523" spans="2:5" x14ac:dyDescent="0.4">
      <c r="B6523" s="17"/>
      <c r="C6523" s="15"/>
      <c r="D6523" s="15"/>
      <c r="E6523" s="18"/>
    </row>
    <row r="6524" spans="2:5" x14ac:dyDescent="0.4">
      <c r="B6524" s="17"/>
      <c r="C6524" s="15"/>
      <c r="D6524" s="15"/>
      <c r="E6524" s="18"/>
    </row>
    <row r="6525" spans="2:5" x14ac:dyDescent="0.4">
      <c r="B6525" s="17"/>
      <c r="C6525" s="15"/>
      <c r="D6525" s="15"/>
      <c r="E6525" s="18"/>
    </row>
    <row r="6526" spans="2:5" x14ac:dyDescent="0.4">
      <c r="B6526" s="17"/>
      <c r="C6526" s="15"/>
      <c r="D6526" s="15"/>
      <c r="E6526" s="18"/>
    </row>
    <row r="6527" spans="2:5" x14ac:dyDescent="0.4">
      <c r="B6527" s="17"/>
      <c r="C6527" s="15"/>
      <c r="D6527" s="15"/>
      <c r="E6527" s="18"/>
    </row>
    <row r="6528" spans="2:5" x14ac:dyDescent="0.4">
      <c r="B6528" s="17"/>
      <c r="C6528" s="15"/>
      <c r="D6528" s="15"/>
      <c r="E6528" s="18"/>
    </row>
    <row r="6529" spans="2:5" x14ac:dyDescent="0.4">
      <c r="B6529" s="17"/>
      <c r="C6529" s="15"/>
      <c r="D6529" s="15"/>
      <c r="E6529" s="18"/>
    </row>
    <row r="6530" spans="2:5" x14ac:dyDescent="0.4">
      <c r="B6530" s="17"/>
      <c r="C6530" s="15"/>
      <c r="D6530" s="15"/>
      <c r="E6530" s="18"/>
    </row>
    <row r="6531" spans="2:5" x14ac:dyDescent="0.4">
      <c r="B6531" s="17"/>
      <c r="C6531" s="15"/>
      <c r="D6531" s="15"/>
      <c r="E6531" s="18"/>
    </row>
    <row r="6532" spans="2:5" x14ac:dyDescent="0.4">
      <c r="B6532" s="17"/>
      <c r="C6532" s="15"/>
      <c r="D6532" s="15"/>
      <c r="E6532" s="18"/>
    </row>
    <row r="6533" spans="2:5" x14ac:dyDescent="0.4">
      <c r="B6533" s="17"/>
      <c r="C6533" s="15"/>
      <c r="D6533" s="15"/>
      <c r="E6533" s="18"/>
    </row>
    <row r="6534" spans="2:5" x14ac:dyDescent="0.4">
      <c r="B6534" s="17"/>
      <c r="C6534" s="15"/>
      <c r="D6534" s="15"/>
      <c r="E6534" s="18"/>
    </row>
    <row r="6535" spans="2:5" x14ac:dyDescent="0.4">
      <c r="B6535" s="17"/>
      <c r="C6535" s="15"/>
      <c r="D6535" s="15"/>
      <c r="E6535" s="18"/>
    </row>
    <row r="6536" spans="2:5" x14ac:dyDescent="0.4">
      <c r="B6536" s="17"/>
      <c r="C6536" s="15"/>
      <c r="D6536" s="15"/>
      <c r="E6536" s="18"/>
    </row>
    <row r="6537" spans="2:5" x14ac:dyDescent="0.4">
      <c r="B6537" s="17"/>
      <c r="C6537" s="15"/>
      <c r="D6537" s="15"/>
      <c r="E6537" s="18"/>
    </row>
    <row r="6538" spans="2:5" x14ac:dyDescent="0.4">
      <c r="B6538" s="17"/>
      <c r="C6538" s="15"/>
      <c r="D6538" s="15"/>
      <c r="E6538" s="18"/>
    </row>
    <row r="6539" spans="2:5" x14ac:dyDescent="0.4">
      <c r="B6539" s="17"/>
      <c r="C6539" s="15"/>
      <c r="D6539" s="15"/>
      <c r="E6539" s="18"/>
    </row>
    <row r="6540" spans="2:5" x14ac:dyDescent="0.4">
      <c r="B6540" s="17"/>
      <c r="C6540" s="15"/>
      <c r="D6540" s="15"/>
      <c r="E6540" s="18"/>
    </row>
    <row r="6541" spans="2:5" x14ac:dyDescent="0.4">
      <c r="B6541" s="17"/>
      <c r="C6541" s="15"/>
      <c r="D6541" s="15"/>
      <c r="E6541" s="18"/>
    </row>
    <row r="6542" spans="2:5" x14ac:dyDescent="0.4">
      <c r="B6542" s="17"/>
      <c r="C6542" s="15"/>
      <c r="D6542" s="15"/>
      <c r="E6542" s="18"/>
    </row>
    <row r="6543" spans="2:5" x14ac:dyDescent="0.4">
      <c r="B6543" s="17"/>
      <c r="C6543" s="15"/>
      <c r="D6543" s="15"/>
      <c r="E6543" s="18"/>
    </row>
    <row r="6544" spans="2:5" x14ac:dyDescent="0.4">
      <c r="B6544" s="17"/>
      <c r="C6544" s="15"/>
      <c r="D6544" s="15"/>
      <c r="E6544" s="18"/>
    </row>
    <row r="6545" spans="2:5" x14ac:dyDescent="0.4">
      <c r="B6545" s="17"/>
      <c r="C6545" s="15"/>
      <c r="D6545" s="15"/>
      <c r="E6545" s="18"/>
    </row>
    <row r="6546" spans="2:5" x14ac:dyDescent="0.4">
      <c r="B6546" s="17"/>
      <c r="C6546" s="15"/>
      <c r="D6546" s="15"/>
      <c r="E6546" s="18"/>
    </row>
    <row r="6547" spans="2:5" x14ac:dyDescent="0.4">
      <c r="B6547" s="17"/>
      <c r="C6547" s="15"/>
      <c r="D6547" s="15"/>
      <c r="E6547" s="18"/>
    </row>
    <row r="6548" spans="2:5" x14ac:dyDescent="0.4">
      <c r="B6548" s="17"/>
      <c r="C6548" s="15"/>
      <c r="D6548" s="15"/>
      <c r="E6548" s="18"/>
    </row>
    <row r="6549" spans="2:5" x14ac:dyDescent="0.4">
      <c r="B6549" s="17"/>
      <c r="C6549" s="15"/>
      <c r="D6549" s="15"/>
      <c r="E6549" s="18"/>
    </row>
    <row r="6550" spans="2:5" x14ac:dyDescent="0.4">
      <c r="B6550" s="17"/>
      <c r="C6550" s="15"/>
      <c r="D6550" s="15"/>
      <c r="E6550" s="18"/>
    </row>
    <row r="6551" spans="2:5" x14ac:dyDescent="0.4">
      <c r="B6551" s="17"/>
      <c r="C6551" s="15"/>
      <c r="D6551" s="15"/>
      <c r="E6551" s="18"/>
    </row>
    <row r="6552" spans="2:5" x14ac:dyDescent="0.4">
      <c r="B6552" s="17"/>
      <c r="C6552" s="15"/>
      <c r="D6552" s="15"/>
      <c r="E6552" s="18"/>
    </row>
    <row r="6553" spans="2:5" x14ac:dyDescent="0.4">
      <c r="B6553" s="17"/>
      <c r="C6553" s="15"/>
      <c r="D6553" s="15"/>
      <c r="E6553" s="18"/>
    </row>
    <row r="6554" spans="2:5" x14ac:dyDescent="0.4">
      <c r="B6554" s="17"/>
      <c r="C6554" s="15"/>
      <c r="D6554" s="15"/>
      <c r="E6554" s="18"/>
    </row>
    <row r="6555" spans="2:5" x14ac:dyDescent="0.4">
      <c r="B6555" s="17"/>
      <c r="C6555" s="15"/>
      <c r="D6555" s="15"/>
      <c r="E6555" s="18"/>
    </row>
    <row r="6556" spans="2:5" x14ac:dyDescent="0.4">
      <c r="B6556" s="17"/>
      <c r="C6556" s="15"/>
      <c r="D6556" s="15"/>
      <c r="E6556" s="18"/>
    </row>
    <row r="6557" spans="2:5" x14ac:dyDescent="0.4">
      <c r="B6557" s="17"/>
      <c r="C6557" s="15"/>
      <c r="D6557" s="15"/>
      <c r="E6557" s="18"/>
    </row>
    <row r="6558" spans="2:5" x14ac:dyDescent="0.4">
      <c r="B6558" s="17"/>
      <c r="C6558" s="15"/>
      <c r="D6558" s="15"/>
      <c r="E6558" s="18"/>
    </row>
    <row r="6559" spans="2:5" x14ac:dyDescent="0.4">
      <c r="B6559" s="17"/>
      <c r="C6559" s="15"/>
      <c r="D6559" s="15"/>
      <c r="E6559" s="18"/>
    </row>
    <row r="6560" spans="2:5" x14ac:dyDescent="0.4">
      <c r="B6560" s="17"/>
      <c r="C6560" s="15"/>
      <c r="D6560" s="15"/>
      <c r="E6560" s="18"/>
    </row>
    <row r="6561" spans="2:5" x14ac:dyDescent="0.4">
      <c r="B6561" s="17"/>
      <c r="C6561" s="15"/>
      <c r="D6561" s="15"/>
      <c r="E6561" s="18"/>
    </row>
    <row r="6562" spans="2:5" x14ac:dyDescent="0.4">
      <c r="B6562" s="17"/>
      <c r="C6562" s="15"/>
      <c r="D6562" s="15"/>
      <c r="E6562" s="18"/>
    </row>
    <row r="6563" spans="2:5" x14ac:dyDescent="0.4">
      <c r="B6563" s="17"/>
      <c r="C6563" s="15"/>
      <c r="D6563" s="15"/>
      <c r="E6563" s="18"/>
    </row>
    <row r="6564" spans="2:5" x14ac:dyDescent="0.4">
      <c r="B6564" s="17"/>
      <c r="C6564" s="15"/>
      <c r="D6564" s="15"/>
      <c r="E6564" s="18"/>
    </row>
    <row r="6565" spans="2:5" x14ac:dyDescent="0.4">
      <c r="B6565" s="17"/>
      <c r="C6565" s="15"/>
      <c r="D6565" s="15"/>
      <c r="E6565" s="18"/>
    </row>
    <row r="6566" spans="2:5" x14ac:dyDescent="0.4">
      <c r="B6566" s="17"/>
      <c r="C6566" s="15"/>
      <c r="D6566" s="15"/>
      <c r="E6566" s="18"/>
    </row>
    <row r="6567" spans="2:5" x14ac:dyDescent="0.4">
      <c r="B6567" s="17"/>
      <c r="C6567" s="15"/>
      <c r="D6567" s="15"/>
      <c r="E6567" s="18"/>
    </row>
    <row r="6568" spans="2:5" x14ac:dyDescent="0.4">
      <c r="B6568" s="17"/>
      <c r="C6568" s="15"/>
      <c r="D6568" s="15"/>
      <c r="E6568" s="18"/>
    </row>
    <row r="6569" spans="2:5" x14ac:dyDescent="0.4">
      <c r="B6569" s="17"/>
      <c r="C6569" s="15"/>
      <c r="D6569" s="15"/>
      <c r="E6569" s="18"/>
    </row>
    <row r="6570" spans="2:5" x14ac:dyDescent="0.4">
      <c r="B6570" s="17"/>
      <c r="C6570" s="15"/>
      <c r="D6570" s="15"/>
      <c r="E6570" s="18"/>
    </row>
    <row r="6571" spans="2:5" x14ac:dyDescent="0.4">
      <c r="B6571" s="17"/>
      <c r="C6571" s="15"/>
      <c r="D6571" s="15"/>
      <c r="E6571" s="18"/>
    </row>
    <row r="6572" spans="2:5" x14ac:dyDescent="0.4">
      <c r="B6572" s="17"/>
      <c r="C6572" s="15"/>
      <c r="D6572" s="15"/>
      <c r="E6572" s="18"/>
    </row>
    <row r="6573" spans="2:5" x14ac:dyDescent="0.4">
      <c r="B6573" s="17"/>
      <c r="C6573" s="15"/>
      <c r="D6573" s="15"/>
      <c r="E6573" s="18"/>
    </row>
    <row r="6574" spans="2:5" x14ac:dyDescent="0.4">
      <c r="B6574" s="17"/>
      <c r="C6574" s="15"/>
      <c r="D6574" s="15"/>
      <c r="E6574" s="18"/>
    </row>
    <row r="6575" spans="2:5" x14ac:dyDescent="0.4">
      <c r="B6575" s="17"/>
      <c r="C6575" s="15"/>
      <c r="D6575" s="15"/>
      <c r="E6575" s="18"/>
    </row>
    <row r="6576" spans="2:5" x14ac:dyDescent="0.4">
      <c r="B6576" s="17"/>
      <c r="C6576" s="15"/>
      <c r="D6576" s="15"/>
      <c r="E6576" s="18"/>
    </row>
    <row r="6577" spans="2:5" x14ac:dyDescent="0.4">
      <c r="B6577" s="17"/>
      <c r="C6577" s="15"/>
      <c r="D6577" s="15"/>
      <c r="E6577" s="18"/>
    </row>
    <row r="6578" spans="2:5" x14ac:dyDescent="0.4">
      <c r="B6578" s="17"/>
      <c r="C6578" s="15"/>
      <c r="D6578" s="15"/>
      <c r="E6578" s="18"/>
    </row>
    <row r="6579" spans="2:5" x14ac:dyDescent="0.4">
      <c r="B6579" s="17"/>
      <c r="C6579" s="15"/>
      <c r="D6579" s="15"/>
      <c r="E6579" s="18"/>
    </row>
    <row r="6580" spans="2:5" x14ac:dyDescent="0.4">
      <c r="B6580" s="17"/>
      <c r="C6580" s="15"/>
      <c r="D6580" s="15"/>
      <c r="E6580" s="18"/>
    </row>
    <row r="6581" spans="2:5" x14ac:dyDescent="0.4">
      <c r="B6581" s="17"/>
      <c r="C6581" s="15"/>
      <c r="D6581" s="15"/>
      <c r="E6581" s="18"/>
    </row>
    <row r="6582" spans="2:5" x14ac:dyDescent="0.4">
      <c r="B6582" s="17"/>
      <c r="C6582" s="15"/>
      <c r="D6582" s="15"/>
      <c r="E6582" s="18"/>
    </row>
    <row r="6583" spans="2:5" x14ac:dyDescent="0.4">
      <c r="B6583" s="17"/>
      <c r="C6583" s="15"/>
      <c r="D6583" s="15"/>
      <c r="E6583" s="18"/>
    </row>
    <row r="6584" spans="2:5" x14ac:dyDescent="0.4">
      <c r="B6584" s="17"/>
      <c r="C6584" s="15"/>
      <c r="D6584" s="15"/>
      <c r="E6584" s="18"/>
    </row>
    <row r="6585" spans="2:5" x14ac:dyDescent="0.4">
      <c r="B6585" s="17"/>
      <c r="C6585" s="15"/>
      <c r="D6585" s="15"/>
      <c r="E6585" s="18"/>
    </row>
    <row r="6586" spans="2:5" x14ac:dyDescent="0.4">
      <c r="B6586" s="17"/>
      <c r="C6586" s="15"/>
      <c r="D6586" s="15"/>
      <c r="E6586" s="18"/>
    </row>
    <row r="6587" spans="2:5" x14ac:dyDescent="0.4">
      <c r="B6587" s="17"/>
      <c r="C6587" s="15"/>
      <c r="D6587" s="15"/>
      <c r="E6587" s="18"/>
    </row>
    <row r="6588" spans="2:5" x14ac:dyDescent="0.4">
      <c r="B6588" s="17"/>
      <c r="C6588" s="15"/>
      <c r="D6588" s="15"/>
      <c r="E6588" s="18"/>
    </row>
    <row r="6589" spans="2:5" x14ac:dyDescent="0.4">
      <c r="B6589" s="17"/>
      <c r="C6589" s="15"/>
      <c r="D6589" s="15"/>
      <c r="E6589" s="18"/>
    </row>
    <row r="6590" spans="2:5" x14ac:dyDescent="0.4">
      <c r="B6590" s="17"/>
      <c r="C6590" s="15"/>
      <c r="D6590" s="15"/>
      <c r="E6590" s="18"/>
    </row>
    <row r="6591" spans="2:5" x14ac:dyDescent="0.4">
      <c r="B6591" s="17"/>
      <c r="C6591" s="15"/>
      <c r="D6591" s="15"/>
      <c r="E6591" s="18"/>
    </row>
    <row r="6592" spans="2:5" x14ac:dyDescent="0.4">
      <c r="B6592" s="17"/>
      <c r="C6592" s="15"/>
      <c r="D6592" s="15"/>
      <c r="E6592" s="18"/>
    </row>
    <row r="6593" spans="2:5" x14ac:dyDescent="0.4">
      <c r="B6593" s="17"/>
      <c r="C6593" s="15"/>
      <c r="D6593" s="15"/>
      <c r="E6593" s="18"/>
    </row>
    <row r="6594" spans="2:5" x14ac:dyDescent="0.4">
      <c r="B6594" s="17"/>
      <c r="C6594" s="15"/>
      <c r="D6594" s="15"/>
      <c r="E6594" s="18"/>
    </row>
    <row r="6595" spans="2:5" x14ac:dyDescent="0.4">
      <c r="B6595" s="17"/>
      <c r="C6595" s="15"/>
      <c r="D6595" s="15"/>
      <c r="E6595" s="18"/>
    </row>
    <row r="6596" spans="2:5" x14ac:dyDescent="0.4">
      <c r="B6596" s="17"/>
      <c r="C6596" s="15"/>
      <c r="D6596" s="15"/>
      <c r="E6596" s="18"/>
    </row>
    <row r="6597" spans="2:5" x14ac:dyDescent="0.4">
      <c r="B6597" s="17"/>
      <c r="C6597" s="15"/>
      <c r="D6597" s="15"/>
      <c r="E6597" s="18"/>
    </row>
    <row r="6598" spans="2:5" x14ac:dyDescent="0.4">
      <c r="B6598" s="17"/>
      <c r="C6598" s="15"/>
      <c r="D6598" s="15"/>
      <c r="E6598" s="18"/>
    </row>
    <row r="6599" spans="2:5" x14ac:dyDescent="0.4">
      <c r="B6599" s="17"/>
      <c r="C6599" s="15"/>
      <c r="D6599" s="15"/>
      <c r="E6599" s="18"/>
    </row>
    <row r="6600" spans="2:5" x14ac:dyDescent="0.4">
      <c r="B6600" s="17"/>
      <c r="C6600" s="15"/>
      <c r="D6600" s="15"/>
      <c r="E6600" s="18"/>
    </row>
    <row r="6601" spans="2:5" x14ac:dyDescent="0.4">
      <c r="B6601" s="17"/>
      <c r="C6601" s="15"/>
      <c r="D6601" s="15"/>
      <c r="E6601" s="18"/>
    </row>
    <row r="6602" spans="2:5" x14ac:dyDescent="0.4">
      <c r="B6602" s="17"/>
      <c r="C6602" s="15"/>
      <c r="D6602" s="15"/>
      <c r="E6602" s="18"/>
    </row>
    <row r="6603" spans="2:5" x14ac:dyDescent="0.4">
      <c r="B6603" s="17"/>
      <c r="C6603" s="15"/>
      <c r="D6603" s="15"/>
      <c r="E6603" s="18"/>
    </row>
    <row r="6604" spans="2:5" x14ac:dyDescent="0.4">
      <c r="B6604" s="17"/>
      <c r="C6604" s="15"/>
      <c r="D6604" s="15"/>
      <c r="E6604" s="18"/>
    </row>
    <row r="6605" spans="2:5" x14ac:dyDescent="0.4">
      <c r="B6605" s="17"/>
      <c r="C6605" s="15"/>
      <c r="D6605" s="15"/>
      <c r="E6605" s="18"/>
    </row>
    <row r="6606" spans="2:5" x14ac:dyDescent="0.4">
      <c r="B6606" s="17"/>
      <c r="C6606" s="15"/>
      <c r="D6606" s="15"/>
      <c r="E6606" s="18"/>
    </row>
    <row r="6607" spans="2:5" x14ac:dyDescent="0.4">
      <c r="B6607" s="17"/>
      <c r="C6607" s="15"/>
      <c r="D6607" s="15"/>
      <c r="E6607" s="18"/>
    </row>
    <row r="6608" spans="2:5" x14ac:dyDescent="0.4">
      <c r="B6608" s="17"/>
      <c r="C6608" s="15"/>
      <c r="D6608" s="15"/>
      <c r="E6608" s="18"/>
    </row>
    <row r="6609" spans="2:5" x14ac:dyDescent="0.4">
      <c r="B6609" s="17"/>
      <c r="C6609" s="15"/>
      <c r="D6609" s="15"/>
      <c r="E6609" s="18"/>
    </row>
    <row r="6610" spans="2:5" x14ac:dyDescent="0.4">
      <c r="B6610" s="17"/>
      <c r="C6610" s="15"/>
      <c r="D6610" s="15"/>
      <c r="E6610" s="18"/>
    </row>
    <row r="6611" spans="2:5" x14ac:dyDescent="0.4">
      <c r="B6611" s="17"/>
      <c r="C6611" s="15"/>
      <c r="D6611" s="15"/>
      <c r="E6611" s="18"/>
    </row>
    <row r="6612" spans="2:5" x14ac:dyDescent="0.4">
      <c r="B6612" s="17"/>
      <c r="C6612" s="15"/>
      <c r="D6612" s="15"/>
      <c r="E6612" s="18"/>
    </row>
    <row r="6613" spans="2:5" x14ac:dyDescent="0.4">
      <c r="B6613" s="17"/>
      <c r="C6613" s="15"/>
      <c r="D6613" s="15"/>
      <c r="E6613" s="18"/>
    </row>
    <row r="6614" spans="2:5" x14ac:dyDescent="0.4">
      <c r="B6614" s="17"/>
      <c r="C6614" s="15"/>
      <c r="D6614" s="15"/>
      <c r="E6614" s="18"/>
    </row>
    <row r="6615" spans="2:5" x14ac:dyDescent="0.4">
      <c r="B6615" s="17"/>
      <c r="C6615" s="15"/>
      <c r="D6615" s="15"/>
      <c r="E6615" s="18"/>
    </row>
    <row r="6616" spans="2:5" x14ac:dyDescent="0.4">
      <c r="B6616" s="17"/>
      <c r="C6616" s="15"/>
      <c r="D6616" s="15"/>
      <c r="E6616" s="18"/>
    </row>
    <row r="6617" spans="2:5" x14ac:dyDescent="0.4">
      <c r="B6617" s="17"/>
      <c r="C6617" s="15"/>
      <c r="D6617" s="15"/>
      <c r="E6617" s="18"/>
    </row>
    <row r="6618" spans="2:5" x14ac:dyDescent="0.4">
      <c r="B6618" s="17"/>
      <c r="C6618" s="15"/>
      <c r="D6618" s="15"/>
      <c r="E6618" s="18"/>
    </row>
    <row r="6619" spans="2:5" x14ac:dyDescent="0.4">
      <c r="B6619" s="17"/>
      <c r="C6619" s="15"/>
      <c r="D6619" s="15"/>
      <c r="E6619" s="18"/>
    </row>
    <row r="6620" spans="2:5" x14ac:dyDescent="0.4">
      <c r="B6620" s="17"/>
      <c r="C6620" s="15"/>
      <c r="D6620" s="15"/>
      <c r="E6620" s="18"/>
    </row>
    <row r="6621" spans="2:5" x14ac:dyDescent="0.4">
      <c r="B6621" s="17"/>
      <c r="C6621" s="15"/>
      <c r="D6621" s="15"/>
      <c r="E6621" s="18"/>
    </row>
    <row r="6622" spans="2:5" x14ac:dyDescent="0.4">
      <c r="B6622" s="17"/>
      <c r="C6622" s="15"/>
      <c r="D6622" s="15"/>
      <c r="E6622" s="18"/>
    </row>
    <row r="6623" spans="2:5" x14ac:dyDescent="0.4">
      <c r="B6623" s="17"/>
      <c r="C6623" s="15"/>
      <c r="D6623" s="15"/>
      <c r="E6623" s="18"/>
    </row>
    <row r="6624" spans="2:5" x14ac:dyDescent="0.4">
      <c r="B6624" s="17"/>
      <c r="C6624" s="15"/>
      <c r="D6624" s="15"/>
      <c r="E6624" s="18"/>
    </row>
    <row r="6625" spans="2:5" x14ac:dyDescent="0.4">
      <c r="B6625" s="17"/>
      <c r="C6625" s="15"/>
      <c r="D6625" s="15"/>
      <c r="E6625" s="18"/>
    </row>
    <row r="6626" spans="2:5" x14ac:dyDescent="0.4">
      <c r="B6626" s="17"/>
      <c r="C6626" s="15"/>
      <c r="D6626" s="15"/>
      <c r="E6626" s="18"/>
    </row>
    <row r="6627" spans="2:5" x14ac:dyDescent="0.4">
      <c r="B6627" s="17"/>
      <c r="C6627" s="15"/>
      <c r="D6627" s="15"/>
      <c r="E6627" s="18"/>
    </row>
    <row r="6628" spans="2:5" x14ac:dyDescent="0.4">
      <c r="B6628" s="17"/>
      <c r="C6628" s="15"/>
      <c r="D6628" s="15"/>
      <c r="E6628" s="18"/>
    </row>
    <row r="6629" spans="2:5" x14ac:dyDescent="0.4">
      <c r="B6629" s="17"/>
      <c r="C6629" s="15"/>
      <c r="D6629" s="15"/>
      <c r="E6629" s="18"/>
    </row>
    <row r="6630" spans="2:5" x14ac:dyDescent="0.4">
      <c r="B6630" s="17"/>
      <c r="C6630" s="15"/>
      <c r="D6630" s="15"/>
      <c r="E6630" s="18"/>
    </row>
    <row r="6631" spans="2:5" x14ac:dyDescent="0.4">
      <c r="B6631" s="17"/>
      <c r="C6631" s="15"/>
      <c r="D6631" s="15"/>
      <c r="E6631" s="18"/>
    </row>
    <row r="6632" spans="2:5" x14ac:dyDescent="0.4">
      <c r="B6632" s="17"/>
      <c r="C6632" s="15"/>
      <c r="D6632" s="15"/>
      <c r="E6632" s="18"/>
    </row>
    <row r="6633" spans="2:5" x14ac:dyDescent="0.4">
      <c r="B6633" s="17"/>
      <c r="C6633" s="15"/>
      <c r="D6633" s="15"/>
      <c r="E6633" s="18"/>
    </row>
    <row r="6634" spans="2:5" x14ac:dyDescent="0.4">
      <c r="B6634" s="17"/>
      <c r="C6634" s="15"/>
      <c r="D6634" s="15"/>
      <c r="E6634" s="18"/>
    </row>
    <row r="6635" spans="2:5" x14ac:dyDescent="0.4">
      <c r="B6635" s="17"/>
      <c r="C6635" s="15"/>
      <c r="D6635" s="15"/>
      <c r="E6635" s="18"/>
    </row>
    <row r="6636" spans="2:5" x14ac:dyDescent="0.4">
      <c r="B6636" s="17"/>
      <c r="C6636" s="15"/>
      <c r="D6636" s="15"/>
      <c r="E6636" s="18"/>
    </row>
    <row r="6637" spans="2:5" x14ac:dyDescent="0.4">
      <c r="B6637" s="17"/>
      <c r="C6637" s="15"/>
      <c r="D6637" s="15"/>
      <c r="E6637" s="18"/>
    </row>
    <row r="6638" spans="2:5" x14ac:dyDescent="0.4">
      <c r="B6638" s="17"/>
      <c r="C6638" s="15"/>
      <c r="D6638" s="15"/>
      <c r="E6638" s="18"/>
    </row>
    <row r="6639" spans="2:5" x14ac:dyDescent="0.4">
      <c r="B6639" s="17"/>
      <c r="C6639" s="15"/>
      <c r="D6639" s="15"/>
      <c r="E6639" s="18"/>
    </row>
    <row r="6640" spans="2:5" x14ac:dyDescent="0.4">
      <c r="B6640" s="17"/>
      <c r="C6640" s="15"/>
      <c r="D6640" s="15"/>
      <c r="E6640" s="18"/>
    </row>
    <row r="6641" spans="2:5" x14ac:dyDescent="0.4">
      <c r="B6641" s="17"/>
      <c r="C6641" s="15"/>
      <c r="D6641" s="15"/>
      <c r="E6641" s="18"/>
    </row>
    <row r="6642" spans="2:5" x14ac:dyDescent="0.4">
      <c r="B6642" s="17"/>
      <c r="C6642" s="15"/>
      <c r="D6642" s="15"/>
      <c r="E6642" s="18"/>
    </row>
    <row r="6643" spans="2:5" x14ac:dyDescent="0.4">
      <c r="B6643" s="17"/>
      <c r="C6643" s="15"/>
      <c r="D6643" s="15"/>
      <c r="E6643" s="18"/>
    </row>
    <row r="6644" spans="2:5" x14ac:dyDescent="0.4">
      <c r="B6644" s="17"/>
      <c r="C6644" s="15"/>
      <c r="D6644" s="15"/>
      <c r="E6644" s="18"/>
    </row>
    <row r="6645" spans="2:5" x14ac:dyDescent="0.4">
      <c r="B6645" s="17"/>
      <c r="C6645" s="15"/>
      <c r="D6645" s="15"/>
      <c r="E6645" s="18"/>
    </row>
    <row r="6646" spans="2:5" x14ac:dyDescent="0.4">
      <c r="B6646" s="17"/>
      <c r="C6646" s="15"/>
      <c r="D6646" s="15"/>
      <c r="E6646" s="18"/>
    </row>
    <row r="6647" spans="2:5" x14ac:dyDescent="0.4">
      <c r="B6647" s="17"/>
      <c r="C6647" s="15"/>
      <c r="D6647" s="15"/>
      <c r="E6647" s="18"/>
    </row>
    <row r="6648" spans="2:5" x14ac:dyDescent="0.4">
      <c r="B6648" s="17"/>
      <c r="C6648" s="15"/>
      <c r="D6648" s="15"/>
      <c r="E6648" s="18"/>
    </row>
    <row r="6649" spans="2:5" x14ac:dyDescent="0.4">
      <c r="B6649" s="17"/>
      <c r="C6649" s="15"/>
      <c r="D6649" s="15"/>
      <c r="E6649" s="18"/>
    </row>
    <row r="6650" spans="2:5" x14ac:dyDescent="0.4">
      <c r="B6650" s="17"/>
      <c r="C6650" s="15"/>
      <c r="D6650" s="15"/>
      <c r="E6650" s="18"/>
    </row>
    <row r="6651" spans="2:5" x14ac:dyDescent="0.4">
      <c r="B6651" s="17"/>
      <c r="C6651" s="15"/>
      <c r="D6651" s="15"/>
      <c r="E6651" s="18"/>
    </row>
    <row r="6652" spans="2:5" x14ac:dyDescent="0.4">
      <c r="B6652" s="17"/>
      <c r="C6652" s="15"/>
      <c r="D6652" s="15"/>
      <c r="E6652" s="18"/>
    </row>
    <row r="6653" spans="2:5" x14ac:dyDescent="0.4">
      <c r="B6653" s="17"/>
      <c r="C6653" s="15"/>
      <c r="D6653" s="15"/>
      <c r="E6653" s="18"/>
    </row>
    <row r="6654" spans="2:5" x14ac:dyDescent="0.4">
      <c r="B6654" s="17"/>
      <c r="C6654" s="15"/>
      <c r="D6654" s="15"/>
      <c r="E6654" s="18"/>
    </row>
    <row r="6655" spans="2:5" x14ac:dyDescent="0.4">
      <c r="B6655" s="17"/>
      <c r="C6655" s="15"/>
      <c r="D6655" s="15"/>
      <c r="E6655" s="18"/>
    </row>
    <row r="6656" spans="2:5" x14ac:dyDescent="0.4">
      <c r="B6656" s="17"/>
      <c r="C6656" s="15"/>
      <c r="D6656" s="15"/>
      <c r="E6656" s="18"/>
    </row>
    <row r="6657" spans="2:5" x14ac:dyDescent="0.4">
      <c r="B6657" s="17"/>
      <c r="C6657" s="15"/>
      <c r="D6657" s="15"/>
      <c r="E6657" s="18"/>
    </row>
    <row r="6658" spans="2:5" x14ac:dyDescent="0.4">
      <c r="B6658" s="17"/>
      <c r="C6658" s="15"/>
      <c r="D6658" s="15"/>
      <c r="E6658" s="18"/>
    </row>
    <row r="6659" spans="2:5" x14ac:dyDescent="0.4">
      <c r="B6659" s="17"/>
      <c r="C6659" s="15"/>
      <c r="D6659" s="15"/>
      <c r="E6659" s="18"/>
    </row>
    <row r="6660" spans="2:5" x14ac:dyDescent="0.4">
      <c r="B6660" s="17"/>
      <c r="C6660" s="15"/>
      <c r="D6660" s="15"/>
      <c r="E6660" s="18"/>
    </row>
    <row r="6661" spans="2:5" x14ac:dyDescent="0.4">
      <c r="B6661" s="17"/>
      <c r="C6661" s="15"/>
      <c r="D6661" s="15"/>
      <c r="E6661" s="18"/>
    </row>
    <row r="6662" spans="2:5" x14ac:dyDescent="0.4">
      <c r="B6662" s="17"/>
      <c r="C6662" s="15"/>
      <c r="D6662" s="15"/>
      <c r="E6662" s="18"/>
    </row>
    <row r="6663" spans="2:5" x14ac:dyDescent="0.4">
      <c r="B6663" s="17"/>
      <c r="C6663" s="15"/>
      <c r="D6663" s="15"/>
      <c r="E6663" s="18"/>
    </row>
    <row r="6664" spans="2:5" x14ac:dyDescent="0.4">
      <c r="B6664" s="17"/>
      <c r="C6664" s="15"/>
      <c r="D6664" s="15"/>
      <c r="E6664" s="18"/>
    </row>
    <row r="6665" spans="2:5" x14ac:dyDescent="0.4">
      <c r="B6665" s="17"/>
      <c r="C6665" s="15"/>
      <c r="D6665" s="15"/>
      <c r="E6665" s="18"/>
    </row>
    <row r="6666" spans="2:5" x14ac:dyDescent="0.4">
      <c r="B6666" s="17"/>
      <c r="C6666" s="15"/>
      <c r="D6666" s="15"/>
      <c r="E6666" s="18"/>
    </row>
    <row r="6667" spans="2:5" x14ac:dyDescent="0.4">
      <c r="B6667" s="17"/>
      <c r="C6667" s="15"/>
      <c r="D6667" s="15"/>
      <c r="E6667" s="18"/>
    </row>
    <row r="6668" spans="2:5" x14ac:dyDescent="0.4">
      <c r="B6668" s="17"/>
      <c r="C6668" s="15"/>
      <c r="D6668" s="15"/>
      <c r="E6668" s="18"/>
    </row>
    <row r="6669" spans="2:5" x14ac:dyDescent="0.4">
      <c r="B6669" s="17"/>
      <c r="C6669" s="15"/>
      <c r="D6669" s="15"/>
      <c r="E6669" s="18"/>
    </row>
    <row r="6670" spans="2:5" x14ac:dyDescent="0.4">
      <c r="B6670" s="17"/>
      <c r="C6670" s="15"/>
      <c r="D6670" s="15"/>
      <c r="E6670" s="18"/>
    </row>
    <row r="6671" spans="2:5" x14ac:dyDescent="0.4">
      <c r="B6671" s="17"/>
      <c r="C6671" s="15"/>
      <c r="D6671" s="15"/>
      <c r="E6671" s="18"/>
    </row>
    <row r="6672" spans="2:5" x14ac:dyDescent="0.4">
      <c r="B6672" s="17"/>
      <c r="C6672" s="15"/>
      <c r="D6672" s="15"/>
      <c r="E6672" s="18"/>
    </row>
    <row r="6673" spans="2:5" x14ac:dyDescent="0.4">
      <c r="B6673" s="17"/>
      <c r="C6673" s="15"/>
      <c r="D6673" s="15"/>
      <c r="E6673" s="18"/>
    </row>
    <row r="6674" spans="2:5" x14ac:dyDescent="0.4">
      <c r="B6674" s="17"/>
      <c r="C6674" s="15"/>
      <c r="D6674" s="15"/>
      <c r="E6674" s="18"/>
    </row>
    <row r="6675" spans="2:5" x14ac:dyDescent="0.4">
      <c r="B6675" s="17"/>
      <c r="C6675" s="15"/>
      <c r="D6675" s="15"/>
      <c r="E6675" s="18"/>
    </row>
    <row r="6676" spans="2:5" x14ac:dyDescent="0.4">
      <c r="B6676" s="17"/>
      <c r="C6676" s="15"/>
      <c r="D6676" s="15"/>
      <c r="E6676" s="18"/>
    </row>
    <row r="6677" spans="2:5" x14ac:dyDescent="0.4">
      <c r="B6677" s="17"/>
      <c r="C6677" s="15"/>
      <c r="D6677" s="15"/>
      <c r="E6677" s="18"/>
    </row>
    <row r="6678" spans="2:5" x14ac:dyDescent="0.4">
      <c r="B6678" s="17"/>
      <c r="C6678" s="15"/>
      <c r="D6678" s="15"/>
      <c r="E6678" s="18"/>
    </row>
    <row r="6679" spans="2:5" x14ac:dyDescent="0.4">
      <c r="B6679" s="17"/>
      <c r="C6679" s="15"/>
      <c r="D6679" s="15"/>
      <c r="E6679" s="18"/>
    </row>
    <row r="6680" spans="2:5" x14ac:dyDescent="0.4">
      <c r="B6680" s="17"/>
      <c r="C6680" s="15"/>
      <c r="D6680" s="15"/>
      <c r="E6680" s="18"/>
    </row>
    <row r="6681" spans="2:5" x14ac:dyDescent="0.4">
      <c r="B6681" s="17"/>
      <c r="C6681" s="15"/>
      <c r="D6681" s="15"/>
      <c r="E6681" s="18"/>
    </row>
    <row r="6682" spans="2:5" x14ac:dyDescent="0.4">
      <c r="B6682" s="17"/>
      <c r="C6682" s="15"/>
      <c r="D6682" s="15"/>
      <c r="E6682" s="18"/>
    </row>
    <row r="6683" spans="2:5" x14ac:dyDescent="0.4">
      <c r="B6683" s="17"/>
      <c r="C6683" s="15"/>
      <c r="D6683" s="15"/>
      <c r="E6683" s="18"/>
    </row>
    <row r="6684" spans="2:5" x14ac:dyDescent="0.4">
      <c r="B6684" s="17"/>
      <c r="C6684" s="15"/>
      <c r="D6684" s="15"/>
      <c r="E6684" s="18"/>
    </row>
    <row r="6685" spans="2:5" x14ac:dyDescent="0.4">
      <c r="B6685" s="17"/>
      <c r="C6685" s="15"/>
      <c r="D6685" s="15"/>
      <c r="E6685" s="18"/>
    </row>
    <row r="6686" spans="2:5" x14ac:dyDescent="0.4">
      <c r="B6686" s="17"/>
      <c r="C6686" s="15"/>
      <c r="D6686" s="15"/>
      <c r="E6686" s="18"/>
    </row>
    <row r="6687" spans="2:5" x14ac:dyDescent="0.4">
      <c r="B6687" s="17"/>
      <c r="C6687" s="15"/>
      <c r="D6687" s="15"/>
      <c r="E6687" s="18"/>
    </row>
    <row r="6688" spans="2:5" x14ac:dyDescent="0.4">
      <c r="B6688" s="17"/>
      <c r="C6688" s="15"/>
      <c r="D6688" s="15"/>
      <c r="E6688" s="18"/>
    </row>
    <row r="6689" spans="2:5" x14ac:dyDescent="0.4">
      <c r="B6689" s="17"/>
      <c r="C6689" s="15"/>
      <c r="D6689" s="15"/>
      <c r="E6689" s="18"/>
    </row>
    <row r="6690" spans="2:5" x14ac:dyDescent="0.4">
      <c r="B6690" s="17"/>
      <c r="C6690" s="15"/>
      <c r="D6690" s="15"/>
      <c r="E6690" s="18"/>
    </row>
    <row r="6691" spans="2:5" x14ac:dyDescent="0.4">
      <c r="B6691" s="17"/>
      <c r="C6691" s="15"/>
      <c r="D6691" s="15"/>
      <c r="E6691" s="18"/>
    </row>
    <row r="6692" spans="2:5" x14ac:dyDescent="0.4">
      <c r="B6692" s="17"/>
      <c r="C6692" s="15"/>
      <c r="D6692" s="15"/>
      <c r="E6692" s="18"/>
    </row>
    <row r="6693" spans="2:5" x14ac:dyDescent="0.4">
      <c r="B6693" s="17"/>
      <c r="C6693" s="15"/>
      <c r="D6693" s="15"/>
      <c r="E6693" s="18"/>
    </row>
    <row r="6694" spans="2:5" x14ac:dyDescent="0.4">
      <c r="B6694" s="17"/>
      <c r="C6694" s="15"/>
      <c r="D6694" s="15"/>
      <c r="E6694" s="18"/>
    </row>
    <row r="6695" spans="2:5" x14ac:dyDescent="0.4">
      <c r="B6695" s="17"/>
      <c r="C6695" s="15"/>
      <c r="D6695" s="15"/>
      <c r="E6695" s="18"/>
    </row>
    <row r="6696" spans="2:5" x14ac:dyDescent="0.4">
      <c r="B6696" s="17"/>
      <c r="C6696" s="15"/>
      <c r="D6696" s="15"/>
      <c r="E6696" s="18"/>
    </row>
    <row r="6697" spans="2:5" x14ac:dyDescent="0.4">
      <c r="B6697" s="17"/>
      <c r="C6697" s="15"/>
      <c r="D6697" s="15"/>
      <c r="E6697" s="18"/>
    </row>
    <row r="6698" spans="2:5" x14ac:dyDescent="0.4">
      <c r="B6698" s="17"/>
      <c r="C6698" s="15"/>
      <c r="D6698" s="15"/>
      <c r="E6698" s="18"/>
    </row>
    <row r="6699" spans="2:5" x14ac:dyDescent="0.4">
      <c r="B6699" s="17"/>
      <c r="C6699" s="15"/>
      <c r="D6699" s="15"/>
      <c r="E6699" s="18"/>
    </row>
    <row r="6700" spans="2:5" x14ac:dyDescent="0.4">
      <c r="B6700" s="17"/>
      <c r="C6700" s="15"/>
      <c r="D6700" s="15"/>
      <c r="E6700" s="18"/>
    </row>
    <row r="6701" spans="2:5" x14ac:dyDescent="0.4">
      <c r="B6701" s="17"/>
      <c r="C6701" s="15"/>
      <c r="D6701" s="15"/>
      <c r="E6701" s="18"/>
    </row>
    <row r="6702" spans="2:5" x14ac:dyDescent="0.4">
      <c r="B6702" s="17"/>
      <c r="C6702" s="15"/>
      <c r="D6702" s="15"/>
      <c r="E6702" s="18"/>
    </row>
    <row r="6703" spans="2:5" x14ac:dyDescent="0.4">
      <c r="B6703" s="17"/>
      <c r="C6703" s="15"/>
      <c r="D6703" s="15"/>
      <c r="E6703" s="18"/>
    </row>
    <row r="6704" spans="2:5" x14ac:dyDescent="0.4">
      <c r="B6704" s="17"/>
      <c r="C6704" s="15"/>
      <c r="D6704" s="15"/>
      <c r="E6704" s="18"/>
    </row>
    <row r="6705" spans="2:5" x14ac:dyDescent="0.4">
      <c r="B6705" s="17"/>
      <c r="C6705" s="15"/>
      <c r="D6705" s="15"/>
      <c r="E6705" s="18"/>
    </row>
    <row r="6706" spans="2:5" x14ac:dyDescent="0.4">
      <c r="B6706" s="17"/>
      <c r="C6706" s="15"/>
      <c r="D6706" s="15"/>
      <c r="E6706" s="18"/>
    </row>
    <row r="6707" spans="2:5" x14ac:dyDescent="0.4">
      <c r="B6707" s="17"/>
      <c r="C6707" s="15"/>
      <c r="D6707" s="15"/>
      <c r="E6707" s="18"/>
    </row>
    <row r="6708" spans="2:5" x14ac:dyDescent="0.4">
      <c r="B6708" s="17"/>
      <c r="C6708" s="15"/>
      <c r="D6708" s="15"/>
      <c r="E6708" s="18"/>
    </row>
    <row r="6709" spans="2:5" x14ac:dyDescent="0.4">
      <c r="B6709" s="17"/>
      <c r="C6709" s="15"/>
      <c r="D6709" s="15"/>
      <c r="E6709" s="18"/>
    </row>
    <row r="6710" spans="2:5" x14ac:dyDescent="0.4">
      <c r="B6710" s="17"/>
      <c r="C6710" s="15"/>
      <c r="D6710" s="15"/>
      <c r="E6710" s="18"/>
    </row>
    <row r="6711" spans="2:5" x14ac:dyDescent="0.4">
      <c r="B6711" s="17"/>
      <c r="C6711" s="15"/>
      <c r="D6711" s="15"/>
      <c r="E6711" s="18"/>
    </row>
    <row r="6712" spans="2:5" x14ac:dyDescent="0.4">
      <c r="B6712" s="17"/>
      <c r="C6712" s="15"/>
      <c r="D6712" s="15"/>
      <c r="E6712" s="18"/>
    </row>
    <row r="6713" spans="2:5" x14ac:dyDescent="0.4">
      <c r="B6713" s="17"/>
      <c r="C6713" s="15"/>
      <c r="D6713" s="15"/>
      <c r="E6713" s="18"/>
    </row>
    <row r="6714" spans="2:5" x14ac:dyDescent="0.4">
      <c r="B6714" s="17"/>
      <c r="C6714" s="15"/>
      <c r="D6714" s="15"/>
      <c r="E6714" s="18"/>
    </row>
    <row r="6715" spans="2:5" x14ac:dyDescent="0.4">
      <c r="B6715" s="17"/>
      <c r="C6715" s="15"/>
      <c r="D6715" s="15"/>
      <c r="E6715" s="18"/>
    </row>
    <row r="6716" spans="2:5" x14ac:dyDescent="0.4">
      <c r="B6716" s="17"/>
      <c r="C6716" s="15"/>
      <c r="D6716" s="15"/>
      <c r="E6716" s="18"/>
    </row>
    <row r="6717" spans="2:5" x14ac:dyDescent="0.4">
      <c r="B6717" s="17"/>
      <c r="C6717" s="15"/>
      <c r="D6717" s="15"/>
      <c r="E6717" s="18"/>
    </row>
    <row r="6718" spans="2:5" x14ac:dyDescent="0.4">
      <c r="B6718" s="17"/>
      <c r="C6718" s="15"/>
      <c r="D6718" s="15"/>
      <c r="E6718" s="18"/>
    </row>
    <row r="6719" spans="2:5" x14ac:dyDescent="0.4">
      <c r="B6719" s="17"/>
      <c r="C6719" s="15"/>
      <c r="D6719" s="15"/>
      <c r="E6719" s="18"/>
    </row>
    <row r="6720" spans="2:5" x14ac:dyDescent="0.4">
      <c r="B6720" s="17"/>
      <c r="C6720" s="15"/>
      <c r="D6720" s="15"/>
      <c r="E6720" s="18"/>
    </row>
    <row r="6721" spans="2:5" x14ac:dyDescent="0.4">
      <c r="B6721" s="17"/>
      <c r="C6721" s="15"/>
      <c r="D6721" s="15"/>
      <c r="E6721" s="18"/>
    </row>
    <row r="6722" spans="2:5" x14ac:dyDescent="0.4">
      <c r="B6722" s="17"/>
      <c r="C6722" s="15"/>
      <c r="D6722" s="15"/>
      <c r="E6722" s="18"/>
    </row>
    <row r="6723" spans="2:5" x14ac:dyDescent="0.4">
      <c r="B6723" s="17"/>
      <c r="C6723" s="15"/>
      <c r="D6723" s="15"/>
      <c r="E6723" s="18"/>
    </row>
    <row r="6724" spans="2:5" x14ac:dyDescent="0.4">
      <c r="B6724" s="17"/>
      <c r="C6724" s="15"/>
      <c r="D6724" s="15"/>
      <c r="E6724" s="18"/>
    </row>
    <row r="6725" spans="2:5" x14ac:dyDescent="0.4">
      <c r="B6725" s="17"/>
      <c r="C6725" s="15"/>
      <c r="D6725" s="15"/>
      <c r="E6725" s="18"/>
    </row>
    <row r="6726" spans="2:5" x14ac:dyDescent="0.4">
      <c r="B6726" s="17"/>
      <c r="C6726" s="15"/>
      <c r="D6726" s="15"/>
      <c r="E6726" s="18"/>
    </row>
    <row r="6727" spans="2:5" x14ac:dyDescent="0.4">
      <c r="B6727" s="17"/>
      <c r="C6727" s="15"/>
      <c r="D6727" s="15"/>
      <c r="E6727" s="18"/>
    </row>
    <row r="6728" spans="2:5" x14ac:dyDescent="0.4">
      <c r="B6728" s="17"/>
      <c r="C6728" s="15"/>
      <c r="D6728" s="15"/>
      <c r="E6728" s="18"/>
    </row>
    <row r="6729" spans="2:5" x14ac:dyDescent="0.4">
      <c r="B6729" s="17"/>
      <c r="C6729" s="15"/>
      <c r="D6729" s="15"/>
      <c r="E6729" s="18"/>
    </row>
    <row r="6730" spans="2:5" x14ac:dyDescent="0.4">
      <c r="B6730" s="17"/>
      <c r="C6730" s="15"/>
      <c r="D6730" s="15"/>
      <c r="E6730" s="18"/>
    </row>
    <row r="6731" spans="2:5" x14ac:dyDescent="0.4">
      <c r="B6731" s="17"/>
      <c r="C6731" s="15"/>
      <c r="D6731" s="15"/>
      <c r="E6731" s="18"/>
    </row>
    <row r="6732" spans="2:5" x14ac:dyDescent="0.4">
      <c r="B6732" s="17"/>
      <c r="C6732" s="15"/>
      <c r="D6732" s="15"/>
      <c r="E6732" s="18"/>
    </row>
    <row r="6733" spans="2:5" x14ac:dyDescent="0.4">
      <c r="B6733" s="17"/>
      <c r="C6733" s="15"/>
      <c r="D6733" s="15"/>
      <c r="E6733" s="18"/>
    </row>
    <row r="6734" spans="2:5" x14ac:dyDescent="0.4">
      <c r="B6734" s="17"/>
      <c r="C6734" s="15"/>
      <c r="D6734" s="15"/>
      <c r="E6734" s="18"/>
    </row>
    <row r="6735" spans="2:5" x14ac:dyDescent="0.4">
      <c r="B6735" s="17"/>
      <c r="C6735" s="15"/>
      <c r="D6735" s="15"/>
      <c r="E6735" s="18"/>
    </row>
    <row r="6736" spans="2:5" x14ac:dyDescent="0.4">
      <c r="B6736" s="17"/>
      <c r="C6736" s="15"/>
      <c r="D6736" s="15"/>
      <c r="E6736" s="18"/>
    </row>
    <row r="6737" spans="2:5" x14ac:dyDescent="0.4">
      <c r="B6737" s="17"/>
      <c r="C6737" s="15"/>
      <c r="D6737" s="15"/>
      <c r="E6737" s="18"/>
    </row>
    <row r="6738" spans="2:5" x14ac:dyDescent="0.4">
      <c r="B6738" s="17"/>
      <c r="C6738" s="15"/>
      <c r="D6738" s="15"/>
      <c r="E6738" s="18"/>
    </row>
    <row r="6739" spans="2:5" x14ac:dyDescent="0.4">
      <c r="B6739" s="17"/>
      <c r="C6739" s="15"/>
      <c r="D6739" s="15"/>
      <c r="E6739" s="18"/>
    </row>
    <row r="6740" spans="2:5" x14ac:dyDescent="0.4">
      <c r="B6740" s="17"/>
      <c r="C6740" s="15"/>
      <c r="D6740" s="15"/>
      <c r="E6740" s="18"/>
    </row>
    <row r="6741" spans="2:5" x14ac:dyDescent="0.4">
      <c r="B6741" s="17"/>
      <c r="C6741" s="15"/>
      <c r="D6741" s="15"/>
      <c r="E6741" s="18"/>
    </row>
    <row r="6742" spans="2:5" x14ac:dyDescent="0.4">
      <c r="B6742" s="17"/>
      <c r="C6742" s="15"/>
      <c r="D6742" s="15"/>
      <c r="E6742" s="18"/>
    </row>
    <row r="6743" spans="2:5" x14ac:dyDescent="0.4">
      <c r="B6743" s="17"/>
      <c r="C6743" s="15"/>
      <c r="D6743" s="15"/>
      <c r="E6743" s="18"/>
    </row>
    <row r="6744" spans="2:5" x14ac:dyDescent="0.4">
      <c r="B6744" s="17"/>
      <c r="C6744" s="15"/>
      <c r="D6744" s="15"/>
      <c r="E6744" s="18"/>
    </row>
    <row r="6745" spans="2:5" x14ac:dyDescent="0.4">
      <c r="B6745" s="17"/>
      <c r="C6745" s="15"/>
      <c r="D6745" s="15"/>
      <c r="E6745" s="18"/>
    </row>
    <row r="6746" spans="2:5" x14ac:dyDescent="0.4">
      <c r="B6746" s="17"/>
      <c r="C6746" s="15"/>
      <c r="D6746" s="15"/>
      <c r="E6746" s="18"/>
    </row>
    <row r="6747" spans="2:5" x14ac:dyDescent="0.4">
      <c r="B6747" s="17"/>
      <c r="C6747" s="15"/>
      <c r="D6747" s="15"/>
      <c r="E6747" s="18"/>
    </row>
    <row r="6748" spans="2:5" x14ac:dyDescent="0.4">
      <c r="B6748" s="17"/>
      <c r="C6748" s="15"/>
      <c r="D6748" s="15"/>
      <c r="E6748" s="18"/>
    </row>
    <row r="6749" spans="2:5" x14ac:dyDescent="0.4">
      <c r="B6749" s="17"/>
      <c r="C6749" s="15"/>
      <c r="D6749" s="15"/>
      <c r="E6749" s="18"/>
    </row>
    <row r="6750" spans="2:5" x14ac:dyDescent="0.4">
      <c r="B6750" s="17"/>
      <c r="C6750" s="15"/>
      <c r="D6750" s="15"/>
      <c r="E6750" s="18"/>
    </row>
    <row r="6751" spans="2:5" x14ac:dyDescent="0.4">
      <c r="B6751" s="17"/>
      <c r="C6751" s="15"/>
      <c r="D6751" s="15"/>
      <c r="E6751" s="18"/>
    </row>
    <row r="6752" spans="2:5" x14ac:dyDescent="0.4">
      <c r="B6752" s="17"/>
      <c r="C6752" s="15"/>
      <c r="D6752" s="15"/>
      <c r="E6752" s="18"/>
    </row>
    <row r="6753" spans="2:5" x14ac:dyDescent="0.4">
      <c r="B6753" s="17"/>
      <c r="C6753" s="15"/>
      <c r="D6753" s="15"/>
      <c r="E6753" s="18"/>
    </row>
    <row r="6754" spans="2:5" x14ac:dyDescent="0.4">
      <c r="B6754" s="17"/>
      <c r="C6754" s="15"/>
      <c r="D6754" s="15"/>
      <c r="E6754" s="18"/>
    </row>
    <row r="6755" spans="2:5" x14ac:dyDescent="0.4">
      <c r="B6755" s="17"/>
      <c r="C6755" s="15"/>
      <c r="D6755" s="15"/>
      <c r="E6755" s="18"/>
    </row>
    <row r="6756" spans="2:5" x14ac:dyDescent="0.4">
      <c r="B6756" s="17"/>
      <c r="C6756" s="15"/>
      <c r="D6756" s="15"/>
      <c r="E6756" s="18"/>
    </row>
    <row r="6757" spans="2:5" x14ac:dyDescent="0.4">
      <c r="B6757" s="17"/>
      <c r="C6757" s="15"/>
      <c r="D6757" s="15"/>
      <c r="E6757" s="18"/>
    </row>
    <row r="6758" spans="2:5" x14ac:dyDescent="0.4">
      <c r="B6758" s="17"/>
      <c r="C6758" s="15"/>
      <c r="D6758" s="15"/>
      <c r="E6758" s="18"/>
    </row>
    <row r="6759" spans="2:5" x14ac:dyDescent="0.4">
      <c r="B6759" s="17"/>
      <c r="C6759" s="15"/>
      <c r="D6759" s="15"/>
      <c r="E6759" s="18"/>
    </row>
    <row r="6760" spans="2:5" x14ac:dyDescent="0.4">
      <c r="B6760" s="17"/>
      <c r="C6760" s="15"/>
      <c r="D6760" s="15"/>
      <c r="E6760" s="18"/>
    </row>
    <row r="6761" spans="2:5" x14ac:dyDescent="0.4">
      <c r="B6761" s="17"/>
      <c r="C6761" s="15"/>
      <c r="D6761" s="15"/>
      <c r="E6761" s="18"/>
    </row>
    <row r="6762" spans="2:5" x14ac:dyDescent="0.4">
      <c r="B6762" s="17"/>
      <c r="C6762" s="15"/>
      <c r="D6762" s="15"/>
      <c r="E6762" s="18"/>
    </row>
    <row r="6763" spans="2:5" x14ac:dyDescent="0.4">
      <c r="B6763" s="17"/>
      <c r="C6763" s="15"/>
      <c r="D6763" s="15"/>
      <c r="E6763" s="18"/>
    </row>
    <row r="6764" spans="2:5" x14ac:dyDescent="0.4">
      <c r="B6764" s="17"/>
      <c r="C6764" s="15"/>
      <c r="D6764" s="15"/>
      <c r="E6764" s="18"/>
    </row>
    <row r="6765" spans="2:5" x14ac:dyDescent="0.4">
      <c r="B6765" s="17"/>
      <c r="C6765" s="15"/>
      <c r="D6765" s="15"/>
      <c r="E6765" s="18"/>
    </row>
    <row r="6766" spans="2:5" x14ac:dyDescent="0.4">
      <c r="B6766" s="17"/>
      <c r="C6766" s="15"/>
      <c r="D6766" s="15"/>
      <c r="E6766" s="18"/>
    </row>
    <row r="6767" spans="2:5" x14ac:dyDescent="0.4">
      <c r="B6767" s="17"/>
      <c r="C6767" s="15"/>
      <c r="D6767" s="15"/>
      <c r="E6767" s="18"/>
    </row>
    <row r="6768" spans="2:5" x14ac:dyDescent="0.4">
      <c r="B6768" s="17"/>
      <c r="C6768" s="15"/>
      <c r="D6768" s="15"/>
      <c r="E6768" s="18"/>
    </row>
    <row r="6769" spans="2:5" x14ac:dyDescent="0.4">
      <c r="B6769" s="17"/>
      <c r="C6769" s="15"/>
      <c r="D6769" s="15"/>
      <c r="E6769" s="18"/>
    </row>
    <row r="6770" spans="2:5" x14ac:dyDescent="0.4">
      <c r="B6770" s="17"/>
      <c r="C6770" s="15"/>
      <c r="D6770" s="15"/>
      <c r="E6770" s="18"/>
    </row>
    <row r="6771" spans="2:5" x14ac:dyDescent="0.4">
      <c r="B6771" s="17"/>
      <c r="C6771" s="15"/>
      <c r="D6771" s="15"/>
      <c r="E6771" s="18"/>
    </row>
    <row r="6772" spans="2:5" x14ac:dyDescent="0.4">
      <c r="B6772" s="17"/>
      <c r="C6772" s="15"/>
      <c r="D6772" s="15"/>
      <c r="E6772" s="18"/>
    </row>
    <row r="6773" spans="2:5" x14ac:dyDescent="0.4">
      <c r="B6773" s="17"/>
      <c r="C6773" s="15"/>
      <c r="D6773" s="15"/>
      <c r="E6773" s="18"/>
    </row>
    <row r="6774" spans="2:5" x14ac:dyDescent="0.4">
      <c r="B6774" s="17"/>
      <c r="C6774" s="15"/>
      <c r="D6774" s="15"/>
      <c r="E6774" s="18"/>
    </row>
    <row r="6775" spans="2:5" x14ac:dyDescent="0.4">
      <c r="B6775" s="17"/>
      <c r="C6775" s="15"/>
      <c r="D6775" s="15"/>
      <c r="E6775" s="18"/>
    </row>
    <row r="6776" spans="2:5" x14ac:dyDescent="0.4">
      <c r="B6776" s="17"/>
      <c r="C6776" s="15"/>
      <c r="D6776" s="15"/>
      <c r="E6776" s="18"/>
    </row>
    <row r="6777" spans="2:5" x14ac:dyDescent="0.4">
      <c r="B6777" s="17"/>
      <c r="C6777" s="15"/>
      <c r="D6777" s="15"/>
      <c r="E6777" s="18"/>
    </row>
    <row r="6778" spans="2:5" x14ac:dyDescent="0.4">
      <c r="B6778" s="17"/>
      <c r="C6778" s="15"/>
      <c r="D6778" s="15"/>
      <c r="E6778" s="18"/>
    </row>
    <row r="6779" spans="2:5" x14ac:dyDescent="0.4">
      <c r="B6779" s="17"/>
      <c r="C6779" s="15"/>
      <c r="D6779" s="15"/>
      <c r="E6779" s="18"/>
    </row>
    <row r="6780" spans="2:5" x14ac:dyDescent="0.4">
      <c r="B6780" s="17"/>
      <c r="C6780" s="15"/>
      <c r="D6780" s="15"/>
      <c r="E6780" s="18"/>
    </row>
    <row r="6781" spans="2:5" x14ac:dyDescent="0.4">
      <c r="B6781" s="17"/>
      <c r="C6781" s="15"/>
      <c r="D6781" s="15"/>
      <c r="E6781" s="18"/>
    </row>
    <row r="6782" spans="2:5" x14ac:dyDescent="0.4">
      <c r="B6782" s="17"/>
      <c r="C6782" s="15"/>
      <c r="D6782" s="15"/>
      <c r="E6782" s="18"/>
    </row>
    <row r="6783" spans="2:5" x14ac:dyDescent="0.4">
      <c r="B6783" s="17"/>
      <c r="C6783" s="15"/>
      <c r="D6783" s="15"/>
      <c r="E6783" s="18"/>
    </row>
    <row r="6784" spans="2:5" x14ac:dyDescent="0.4">
      <c r="B6784" s="17"/>
      <c r="C6784" s="15"/>
      <c r="D6784" s="15"/>
      <c r="E6784" s="18"/>
    </row>
    <row r="6785" spans="2:5" x14ac:dyDescent="0.4">
      <c r="B6785" s="17"/>
      <c r="C6785" s="15"/>
      <c r="D6785" s="15"/>
      <c r="E6785" s="18"/>
    </row>
    <row r="6786" spans="2:5" x14ac:dyDescent="0.4">
      <c r="B6786" s="17"/>
      <c r="C6786" s="15"/>
      <c r="D6786" s="15"/>
      <c r="E6786" s="18"/>
    </row>
    <row r="6787" spans="2:5" x14ac:dyDescent="0.4">
      <c r="B6787" s="17"/>
      <c r="C6787" s="15"/>
      <c r="D6787" s="15"/>
      <c r="E6787" s="18"/>
    </row>
    <row r="6788" spans="2:5" x14ac:dyDescent="0.4">
      <c r="B6788" s="17"/>
      <c r="C6788" s="15"/>
      <c r="D6788" s="15"/>
      <c r="E6788" s="18"/>
    </row>
    <row r="6789" spans="2:5" x14ac:dyDescent="0.4">
      <c r="B6789" s="17"/>
      <c r="C6789" s="15"/>
      <c r="D6789" s="15"/>
      <c r="E6789" s="18"/>
    </row>
    <row r="6790" spans="2:5" x14ac:dyDescent="0.4">
      <c r="B6790" s="17"/>
      <c r="C6790" s="15"/>
      <c r="D6790" s="15"/>
      <c r="E6790" s="18"/>
    </row>
    <row r="6791" spans="2:5" x14ac:dyDescent="0.4">
      <c r="B6791" s="17"/>
      <c r="C6791" s="15"/>
      <c r="D6791" s="15"/>
      <c r="E6791" s="18"/>
    </row>
    <row r="6792" spans="2:5" x14ac:dyDescent="0.4">
      <c r="B6792" s="17"/>
      <c r="C6792" s="15"/>
      <c r="D6792" s="15"/>
      <c r="E6792" s="18"/>
    </row>
    <row r="6793" spans="2:5" x14ac:dyDescent="0.4">
      <c r="B6793" s="17"/>
      <c r="C6793" s="15"/>
      <c r="D6793" s="15"/>
      <c r="E6793" s="18"/>
    </row>
    <row r="6794" spans="2:5" x14ac:dyDescent="0.4">
      <c r="B6794" s="17"/>
      <c r="C6794" s="15"/>
      <c r="D6794" s="15"/>
      <c r="E6794" s="18"/>
    </row>
    <row r="6795" spans="2:5" x14ac:dyDescent="0.4">
      <c r="B6795" s="17"/>
      <c r="C6795" s="15"/>
      <c r="D6795" s="15"/>
      <c r="E6795" s="18"/>
    </row>
    <row r="6796" spans="2:5" x14ac:dyDescent="0.4">
      <c r="B6796" s="17"/>
      <c r="C6796" s="15"/>
      <c r="D6796" s="15"/>
      <c r="E6796" s="18"/>
    </row>
    <row r="6797" spans="2:5" x14ac:dyDescent="0.4">
      <c r="B6797" s="17"/>
      <c r="C6797" s="15"/>
      <c r="D6797" s="15"/>
      <c r="E6797" s="18"/>
    </row>
    <row r="6798" spans="2:5" x14ac:dyDescent="0.4">
      <c r="B6798" s="17"/>
      <c r="C6798" s="15"/>
      <c r="D6798" s="15"/>
      <c r="E6798" s="18"/>
    </row>
    <row r="6799" spans="2:5" x14ac:dyDescent="0.4">
      <c r="B6799" s="17"/>
      <c r="C6799" s="15"/>
      <c r="D6799" s="15"/>
      <c r="E6799" s="18"/>
    </row>
    <row r="6800" spans="2:5" x14ac:dyDescent="0.4">
      <c r="B6800" s="17"/>
      <c r="C6800" s="15"/>
      <c r="D6800" s="15"/>
      <c r="E6800" s="18"/>
    </row>
    <row r="6801" spans="2:5" x14ac:dyDescent="0.4">
      <c r="B6801" s="17"/>
      <c r="C6801" s="15"/>
      <c r="D6801" s="15"/>
      <c r="E6801" s="18"/>
    </row>
    <row r="6802" spans="2:5" x14ac:dyDescent="0.4">
      <c r="B6802" s="17"/>
      <c r="C6802" s="15"/>
      <c r="D6802" s="15"/>
      <c r="E6802" s="18"/>
    </row>
    <row r="6803" spans="2:5" x14ac:dyDescent="0.4">
      <c r="B6803" s="17"/>
      <c r="C6803" s="15"/>
      <c r="D6803" s="15"/>
      <c r="E6803" s="18"/>
    </row>
    <row r="6804" spans="2:5" x14ac:dyDescent="0.4">
      <c r="B6804" s="17"/>
      <c r="C6804" s="15"/>
      <c r="D6804" s="15"/>
      <c r="E6804" s="18"/>
    </row>
    <row r="6805" spans="2:5" x14ac:dyDescent="0.4">
      <c r="B6805" s="17"/>
      <c r="C6805" s="15"/>
      <c r="D6805" s="15"/>
      <c r="E6805" s="18"/>
    </row>
    <row r="6806" spans="2:5" x14ac:dyDescent="0.4">
      <c r="B6806" s="17"/>
      <c r="C6806" s="15"/>
      <c r="D6806" s="15"/>
      <c r="E6806" s="18"/>
    </row>
    <row r="6807" spans="2:5" x14ac:dyDescent="0.4">
      <c r="B6807" s="17"/>
      <c r="C6807" s="15"/>
      <c r="D6807" s="15"/>
      <c r="E6807" s="18"/>
    </row>
    <row r="6808" spans="2:5" x14ac:dyDescent="0.4">
      <c r="B6808" s="17"/>
      <c r="C6808" s="15"/>
      <c r="D6808" s="15"/>
      <c r="E6808" s="18"/>
    </row>
    <row r="6809" spans="2:5" x14ac:dyDescent="0.4">
      <c r="B6809" s="17"/>
      <c r="C6809" s="15"/>
      <c r="D6809" s="15"/>
      <c r="E6809" s="18"/>
    </row>
    <row r="6810" spans="2:5" x14ac:dyDescent="0.4">
      <c r="B6810" s="17"/>
      <c r="C6810" s="15"/>
      <c r="D6810" s="15"/>
      <c r="E6810" s="18"/>
    </row>
    <row r="6811" spans="2:5" x14ac:dyDescent="0.4">
      <c r="B6811" s="17"/>
      <c r="C6811" s="15"/>
      <c r="D6811" s="15"/>
      <c r="E6811" s="18"/>
    </row>
    <row r="6812" spans="2:5" x14ac:dyDescent="0.4">
      <c r="B6812" s="17"/>
      <c r="C6812" s="15"/>
      <c r="D6812" s="15"/>
      <c r="E6812" s="18"/>
    </row>
    <row r="6813" spans="2:5" x14ac:dyDescent="0.4">
      <c r="B6813" s="17"/>
      <c r="C6813" s="15"/>
      <c r="D6813" s="15"/>
      <c r="E6813" s="18"/>
    </row>
    <row r="6814" spans="2:5" x14ac:dyDescent="0.4">
      <c r="B6814" s="17"/>
      <c r="C6814" s="15"/>
      <c r="D6814" s="15"/>
      <c r="E6814" s="18"/>
    </row>
    <row r="6815" spans="2:5" x14ac:dyDescent="0.4">
      <c r="B6815" s="17"/>
      <c r="C6815" s="15"/>
      <c r="D6815" s="15"/>
      <c r="E6815" s="18"/>
    </row>
    <row r="6816" spans="2:5" x14ac:dyDescent="0.4">
      <c r="B6816" s="17"/>
      <c r="C6816" s="15"/>
      <c r="D6816" s="15"/>
      <c r="E6816" s="18"/>
    </row>
    <row r="6817" spans="2:5" x14ac:dyDescent="0.4">
      <c r="B6817" s="17"/>
      <c r="C6817" s="15"/>
      <c r="D6817" s="15"/>
      <c r="E6817" s="18"/>
    </row>
    <row r="6818" spans="2:5" x14ac:dyDescent="0.4">
      <c r="B6818" s="17"/>
      <c r="C6818" s="15"/>
      <c r="D6818" s="15"/>
      <c r="E6818" s="18"/>
    </row>
    <row r="6819" spans="2:5" x14ac:dyDescent="0.4">
      <c r="B6819" s="17"/>
      <c r="C6819" s="15"/>
      <c r="D6819" s="15"/>
      <c r="E6819" s="18"/>
    </row>
    <row r="6820" spans="2:5" x14ac:dyDescent="0.4">
      <c r="B6820" s="17"/>
      <c r="C6820" s="15"/>
      <c r="D6820" s="15"/>
      <c r="E6820" s="18"/>
    </row>
    <row r="6821" spans="2:5" x14ac:dyDescent="0.4">
      <c r="B6821" s="17"/>
      <c r="C6821" s="15"/>
      <c r="D6821" s="15"/>
      <c r="E6821" s="18"/>
    </row>
    <row r="6822" spans="2:5" x14ac:dyDescent="0.4">
      <c r="B6822" s="17"/>
      <c r="C6822" s="15"/>
      <c r="D6822" s="15"/>
      <c r="E6822" s="18"/>
    </row>
    <row r="6823" spans="2:5" x14ac:dyDescent="0.4">
      <c r="B6823" s="17"/>
      <c r="C6823" s="15"/>
      <c r="D6823" s="15"/>
      <c r="E6823" s="18"/>
    </row>
    <row r="6824" spans="2:5" x14ac:dyDescent="0.4">
      <c r="B6824" s="17"/>
      <c r="C6824" s="15"/>
      <c r="D6824" s="15"/>
      <c r="E6824" s="18"/>
    </row>
    <row r="6825" spans="2:5" x14ac:dyDescent="0.4">
      <c r="B6825" s="17"/>
      <c r="C6825" s="15"/>
      <c r="D6825" s="15"/>
      <c r="E6825" s="18"/>
    </row>
    <row r="6826" spans="2:5" x14ac:dyDescent="0.4">
      <c r="B6826" s="17"/>
      <c r="C6826" s="15"/>
      <c r="D6826" s="15"/>
      <c r="E6826" s="18"/>
    </row>
    <row r="6827" spans="2:5" x14ac:dyDescent="0.4">
      <c r="B6827" s="17"/>
      <c r="C6827" s="15"/>
      <c r="D6827" s="15"/>
      <c r="E6827" s="18"/>
    </row>
    <row r="6828" spans="2:5" x14ac:dyDescent="0.4">
      <c r="B6828" s="17"/>
      <c r="C6828" s="15"/>
      <c r="D6828" s="15"/>
      <c r="E6828" s="18"/>
    </row>
    <row r="6829" spans="2:5" x14ac:dyDescent="0.4">
      <c r="B6829" s="17"/>
      <c r="C6829" s="15"/>
      <c r="D6829" s="15"/>
      <c r="E6829" s="18"/>
    </row>
    <row r="6830" spans="2:5" x14ac:dyDescent="0.4">
      <c r="B6830" s="17"/>
      <c r="C6830" s="15"/>
      <c r="D6830" s="15"/>
      <c r="E6830" s="18"/>
    </row>
    <row r="6831" spans="2:5" x14ac:dyDescent="0.4">
      <c r="B6831" s="17"/>
      <c r="C6831" s="15"/>
      <c r="D6831" s="15"/>
      <c r="E6831" s="18"/>
    </row>
    <row r="6832" spans="2:5" x14ac:dyDescent="0.4">
      <c r="B6832" s="17"/>
      <c r="C6832" s="15"/>
      <c r="D6832" s="15"/>
      <c r="E6832" s="18"/>
    </row>
    <row r="6833" spans="2:5" x14ac:dyDescent="0.4">
      <c r="B6833" s="17"/>
      <c r="C6833" s="15"/>
      <c r="D6833" s="15"/>
      <c r="E6833" s="18"/>
    </row>
    <row r="6834" spans="2:5" x14ac:dyDescent="0.4">
      <c r="B6834" s="17"/>
      <c r="C6834" s="15"/>
      <c r="D6834" s="15"/>
      <c r="E6834" s="18"/>
    </row>
    <row r="6835" spans="2:5" x14ac:dyDescent="0.4">
      <c r="B6835" s="17"/>
      <c r="C6835" s="15"/>
      <c r="D6835" s="15"/>
      <c r="E6835" s="18"/>
    </row>
    <row r="6836" spans="2:5" x14ac:dyDescent="0.4">
      <c r="B6836" s="17"/>
      <c r="C6836" s="15"/>
      <c r="D6836" s="15"/>
      <c r="E6836" s="18"/>
    </row>
    <row r="6837" spans="2:5" x14ac:dyDescent="0.4">
      <c r="B6837" s="17"/>
      <c r="C6837" s="15"/>
      <c r="D6837" s="15"/>
      <c r="E6837" s="18"/>
    </row>
    <row r="6838" spans="2:5" x14ac:dyDescent="0.4">
      <c r="B6838" s="17"/>
      <c r="C6838" s="15"/>
      <c r="D6838" s="15"/>
      <c r="E6838" s="18"/>
    </row>
    <row r="6839" spans="2:5" x14ac:dyDescent="0.4">
      <c r="B6839" s="17"/>
      <c r="C6839" s="15"/>
      <c r="D6839" s="15"/>
      <c r="E6839" s="18"/>
    </row>
    <row r="6840" spans="2:5" x14ac:dyDescent="0.4">
      <c r="B6840" s="17"/>
      <c r="C6840" s="15"/>
      <c r="D6840" s="15"/>
      <c r="E6840" s="18"/>
    </row>
    <row r="6841" spans="2:5" x14ac:dyDescent="0.4">
      <c r="B6841" s="17"/>
      <c r="C6841" s="15"/>
      <c r="D6841" s="15"/>
      <c r="E6841" s="18"/>
    </row>
    <row r="6842" spans="2:5" x14ac:dyDescent="0.4">
      <c r="B6842" s="17"/>
      <c r="C6842" s="15"/>
      <c r="D6842" s="15"/>
      <c r="E6842" s="18"/>
    </row>
    <row r="6843" spans="2:5" x14ac:dyDescent="0.4">
      <c r="B6843" s="17"/>
      <c r="C6843" s="15"/>
      <c r="D6843" s="15"/>
      <c r="E6843" s="18"/>
    </row>
    <row r="6844" spans="2:5" x14ac:dyDescent="0.4">
      <c r="B6844" s="17"/>
      <c r="C6844" s="15"/>
      <c r="D6844" s="15"/>
      <c r="E6844" s="18"/>
    </row>
    <row r="6845" spans="2:5" x14ac:dyDescent="0.4">
      <c r="B6845" s="17"/>
      <c r="C6845" s="15"/>
      <c r="D6845" s="15"/>
      <c r="E6845" s="18"/>
    </row>
    <row r="6846" spans="2:5" x14ac:dyDescent="0.4">
      <c r="B6846" s="17"/>
      <c r="C6846" s="15"/>
      <c r="D6846" s="15"/>
      <c r="E6846" s="18"/>
    </row>
    <row r="6847" spans="2:5" x14ac:dyDescent="0.4">
      <c r="B6847" s="17"/>
      <c r="C6847" s="15"/>
      <c r="D6847" s="15"/>
      <c r="E6847" s="18"/>
    </row>
    <row r="6848" spans="2:5" x14ac:dyDescent="0.4">
      <c r="B6848" s="17"/>
      <c r="C6848" s="15"/>
      <c r="D6848" s="15"/>
      <c r="E6848" s="18"/>
    </row>
    <row r="6849" spans="2:5" x14ac:dyDescent="0.4">
      <c r="B6849" s="17"/>
      <c r="C6849" s="15"/>
      <c r="D6849" s="15"/>
      <c r="E6849" s="18"/>
    </row>
    <row r="6850" spans="2:5" x14ac:dyDescent="0.4">
      <c r="B6850" s="17"/>
      <c r="C6850" s="15"/>
      <c r="D6850" s="15"/>
      <c r="E6850" s="18"/>
    </row>
    <row r="6851" spans="2:5" x14ac:dyDescent="0.4">
      <c r="B6851" s="17"/>
      <c r="C6851" s="15"/>
      <c r="D6851" s="15"/>
      <c r="E6851" s="18"/>
    </row>
    <row r="6852" spans="2:5" x14ac:dyDescent="0.4">
      <c r="B6852" s="17"/>
      <c r="C6852" s="15"/>
      <c r="D6852" s="15"/>
      <c r="E6852" s="18"/>
    </row>
    <row r="6853" spans="2:5" x14ac:dyDescent="0.4">
      <c r="B6853" s="17"/>
      <c r="C6853" s="15"/>
      <c r="D6853" s="15"/>
      <c r="E6853" s="18"/>
    </row>
    <row r="6854" spans="2:5" x14ac:dyDescent="0.4">
      <c r="B6854" s="17"/>
      <c r="C6854" s="15"/>
      <c r="D6854" s="15"/>
      <c r="E6854" s="18"/>
    </row>
    <row r="6855" spans="2:5" x14ac:dyDescent="0.4">
      <c r="B6855" s="17"/>
      <c r="C6855" s="15"/>
      <c r="D6855" s="15"/>
      <c r="E6855" s="18"/>
    </row>
    <row r="6856" spans="2:5" x14ac:dyDescent="0.4">
      <c r="B6856" s="17"/>
      <c r="C6856" s="15"/>
      <c r="D6856" s="15"/>
      <c r="E6856" s="18"/>
    </row>
    <row r="6857" spans="2:5" x14ac:dyDescent="0.4">
      <c r="B6857" s="17"/>
      <c r="C6857" s="15"/>
      <c r="D6857" s="15"/>
      <c r="E6857" s="18"/>
    </row>
    <row r="6858" spans="2:5" x14ac:dyDescent="0.4">
      <c r="B6858" s="17"/>
      <c r="C6858" s="15"/>
      <c r="D6858" s="15"/>
      <c r="E6858" s="18"/>
    </row>
    <row r="6859" spans="2:5" x14ac:dyDescent="0.4">
      <c r="B6859" s="17"/>
      <c r="C6859" s="15"/>
      <c r="D6859" s="15"/>
      <c r="E6859" s="18"/>
    </row>
    <row r="6860" spans="2:5" x14ac:dyDescent="0.4">
      <c r="B6860" s="17"/>
      <c r="C6860" s="15"/>
      <c r="D6860" s="15"/>
      <c r="E6860" s="18"/>
    </row>
    <row r="6861" spans="2:5" x14ac:dyDescent="0.4">
      <c r="B6861" s="17"/>
      <c r="C6861" s="15"/>
      <c r="D6861" s="15"/>
      <c r="E6861" s="18"/>
    </row>
    <row r="6862" spans="2:5" x14ac:dyDescent="0.4">
      <c r="B6862" s="17"/>
      <c r="C6862" s="15"/>
      <c r="D6862" s="15"/>
      <c r="E6862" s="18"/>
    </row>
    <row r="6863" spans="2:5" x14ac:dyDescent="0.4">
      <c r="B6863" s="17"/>
      <c r="C6863" s="15"/>
      <c r="D6863" s="15"/>
      <c r="E6863" s="18"/>
    </row>
    <row r="6864" spans="2:5" x14ac:dyDescent="0.4">
      <c r="B6864" s="17"/>
      <c r="C6864" s="15"/>
      <c r="D6864" s="15"/>
      <c r="E6864" s="18"/>
    </row>
    <row r="6865" spans="2:5" x14ac:dyDescent="0.4">
      <c r="B6865" s="17"/>
      <c r="C6865" s="15"/>
      <c r="D6865" s="15"/>
      <c r="E6865" s="18"/>
    </row>
    <row r="6866" spans="2:5" x14ac:dyDescent="0.4">
      <c r="B6866" s="17"/>
      <c r="C6866" s="15"/>
      <c r="D6866" s="15"/>
      <c r="E6866" s="18"/>
    </row>
    <row r="6867" spans="2:5" x14ac:dyDescent="0.4">
      <c r="B6867" s="17"/>
      <c r="C6867" s="15"/>
      <c r="D6867" s="15"/>
      <c r="E6867" s="18"/>
    </row>
    <row r="6868" spans="2:5" x14ac:dyDescent="0.4">
      <c r="B6868" s="17"/>
      <c r="C6868" s="15"/>
      <c r="D6868" s="15"/>
      <c r="E6868" s="18"/>
    </row>
    <row r="6869" spans="2:5" x14ac:dyDescent="0.4">
      <c r="B6869" s="17"/>
      <c r="C6869" s="15"/>
      <c r="D6869" s="15"/>
      <c r="E6869" s="18"/>
    </row>
    <row r="6870" spans="2:5" x14ac:dyDescent="0.4">
      <c r="B6870" s="17"/>
      <c r="C6870" s="15"/>
      <c r="D6870" s="15"/>
      <c r="E6870" s="18"/>
    </row>
    <row r="6871" spans="2:5" x14ac:dyDescent="0.4">
      <c r="B6871" s="17"/>
      <c r="C6871" s="15"/>
      <c r="D6871" s="15"/>
      <c r="E6871" s="18"/>
    </row>
    <row r="6872" spans="2:5" x14ac:dyDescent="0.4">
      <c r="B6872" s="17"/>
      <c r="C6872" s="15"/>
      <c r="D6872" s="15"/>
      <c r="E6872" s="18"/>
    </row>
    <row r="6873" spans="2:5" x14ac:dyDescent="0.4">
      <c r="B6873" s="17"/>
      <c r="C6873" s="15"/>
      <c r="D6873" s="15"/>
      <c r="E6873" s="18"/>
    </row>
    <row r="6874" spans="2:5" x14ac:dyDescent="0.4">
      <c r="B6874" s="17"/>
      <c r="C6874" s="15"/>
      <c r="D6874" s="15"/>
      <c r="E6874" s="18"/>
    </row>
    <row r="6875" spans="2:5" x14ac:dyDescent="0.4">
      <c r="B6875" s="17"/>
      <c r="C6875" s="15"/>
      <c r="D6875" s="15"/>
      <c r="E6875" s="18"/>
    </row>
    <row r="6876" spans="2:5" x14ac:dyDescent="0.4">
      <c r="B6876" s="17"/>
      <c r="C6876" s="15"/>
      <c r="D6876" s="15"/>
      <c r="E6876" s="18"/>
    </row>
    <row r="6877" spans="2:5" x14ac:dyDescent="0.4">
      <c r="B6877" s="17"/>
      <c r="C6877" s="15"/>
      <c r="D6877" s="15"/>
      <c r="E6877" s="18"/>
    </row>
    <row r="6878" spans="2:5" x14ac:dyDescent="0.4">
      <c r="B6878" s="17"/>
      <c r="C6878" s="15"/>
      <c r="D6878" s="15"/>
      <c r="E6878" s="18"/>
    </row>
    <row r="6879" spans="2:5" x14ac:dyDescent="0.4">
      <c r="B6879" s="17"/>
      <c r="C6879" s="15"/>
      <c r="D6879" s="15"/>
      <c r="E6879" s="18"/>
    </row>
    <row r="6880" spans="2:5" x14ac:dyDescent="0.4">
      <c r="B6880" s="17"/>
      <c r="C6880" s="15"/>
      <c r="D6880" s="15"/>
      <c r="E6880" s="18"/>
    </row>
    <row r="6881" spans="2:5" x14ac:dyDescent="0.4">
      <c r="B6881" s="17"/>
      <c r="C6881" s="15"/>
      <c r="D6881" s="15"/>
      <c r="E6881" s="18"/>
    </row>
    <row r="6882" spans="2:5" x14ac:dyDescent="0.4">
      <c r="B6882" s="17"/>
      <c r="C6882" s="15"/>
      <c r="D6882" s="15"/>
      <c r="E6882" s="18"/>
    </row>
    <row r="6883" spans="2:5" x14ac:dyDescent="0.4">
      <c r="B6883" s="17"/>
      <c r="C6883" s="15"/>
      <c r="D6883" s="15"/>
      <c r="E6883" s="18"/>
    </row>
    <row r="6884" spans="2:5" x14ac:dyDescent="0.4">
      <c r="B6884" s="17"/>
      <c r="C6884" s="15"/>
      <c r="D6884" s="15"/>
      <c r="E6884" s="18"/>
    </row>
    <row r="6885" spans="2:5" x14ac:dyDescent="0.4">
      <c r="B6885" s="17"/>
      <c r="C6885" s="15"/>
      <c r="D6885" s="15"/>
      <c r="E6885" s="18"/>
    </row>
    <row r="6886" spans="2:5" x14ac:dyDescent="0.4">
      <c r="B6886" s="17"/>
      <c r="C6886" s="15"/>
      <c r="D6886" s="15"/>
      <c r="E6886" s="18"/>
    </row>
    <row r="6887" spans="2:5" x14ac:dyDescent="0.4">
      <c r="B6887" s="17"/>
      <c r="C6887" s="15"/>
      <c r="D6887" s="15"/>
      <c r="E6887" s="18"/>
    </row>
    <row r="6888" spans="2:5" x14ac:dyDescent="0.4">
      <c r="B6888" s="17"/>
      <c r="C6888" s="15"/>
      <c r="D6888" s="15"/>
      <c r="E6888" s="18"/>
    </row>
    <row r="6889" spans="2:5" x14ac:dyDescent="0.4">
      <c r="B6889" s="17"/>
      <c r="C6889" s="15"/>
      <c r="D6889" s="15"/>
      <c r="E6889" s="18"/>
    </row>
    <row r="6890" spans="2:5" x14ac:dyDescent="0.4">
      <c r="B6890" s="17"/>
      <c r="C6890" s="15"/>
      <c r="D6890" s="15"/>
      <c r="E6890" s="18"/>
    </row>
    <row r="6891" spans="2:5" x14ac:dyDescent="0.4">
      <c r="B6891" s="17"/>
      <c r="C6891" s="15"/>
      <c r="D6891" s="15"/>
      <c r="E6891" s="18"/>
    </row>
    <row r="6892" spans="2:5" x14ac:dyDescent="0.4">
      <c r="B6892" s="17"/>
      <c r="C6892" s="15"/>
      <c r="D6892" s="15"/>
      <c r="E6892" s="18"/>
    </row>
    <row r="6893" spans="2:5" x14ac:dyDescent="0.4">
      <c r="B6893" s="17"/>
      <c r="C6893" s="15"/>
      <c r="D6893" s="15"/>
      <c r="E6893" s="18"/>
    </row>
    <row r="6894" spans="2:5" x14ac:dyDescent="0.4">
      <c r="B6894" s="17"/>
      <c r="C6894" s="15"/>
      <c r="D6894" s="15"/>
      <c r="E6894" s="18"/>
    </row>
    <row r="6895" spans="2:5" x14ac:dyDescent="0.4">
      <c r="B6895" s="17"/>
      <c r="C6895" s="15"/>
      <c r="D6895" s="15"/>
      <c r="E6895" s="18"/>
    </row>
    <row r="6896" spans="2:5" x14ac:dyDescent="0.4">
      <c r="B6896" s="17"/>
      <c r="C6896" s="15"/>
      <c r="D6896" s="15"/>
      <c r="E6896" s="18"/>
    </row>
    <row r="6897" spans="2:5" x14ac:dyDescent="0.4">
      <c r="B6897" s="17"/>
      <c r="C6897" s="15"/>
      <c r="D6897" s="15"/>
      <c r="E6897" s="18"/>
    </row>
    <row r="6898" spans="2:5" x14ac:dyDescent="0.4">
      <c r="B6898" s="17"/>
      <c r="C6898" s="15"/>
      <c r="D6898" s="15"/>
      <c r="E6898" s="18"/>
    </row>
    <row r="6899" spans="2:5" x14ac:dyDescent="0.4">
      <c r="B6899" s="17"/>
      <c r="C6899" s="15"/>
      <c r="D6899" s="15"/>
      <c r="E6899" s="18"/>
    </row>
    <row r="6900" spans="2:5" x14ac:dyDescent="0.4">
      <c r="B6900" s="17"/>
      <c r="C6900" s="15"/>
      <c r="D6900" s="15"/>
      <c r="E6900" s="18"/>
    </row>
    <row r="6901" spans="2:5" x14ac:dyDescent="0.4">
      <c r="B6901" s="17"/>
      <c r="C6901" s="15"/>
      <c r="D6901" s="15"/>
      <c r="E6901" s="18"/>
    </row>
    <row r="6902" spans="2:5" x14ac:dyDescent="0.4">
      <c r="B6902" s="17"/>
      <c r="C6902" s="15"/>
      <c r="D6902" s="15"/>
      <c r="E6902" s="18"/>
    </row>
    <row r="6903" spans="2:5" x14ac:dyDescent="0.4">
      <c r="B6903" s="17"/>
      <c r="C6903" s="15"/>
      <c r="D6903" s="15"/>
      <c r="E6903" s="18"/>
    </row>
    <row r="6904" spans="2:5" x14ac:dyDescent="0.4">
      <c r="B6904" s="17"/>
      <c r="C6904" s="15"/>
      <c r="D6904" s="15"/>
      <c r="E6904" s="18"/>
    </row>
    <row r="6905" spans="2:5" x14ac:dyDescent="0.4">
      <c r="B6905" s="17"/>
      <c r="C6905" s="15"/>
      <c r="D6905" s="15"/>
      <c r="E6905" s="18"/>
    </row>
    <row r="6906" spans="2:5" x14ac:dyDescent="0.4">
      <c r="B6906" s="17"/>
      <c r="C6906" s="15"/>
      <c r="D6906" s="15"/>
      <c r="E6906" s="18"/>
    </row>
    <row r="6907" spans="2:5" x14ac:dyDescent="0.4">
      <c r="B6907" s="17"/>
      <c r="C6907" s="15"/>
      <c r="D6907" s="15"/>
      <c r="E6907" s="18"/>
    </row>
    <row r="6908" spans="2:5" x14ac:dyDescent="0.4">
      <c r="B6908" s="17"/>
      <c r="C6908" s="15"/>
      <c r="D6908" s="15"/>
      <c r="E6908" s="18"/>
    </row>
    <row r="6909" spans="2:5" x14ac:dyDescent="0.4">
      <c r="B6909" s="17"/>
      <c r="C6909" s="15"/>
      <c r="D6909" s="15"/>
      <c r="E6909" s="18"/>
    </row>
    <row r="6910" spans="2:5" x14ac:dyDescent="0.4">
      <c r="B6910" s="17"/>
      <c r="C6910" s="15"/>
      <c r="D6910" s="15"/>
      <c r="E6910" s="18"/>
    </row>
    <row r="6911" spans="2:5" x14ac:dyDescent="0.4">
      <c r="B6911" s="17"/>
      <c r="C6911" s="15"/>
      <c r="D6911" s="15"/>
      <c r="E6911" s="18"/>
    </row>
    <row r="6912" spans="2:5" x14ac:dyDescent="0.4">
      <c r="B6912" s="17"/>
      <c r="C6912" s="15"/>
      <c r="D6912" s="15"/>
      <c r="E6912" s="18"/>
    </row>
    <row r="6913" spans="2:5" x14ac:dyDescent="0.4">
      <c r="B6913" s="17"/>
      <c r="C6913" s="15"/>
      <c r="D6913" s="15"/>
      <c r="E6913" s="18"/>
    </row>
    <row r="6914" spans="2:5" x14ac:dyDescent="0.4">
      <c r="B6914" s="17"/>
      <c r="C6914" s="15"/>
      <c r="D6914" s="15"/>
      <c r="E6914" s="18"/>
    </row>
    <row r="6915" spans="2:5" x14ac:dyDescent="0.4">
      <c r="B6915" s="17"/>
      <c r="C6915" s="15"/>
      <c r="D6915" s="15"/>
      <c r="E6915" s="18"/>
    </row>
    <row r="6916" spans="2:5" x14ac:dyDescent="0.4">
      <c r="B6916" s="17"/>
      <c r="C6916" s="15"/>
      <c r="D6916" s="15"/>
      <c r="E6916" s="18"/>
    </row>
    <row r="6917" spans="2:5" x14ac:dyDescent="0.4">
      <c r="B6917" s="17"/>
      <c r="C6917" s="15"/>
      <c r="D6917" s="15"/>
      <c r="E6917" s="18"/>
    </row>
    <row r="6918" spans="2:5" x14ac:dyDescent="0.4">
      <c r="B6918" s="17"/>
      <c r="C6918" s="15"/>
      <c r="D6918" s="15"/>
      <c r="E6918" s="18"/>
    </row>
    <row r="6919" spans="2:5" x14ac:dyDescent="0.4">
      <c r="B6919" s="17"/>
      <c r="C6919" s="15"/>
      <c r="D6919" s="15"/>
      <c r="E6919" s="18"/>
    </row>
    <row r="6920" spans="2:5" x14ac:dyDescent="0.4">
      <c r="B6920" s="17"/>
      <c r="C6920" s="15"/>
      <c r="D6920" s="15"/>
      <c r="E6920" s="18"/>
    </row>
    <row r="6921" spans="2:5" x14ac:dyDescent="0.4">
      <c r="B6921" s="17"/>
      <c r="C6921" s="15"/>
      <c r="D6921" s="15"/>
      <c r="E6921" s="18"/>
    </row>
    <row r="6922" spans="2:5" x14ac:dyDescent="0.4">
      <c r="B6922" s="17"/>
      <c r="C6922" s="15"/>
      <c r="D6922" s="15"/>
      <c r="E6922" s="18"/>
    </row>
    <row r="6923" spans="2:5" x14ac:dyDescent="0.4">
      <c r="B6923" s="17"/>
      <c r="C6923" s="15"/>
      <c r="D6923" s="15"/>
      <c r="E6923" s="18"/>
    </row>
    <row r="6924" spans="2:5" x14ac:dyDescent="0.4">
      <c r="B6924" s="17"/>
      <c r="C6924" s="15"/>
      <c r="D6924" s="15"/>
      <c r="E6924" s="18"/>
    </row>
    <row r="6925" spans="2:5" x14ac:dyDescent="0.4">
      <c r="B6925" s="17"/>
      <c r="C6925" s="15"/>
      <c r="D6925" s="15"/>
      <c r="E6925" s="18"/>
    </row>
    <row r="6926" spans="2:5" x14ac:dyDescent="0.4">
      <c r="B6926" s="17"/>
      <c r="C6926" s="15"/>
      <c r="D6926" s="15"/>
      <c r="E6926" s="18"/>
    </row>
    <row r="6927" spans="2:5" x14ac:dyDescent="0.4">
      <c r="B6927" s="17"/>
      <c r="C6927" s="15"/>
      <c r="D6927" s="15"/>
      <c r="E6927" s="18"/>
    </row>
    <row r="6928" spans="2:5" x14ac:dyDescent="0.4">
      <c r="B6928" s="17"/>
      <c r="C6928" s="15"/>
      <c r="D6928" s="15"/>
      <c r="E6928" s="18"/>
    </row>
    <row r="6929" spans="2:5" x14ac:dyDescent="0.4">
      <c r="B6929" s="17"/>
      <c r="C6929" s="15"/>
      <c r="D6929" s="15"/>
      <c r="E6929" s="18"/>
    </row>
    <row r="6930" spans="2:5" x14ac:dyDescent="0.4">
      <c r="B6930" s="17"/>
      <c r="C6930" s="15"/>
      <c r="D6930" s="15"/>
      <c r="E6930" s="18"/>
    </row>
    <row r="6931" spans="2:5" x14ac:dyDescent="0.4">
      <c r="B6931" s="17"/>
      <c r="C6931" s="15"/>
      <c r="D6931" s="15"/>
      <c r="E6931" s="18"/>
    </row>
    <row r="6932" spans="2:5" x14ac:dyDescent="0.4">
      <c r="B6932" s="17"/>
      <c r="C6932" s="15"/>
      <c r="D6932" s="15"/>
      <c r="E6932" s="18"/>
    </row>
    <row r="6933" spans="2:5" x14ac:dyDescent="0.4">
      <c r="B6933" s="17"/>
      <c r="C6933" s="15"/>
      <c r="D6933" s="15"/>
      <c r="E6933" s="18"/>
    </row>
    <row r="6934" spans="2:5" x14ac:dyDescent="0.4">
      <c r="B6934" s="17"/>
      <c r="C6934" s="15"/>
      <c r="D6934" s="15"/>
      <c r="E6934" s="18"/>
    </row>
    <row r="6935" spans="2:5" x14ac:dyDescent="0.4">
      <c r="B6935" s="17"/>
      <c r="C6935" s="15"/>
      <c r="D6935" s="15"/>
      <c r="E6935" s="18"/>
    </row>
    <row r="6936" spans="2:5" x14ac:dyDescent="0.4">
      <c r="B6936" s="17"/>
      <c r="C6936" s="15"/>
      <c r="D6936" s="15"/>
      <c r="E6936" s="18"/>
    </row>
    <row r="6937" spans="2:5" x14ac:dyDescent="0.4">
      <c r="B6937" s="17"/>
      <c r="C6937" s="15"/>
      <c r="D6937" s="15"/>
      <c r="E6937" s="18"/>
    </row>
    <row r="6938" spans="2:5" x14ac:dyDescent="0.4">
      <c r="B6938" s="17"/>
      <c r="C6938" s="15"/>
      <c r="D6938" s="15"/>
      <c r="E6938" s="18"/>
    </row>
    <row r="6939" spans="2:5" x14ac:dyDescent="0.4">
      <c r="B6939" s="17"/>
      <c r="C6939" s="15"/>
      <c r="D6939" s="15"/>
      <c r="E6939" s="18"/>
    </row>
    <row r="6940" spans="2:5" x14ac:dyDescent="0.4">
      <c r="B6940" s="17"/>
      <c r="C6940" s="15"/>
      <c r="D6940" s="15"/>
      <c r="E6940" s="18"/>
    </row>
    <row r="6941" spans="2:5" x14ac:dyDescent="0.4">
      <c r="B6941" s="17"/>
      <c r="C6941" s="15"/>
      <c r="D6941" s="15"/>
      <c r="E6941" s="18"/>
    </row>
    <row r="6942" spans="2:5" x14ac:dyDescent="0.4">
      <c r="B6942" s="17"/>
      <c r="C6942" s="15"/>
      <c r="D6942" s="15"/>
      <c r="E6942" s="18"/>
    </row>
    <row r="6943" spans="2:5" x14ac:dyDescent="0.4">
      <c r="B6943" s="17"/>
      <c r="C6943" s="15"/>
      <c r="D6943" s="15"/>
      <c r="E6943" s="18"/>
    </row>
    <row r="6944" spans="2:5" x14ac:dyDescent="0.4">
      <c r="B6944" s="17"/>
      <c r="C6944" s="15"/>
      <c r="D6944" s="15"/>
      <c r="E6944" s="18"/>
    </row>
    <row r="6945" spans="2:5" x14ac:dyDescent="0.4">
      <c r="B6945" s="17"/>
      <c r="C6945" s="15"/>
      <c r="D6945" s="15"/>
      <c r="E6945" s="18"/>
    </row>
    <row r="6946" spans="2:5" x14ac:dyDescent="0.4">
      <c r="B6946" s="17"/>
      <c r="C6946" s="15"/>
      <c r="D6946" s="15"/>
      <c r="E6946" s="18"/>
    </row>
    <row r="6947" spans="2:5" x14ac:dyDescent="0.4">
      <c r="B6947" s="17"/>
      <c r="C6947" s="15"/>
      <c r="D6947" s="15"/>
      <c r="E6947" s="18"/>
    </row>
    <row r="6948" spans="2:5" x14ac:dyDescent="0.4">
      <c r="B6948" s="17"/>
      <c r="C6948" s="15"/>
      <c r="D6948" s="15"/>
      <c r="E6948" s="18"/>
    </row>
    <row r="6949" spans="2:5" x14ac:dyDescent="0.4">
      <c r="B6949" s="17"/>
      <c r="C6949" s="15"/>
      <c r="D6949" s="15"/>
      <c r="E6949" s="18"/>
    </row>
    <row r="6950" spans="2:5" x14ac:dyDescent="0.4">
      <c r="B6950" s="17"/>
      <c r="C6950" s="15"/>
      <c r="D6950" s="15"/>
      <c r="E6950" s="18"/>
    </row>
    <row r="6951" spans="2:5" x14ac:dyDescent="0.4">
      <c r="B6951" s="17"/>
      <c r="C6951" s="15"/>
      <c r="D6951" s="15"/>
      <c r="E6951" s="18"/>
    </row>
    <row r="6952" spans="2:5" x14ac:dyDescent="0.4">
      <c r="B6952" s="17"/>
      <c r="C6952" s="15"/>
      <c r="D6952" s="15"/>
      <c r="E6952" s="18"/>
    </row>
    <row r="6953" spans="2:5" x14ac:dyDescent="0.4">
      <c r="B6953" s="17"/>
      <c r="C6953" s="15"/>
      <c r="D6953" s="15"/>
      <c r="E6953" s="18"/>
    </row>
    <row r="6954" spans="2:5" x14ac:dyDescent="0.4">
      <c r="B6954" s="17"/>
      <c r="C6954" s="15"/>
      <c r="D6954" s="15"/>
      <c r="E6954" s="18"/>
    </row>
    <row r="6955" spans="2:5" x14ac:dyDescent="0.4">
      <c r="B6955" s="17"/>
      <c r="C6955" s="15"/>
      <c r="D6955" s="15"/>
      <c r="E6955" s="18"/>
    </row>
    <row r="6956" spans="2:5" x14ac:dyDescent="0.4">
      <c r="B6956" s="17"/>
      <c r="C6956" s="15"/>
      <c r="D6956" s="15"/>
      <c r="E6956" s="18"/>
    </row>
    <row r="6957" spans="2:5" x14ac:dyDescent="0.4">
      <c r="B6957" s="17"/>
      <c r="C6957" s="15"/>
      <c r="D6957" s="15"/>
      <c r="E6957" s="18"/>
    </row>
    <row r="6958" spans="2:5" x14ac:dyDescent="0.4">
      <c r="B6958" s="17"/>
      <c r="C6958" s="15"/>
      <c r="D6958" s="15"/>
      <c r="E6958" s="18"/>
    </row>
    <row r="6959" spans="2:5" x14ac:dyDescent="0.4">
      <c r="B6959" s="17"/>
      <c r="C6959" s="15"/>
      <c r="D6959" s="15"/>
      <c r="E6959" s="18"/>
    </row>
    <row r="6960" spans="2:5" x14ac:dyDescent="0.4">
      <c r="B6960" s="17"/>
      <c r="C6960" s="15"/>
      <c r="D6960" s="15"/>
      <c r="E6960" s="18"/>
    </row>
    <row r="6961" spans="2:5" x14ac:dyDescent="0.4">
      <c r="B6961" s="17"/>
      <c r="C6961" s="15"/>
      <c r="D6961" s="15"/>
      <c r="E6961" s="18"/>
    </row>
    <row r="6962" spans="2:5" x14ac:dyDescent="0.4">
      <c r="B6962" s="17"/>
      <c r="C6962" s="15"/>
      <c r="D6962" s="15"/>
      <c r="E6962" s="18"/>
    </row>
    <row r="6963" spans="2:5" x14ac:dyDescent="0.4">
      <c r="B6963" s="17"/>
      <c r="C6963" s="15"/>
      <c r="D6963" s="15"/>
      <c r="E6963" s="18"/>
    </row>
    <row r="6964" spans="2:5" x14ac:dyDescent="0.4">
      <c r="B6964" s="17"/>
      <c r="C6964" s="15"/>
      <c r="D6964" s="15"/>
      <c r="E6964" s="18"/>
    </row>
    <row r="6965" spans="2:5" x14ac:dyDescent="0.4">
      <c r="B6965" s="17"/>
      <c r="C6965" s="15"/>
      <c r="D6965" s="15"/>
      <c r="E6965" s="18"/>
    </row>
    <row r="6966" spans="2:5" x14ac:dyDescent="0.4">
      <c r="B6966" s="17"/>
      <c r="C6966" s="15"/>
      <c r="D6966" s="15"/>
      <c r="E6966" s="18"/>
    </row>
    <row r="6967" spans="2:5" x14ac:dyDescent="0.4">
      <c r="B6967" s="17"/>
      <c r="C6967" s="15"/>
      <c r="D6967" s="15"/>
      <c r="E6967" s="18"/>
    </row>
    <row r="6968" spans="2:5" x14ac:dyDescent="0.4">
      <c r="B6968" s="17"/>
      <c r="C6968" s="15"/>
      <c r="D6968" s="15"/>
      <c r="E6968" s="18"/>
    </row>
    <row r="6969" spans="2:5" x14ac:dyDescent="0.4">
      <c r="B6969" s="17"/>
      <c r="C6969" s="15"/>
      <c r="D6969" s="15"/>
      <c r="E6969" s="18"/>
    </row>
    <row r="6970" spans="2:5" x14ac:dyDescent="0.4">
      <c r="B6970" s="17"/>
      <c r="C6970" s="15"/>
      <c r="D6970" s="15"/>
      <c r="E6970" s="18"/>
    </row>
    <row r="6971" spans="2:5" x14ac:dyDescent="0.4">
      <c r="B6971" s="17"/>
      <c r="C6971" s="15"/>
      <c r="D6971" s="15"/>
      <c r="E6971" s="18"/>
    </row>
    <row r="6972" spans="2:5" x14ac:dyDescent="0.4">
      <c r="B6972" s="17"/>
      <c r="C6972" s="15"/>
      <c r="D6972" s="15"/>
      <c r="E6972" s="18"/>
    </row>
    <row r="6973" spans="2:5" x14ac:dyDescent="0.4">
      <c r="B6973" s="17"/>
      <c r="C6973" s="15"/>
      <c r="D6973" s="15"/>
      <c r="E6973" s="18"/>
    </row>
    <row r="6974" spans="2:5" x14ac:dyDescent="0.4">
      <c r="B6974" s="17"/>
      <c r="C6974" s="15"/>
      <c r="D6974" s="15"/>
      <c r="E6974" s="18"/>
    </row>
    <row r="6975" spans="2:5" x14ac:dyDescent="0.4">
      <c r="B6975" s="17"/>
      <c r="C6975" s="15"/>
      <c r="D6975" s="15"/>
      <c r="E6975" s="18"/>
    </row>
    <row r="6976" spans="2:5" x14ac:dyDescent="0.4">
      <c r="B6976" s="17"/>
      <c r="C6976" s="15"/>
      <c r="D6976" s="15"/>
      <c r="E6976" s="18"/>
    </row>
    <row r="6977" spans="2:5" x14ac:dyDescent="0.4">
      <c r="B6977" s="17"/>
      <c r="C6977" s="15"/>
      <c r="D6977" s="15"/>
      <c r="E6977" s="18"/>
    </row>
    <row r="6978" spans="2:5" x14ac:dyDescent="0.4">
      <c r="B6978" s="17"/>
      <c r="C6978" s="15"/>
      <c r="D6978" s="15"/>
      <c r="E6978" s="18"/>
    </row>
    <row r="6979" spans="2:5" x14ac:dyDescent="0.4">
      <c r="B6979" s="17"/>
      <c r="C6979" s="15"/>
      <c r="D6979" s="15"/>
      <c r="E6979" s="18"/>
    </row>
    <row r="6980" spans="2:5" x14ac:dyDescent="0.4">
      <c r="B6980" s="17"/>
      <c r="C6980" s="15"/>
      <c r="D6980" s="15"/>
      <c r="E6980" s="18"/>
    </row>
    <row r="6981" spans="2:5" x14ac:dyDescent="0.4">
      <c r="B6981" s="17"/>
      <c r="C6981" s="15"/>
      <c r="D6981" s="15"/>
      <c r="E6981" s="18"/>
    </row>
    <row r="6982" spans="2:5" x14ac:dyDescent="0.4">
      <c r="B6982" s="17"/>
      <c r="C6982" s="15"/>
      <c r="D6982" s="15"/>
      <c r="E6982" s="18"/>
    </row>
    <row r="6983" spans="2:5" x14ac:dyDescent="0.4">
      <c r="B6983" s="17"/>
      <c r="C6983" s="15"/>
      <c r="D6983" s="15"/>
      <c r="E6983" s="18"/>
    </row>
    <row r="6984" spans="2:5" x14ac:dyDescent="0.4">
      <c r="B6984" s="17"/>
      <c r="C6984" s="15"/>
      <c r="D6984" s="15"/>
      <c r="E6984" s="18"/>
    </row>
    <row r="6985" spans="2:5" x14ac:dyDescent="0.4">
      <c r="B6985" s="17"/>
      <c r="C6985" s="15"/>
      <c r="D6985" s="15"/>
      <c r="E6985" s="18"/>
    </row>
    <row r="6986" spans="2:5" x14ac:dyDescent="0.4">
      <c r="B6986" s="17"/>
      <c r="C6986" s="15"/>
      <c r="D6986" s="15"/>
      <c r="E6986" s="18"/>
    </row>
    <row r="6987" spans="2:5" x14ac:dyDescent="0.4">
      <c r="B6987" s="17"/>
      <c r="C6987" s="15"/>
      <c r="D6987" s="15"/>
      <c r="E6987" s="18"/>
    </row>
    <row r="6988" spans="2:5" x14ac:dyDescent="0.4">
      <c r="B6988" s="17"/>
      <c r="C6988" s="15"/>
      <c r="D6988" s="15"/>
      <c r="E6988" s="18"/>
    </row>
    <row r="6989" spans="2:5" x14ac:dyDescent="0.4">
      <c r="B6989" s="17"/>
      <c r="C6989" s="15"/>
      <c r="D6989" s="15"/>
      <c r="E6989" s="18"/>
    </row>
    <row r="6990" spans="2:5" x14ac:dyDescent="0.4">
      <c r="B6990" s="17"/>
      <c r="C6990" s="15"/>
      <c r="D6990" s="15"/>
      <c r="E6990" s="18"/>
    </row>
    <row r="6991" spans="2:5" x14ac:dyDescent="0.4">
      <c r="B6991" s="17"/>
      <c r="C6991" s="15"/>
      <c r="D6991" s="15"/>
      <c r="E6991" s="18"/>
    </row>
    <row r="6992" spans="2:5" x14ac:dyDescent="0.4">
      <c r="B6992" s="17"/>
      <c r="C6992" s="15"/>
      <c r="D6992" s="15"/>
      <c r="E6992" s="18"/>
    </row>
    <row r="6993" spans="2:5" x14ac:dyDescent="0.4">
      <c r="B6993" s="17"/>
      <c r="C6993" s="15"/>
      <c r="D6993" s="15"/>
      <c r="E6993" s="18"/>
    </row>
    <row r="6994" spans="2:5" x14ac:dyDescent="0.4">
      <c r="B6994" s="17"/>
      <c r="C6994" s="15"/>
      <c r="D6994" s="15"/>
      <c r="E6994" s="18"/>
    </row>
    <row r="6995" spans="2:5" x14ac:dyDescent="0.4">
      <c r="B6995" s="17"/>
      <c r="C6995" s="15"/>
      <c r="D6995" s="15"/>
      <c r="E6995" s="18"/>
    </row>
    <row r="6996" spans="2:5" x14ac:dyDescent="0.4">
      <c r="B6996" s="17"/>
      <c r="C6996" s="15"/>
      <c r="D6996" s="15"/>
      <c r="E6996" s="18"/>
    </row>
    <row r="6997" spans="2:5" x14ac:dyDescent="0.4">
      <c r="B6997" s="17"/>
      <c r="C6997" s="15"/>
      <c r="D6997" s="15"/>
      <c r="E6997" s="18"/>
    </row>
    <row r="6998" spans="2:5" x14ac:dyDescent="0.4">
      <c r="B6998" s="17"/>
      <c r="C6998" s="15"/>
      <c r="D6998" s="15"/>
      <c r="E6998" s="18"/>
    </row>
    <row r="6999" spans="2:5" x14ac:dyDescent="0.4">
      <c r="B6999" s="17"/>
      <c r="C6999" s="15"/>
      <c r="D6999" s="15"/>
      <c r="E6999" s="18"/>
    </row>
    <row r="7000" spans="2:5" x14ac:dyDescent="0.4">
      <c r="B7000" s="17"/>
      <c r="C7000" s="15"/>
      <c r="D7000" s="15"/>
      <c r="E7000" s="18"/>
    </row>
    <row r="7001" spans="2:5" x14ac:dyDescent="0.4">
      <c r="B7001" s="17"/>
      <c r="C7001" s="15"/>
      <c r="D7001" s="15"/>
      <c r="E7001" s="18"/>
    </row>
    <row r="7002" spans="2:5" x14ac:dyDescent="0.4">
      <c r="B7002" s="17"/>
      <c r="C7002" s="15"/>
      <c r="D7002" s="15"/>
      <c r="E7002" s="18"/>
    </row>
    <row r="7003" spans="2:5" x14ac:dyDescent="0.4">
      <c r="B7003" s="17"/>
      <c r="C7003" s="15"/>
      <c r="D7003" s="15"/>
      <c r="E7003" s="18"/>
    </row>
    <row r="7004" spans="2:5" x14ac:dyDescent="0.4">
      <c r="B7004" s="17"/>
      <c r="C7004" s="15"/>
      <c r="D7004" s="15"/>
      <c r="E7004" s="18"/>
    </row>
    <row r="7005" spans="2:5" x14ac:dyDescent="0.4">
      <c r="B7005" s="17"/>
      <c r="C7005" s="15"/>
      <c r="D7005" s="15"/>
      <c r="E7005" s="18"/>
    </row>
    <row r="7006" spans="2:5" x14ac:dyDescent="0.4">
      <c r="B7006" s="17"/>
      <c r="C7006" s="15"/>
      <c r="D7006" s="15"/>
      <c r="E7006" s="18"/>
    </row>
    <row r="7007" spans="2:5" x14ac:dyDescent="0.4">
      <c r="B7007" s="17"/>
      <c r="C7007" s="15"/>
      <c r="D7007" s="15"/>
      <c r="E7007" s="18"/>
    </row>
    <row r="7008" spans="2:5" x14ac:dyDescent="0.4">
      <c r="B7008" s="17"/>
      <c r="C7008" s="15"/>
      <c r="D7008" s="15"/>
      <c r="E7008" s="18"/>
    </row>
    <row r="7009" spans="2:5" x14ac:dyDescent="0.4">
      <c r="B7009" s="17"/>
      <c r="C7009" s="15"/>
      <c r="D7009" s="15"/>
      <c r="E7009" s="18"/>
    </row>
    <row r="7010" spans="2:5" x14ac:dyDescent="0.4">
      <c r="B7010" s="17"/>
      <c r="C7010" s="15"/>
      <c r="D7010" s="15"/>
      <c r="E7010" s="18"/>
    </row>
    <row r="7011" spans="2:5" x14ac:dyDescent="0.4">
      <c r="B7011" s="17"/>
      <c r="C7011" s="15"/>
      <c r="D7011" s="15"/>
      <c r="E7011" s="18"/>
    </row>
    <row r="7012" spans="2:5" x14ac:dyDescent="0.4">
      <c r="B7012" s="17"/>
      <c r="C7012" s="15"/>
      <c r="D7012" s="15"/>
      <c r="E7012" s="18"/>
    </row>
    <row r="7013" spans="2:5" x14ac:dyDescent="0.4">
      <c r="B7013" s="17"/>
      <c r="C7013" s="15"/>
      <c r="D7013" s="15"/>
      <c r="E7013" s="18"/>
    </row>
    <row r="7014" spans="2:5" x14ac:dyDescent="0.4">
      <c r="B7014" s="17"/>
      <c r="C7014" s="15"/>
      <c r="D7014" s="15"/>
      <c r="E7014" s="18"/>
    </row>
    <row r="7015" spans="2:5" x14ac:dyDescent="0.4">
      <c r="B7015" s="17"/>
      <c r="C7015" s="15"/>
      <c r="D7015" s="15"/>
      <c r="E7015" s="18"/>
    </row>
    <row r="7016" spans="2:5" x14ac:dyDescent="0.4">
      <c r="B7016" s="17"/>
      <c r="C7016" s="15"/>
      <c r="D7016" s="15"/>
      <c r="E7016" s="18"/>
    </row>
    <row r="7017" spans="2:5" x14ac:dyDescent="0.4">
      <c r="B7017" s="17"/>
      <c r="C7017" s="15"/>
      <c r="D7017" s="15"/>
      <c r="E7017" s="18"/>
    </row>
    <row r="7018" spans="2:5" x14ac:dyDescent="0.4">
      <c r="B7018" s="17"/>
      <c r="C7018" s="15"/>
      <c r="D7018" s="15"/>
      <c r="E7018" s="18"/>
    </row>
    <row r="7019" spans="2:5" x14ac:dyDescent="0.4">
      <c r="B7019" s="17"/>
      <c r="C7019" s="15"/>
      <c r="D7019" s="15"/>
      <c r="E7019" s="18"/>
    </row>
    <row r="7020" spans="2:5" x14ac:dyDescent="0.4">
      <c r="B7020" s="17"/>
      <c r="C7020" s="15"/>
      <c r="D7020" s="15"/>
      <c r="E7020" s="18"/>
    </row>
    <row r="7021" spans="2:5" x14ac:dyDescent="0.4">
      <c r="B7021" s="17"/>
      <c r="C7021" s="15"/>
      <c r="D7021" s="15"/>
      <c r="E7021" s="18"/>
    </row>
    <row r="7022" spans="2:5" x14ac:dyDescent="0.4">
      <c r="B7022" s="17"/>
      <c r="C7022" s="15"/>
      <c r="D7022" s="15"/>
      <c r="E7022" s="18"/>
    </row>
    <row r="7023" spans="2:5" x14ac:dyDescent="0.4">
      <c r="B7023" s="17"/>
      <c r="C7023" s="15"/>
      <c r="D7023" s="15"/>
      <c r="E7023" s="18"/>
    </row>
    <row r="7024" spans="2:5" x14ac:dyDescent="0.4">
      <c r="B7024" s="17"/>
      <c r="C7024" s="15"/>
      <c r="D7024" s="15"/>
      <c r="E7024" s="18"/>
    </row>
    <row r="7025" spans="2:5" x14ac:dyDescent="0.4">
      <c r="B7025" s="17"/>
      <c r="C7025" s="15"/>
      <c r="D7025" s="15"/>
      <c r="E7025" s="18"/>
    </row>
    <row r="7026" spans="2:5" x14ac:dyDescent="0.4">
      <c r="B7026" s="17"/>
      <c r="C7026" s="15"/>
      <c r="D7026" s="15"/>
      <c r="E7026" s="18"/>
    </row>
    <row r="7027" spans="2:5" x14ac:dyDescent="0.4">
      <c r="B7027" s="17"/>
      <c r="C7027" s="15"/>
      <c r="D7027" s="15"/>
      <c r="E7027" s="18"/>
    </row>
    <row r="7028" spans="2:5" x14ac:dyDescent="0.4">
      <c r="B7028" s="17"/>
      <c r="C7028" s="15"/>
      <c r="D7028" s="15"/>
      <c r="E7028" s="18"/>
    </row>
    <row r="7029" spans="2:5" x14ac:dyDescent="0.4">
      <c r="B7029" s="17"/>
      <c r="C7029" s="15"/>
      <c r="D7029" s="15"/>
      <c r="E7029" s="18"/>
    </row>
    <row r="7030" spans="2:5" x14ac:dyDescent="0.4">
      <c r="B7030" s="17"/>
      <c r="C7030" s="15"/>
      <c r="D7030" s="15"/>
      <c r="E7030" s="18"/>
    </row>
    <row r="7031" spans="2:5" x14ac:dyDescent="0.4">
      <c r="B7031" s="17"/>
      <c r="C7031" s="15"/>
      <c r="D7031" s="15"/>
      <c r="E7031" s="18"/>
    </row>
    <row r="7032" spans="2:5" x14ac:dyDescent="0.4">
      <c r="B7032" s="17"/>
      <c r="C7032" s="15"/>
      <c r="D7032" s="15"/>
      <c r="E7032" s="18"/>
    </row>
    <row r="7033" spans="2:5" x14ac:dyDescent="0.4">
      <c r="B7033" s="17"/>
      <c r="C7033" s="15"/>
      <c r="D7033" s="15"/>
      <c r="E7033" s="18"/>
    </row>
    <row r="7034" spans="2:5" x14ac:dyDescent="0.4">
      <c r="B7034" s="17"/>
      <c r="C7034" s="15"/>
      <c r="D7034" s="15"/>
      <c r="E7034" s="18"/>
    </row>
    <row r="7035" spans="2:5" x14ac:dyDescent="0.4">
      <c r="B7035" s="17"/>
      <c r="C7035" s="15"/>
      <c r="D7035" s="15"/>
      <c r="E7035" s="18"/>
    </row>
    <row r="7036" spans="2:5" x14ac:dyDescent="0.4">
      <c r="B7036" s="17"/>
      <c r="C7036" s="15"/>
      <c r="D7036" s="15"/>
      <c r="E7036" s="18"/>
    </row>
    <row r="7037" spans="2:5" x14ac:dyDescent="0.4">
      <c r="B7037" s="17"/>
      <c r="C7037" s="15"/>
      <c r="D7037" s="15"/>
      <c r="E7037" s="18"/>
    </row>
    <row r="7038" spans="2:5" x14ac:dyDescent="0.4">
      <c r="B7038" s="17"/>
      <c r="C7038" s="15"/>
      <c r="D7038" s="15"/>
      <c r="E7038" s="18"/>
    </row>
    <row r="7039" spans="2:5" x14ac:dyDescent="0.4">
      <c r="B7039" s="17"/>
      <c r="C7039" s="15"/>
      <c r="D7039" s="15"/>
      <c r="E7039" s="18"/>
    </row>
    <row r="7040" spans="2:5" x14ac:dyDescent="0.4">
      <c r="B7040" s="17"/>
      <c r="C7040" s="15"/>
      <c r="D7040" s="15"/>
      <c r="E7040" s="18"/>
    </row>
    <row r="7041" spans="2:5" x14ac:dyDescent="0.4">
      <c r="B7041" s="17"/>
      <c r="C7041" s="15"/>
      <c r="D7041" s="15"/>
      <c r="E7041" s="18"/>
    </row>
    <row r="7042" spans="2:5" x14ac:dyDescent="0.4">
      <c r="B7042" s="17"/>
      <c r="C7042" s="15"/>
      <c r="D7042" s="15"/>
      <c r="E7042" s="18"/>
    </row>
    <row r="7043" spans="2:5" x14ac:dyDescent="0.4">
      <c r="B7043" s="17"/>
      <c r="C7043" s="15"/>
      <c r="D7043" s="15"/>
      <c r="E7043" s="18"/>
    </row>
    <row r="7044" spans="2:5" x14ac:dyDescent="0.4">
      <c r="B7044" s="17"/>
      <c r="C7044" s="15"/>
      <c r="D7044" s="15"/>
      <c r="E7044" s="18"/>
    </row>
    <row r="7045" spans="2:5" x14ac:dyDescent="0.4">
      <c r="B7045" s="17"/>
      <c r="C7045" s="15"/>
      <c r="D7045" s="15"/>
      <c r="E7045" s="18"/>
    </row>
    <row r="7046" spans="2:5" x14ac:dyDescent="0.4">
      <c r="B7046" s="17"/>
      <c r="C7046" s="15"/>
      <c r="D7046" s="15"/>
      <c r="E7046" s="18"/>
    </row>
    <row r="7047" spans="2:5" x14ac:dyDescent="0.4">
      <c r="B7047" s="17"/>
      <c r="C7047" s="15"/>
      <c r="D7047" s="15"/>
      <c r="E7047" s="18"/>
    </row>
    <row r="7048" spans="2:5" x14ac:dyDescent="0.4">
      <c r="B7048" s="17"/>
      <c r="C7048" s="15"/>
      <c r="D7048" s="15"/>
      <c r="E7048" s="18"/>
    </row>
    <row r="7049" spans="2:5" x14ac:dyDescent="0.4">
      <c r="B7049" s="17"/>
      <c r="C7049" s="15"/>
      <c r="D7049" s="15"/>
      <c r="E7049" s="18"/>
    </row>
    <row r="7050" spans="2:5" x14ac:dyDescent="0.4">
      <c r="B7050" s="17"/>
      <c r="C7050" s="15"/>
      <c r="D7050" s="15"/>
      <c r="E7050" s="18"/>
    </row>
    <row r="7051" spans="2:5" x14ac:dyDescent="0.4">
      <c r="B7051" s="17"/>
      <c r="C7051" s="15"/>
      <c r="D7051" s="15"/>
      <c r="E7051" s="18"/>
    </row>
    <row r="7052" spans="2:5" x14ac:dyDescent="0.4">
      <c r="B7052" s="17"/>
      <c r="C7052" s="15"/>
      <c r="D7052" s="15"/>
      <c r="E7052" s="18"/>
    </row>
    <row r="7053" spans="2:5" x14ac:dyDescent="0.4">
      <c r="B7053" s="17"/>
      <c r="C7053" s="15"/>
      <c r="D7053" s="15"/>
      <c r="E7053" s="18"/>
    </row>
    <row r="7054" spans="2:5" x14ac:dyDescent="0.4">
      <c r="B7054" s="17"/>
      <c r="C7054" s="15"/>
      <c r="D7054" s="15"/>
      <c r="E7054" s="18"/>
    </row>
    <row r="7055" spans="2:5" x14ac:dyDescent="0.4">
      <c r="B7055" s="17"/>
      <c r="C7055" s="15"/>
      <c r="D7055" s="15"/>
      <c r="E7055" s="18"/>
    </row>
    <row r="7056" spans="2:5" x14ac:dyDescent="0.4">
      <c r="B7056" s="17"/>
      <c r="C7056" s="15"/>
      <c r="D7056" s="15"/>
      <c r="E7056" s="18"/>
    </row>
    <row r="7057" spans="2:5" x14ac:dyDescent="0.4">
      <c r="B7057" s="17"/>
      <c r="C7057" s="15"/>
      <c r="D7057" s="15"/>
      <c r="E7057" s="18"/>
    </row>
    <row r="7058" spans="2:5" x14ac:dyDescent="0.4">
      <c r="B7058" s="17"/>
      <c r="C7058" s="15"/>
      <c r="D7058" s="15"/>
      <c r="E7058" s="18"/>
    </row>
    <row r="7059" spans="2:5" x14ac:dyDescent="0.4">
      <c r="B7059" s="17"/>
      <c r="C7059" s="15"/>
      <c r="D7059" s="15"/>
      <c r="E7059" s="18"/>
    </row>
    <row r="7060" spans="2:5" x14ac:dyDescent="0.4">
      <c r="B7060" s="17"/>
      <c r="C7060" s="15"/>
      <c r="D7060" s="15"/>
      <c r="E7060" s="18"/>
    </row>
    <row r="7061" spans="2:5" x14ac:dyDescent="0.4">
      <c r="B7061" s="17"/>
      <c r="C7061" s="15"/>
      <c r="D7061" s="15"/>
      <c r="E7061" s="18"/>
    </row>
    <row r="7062" spans="2:5" x14ac:dyDescent="0.4">
      <c r="B7062" s="17"/>
      <c r="C7062" s="15"/>
      <c r="D7062" s="15"/>
      <c r="E7062" s="18"/>
    </row>
    <row r="7063" spans="2:5" x14ac:dyDescent="0.4">
      <c r="B7063" s="17"/>
      <c r="C7063" s="15"/>
      <c r="D7063" s="15"/>
      <c r="E7063" s="18"/>
    </row>
    <row r="7064" spans="2:5" x14ac:dyDescent="0.4">
      <c r="B7064" s="17"/>
      <c r="C7064" s="15"/>
      <c r="D7064" s="15"/>
      <c r="E7064" s="18"/>
    </row>
    <row r="7065" spans="2:5" x14ac:dyDescent="0.4">
      <c r="B7065" s="17"/>
      <c r="C7065" s="15"/>
      <c r="D7065" s="15"/>
      <c r="E7065" s="18"/>
    </row>
    <row r="7066" spans="2:5" x14ac:dyDescent="0.4">
      <c r="B7066" s="17"/>
      <c r="C7066" s="15"/>
      <c r="D7066" s="15"/>
      <c r="E7066" s="18"/>
    </row>
    <row r="7067" spans="2:5" x14ac:dyDescent="0.4">
      <c r="B7067" s="17"/>
      <c r="C7067" s="15"/>
      <c r="D7067" s="15"/>
      <c r="E7067" s="18"/>
    </row>
    <row r="7068" spans="2:5" x14ac:dyDescent="0.4">
      <c r="B7068" s="17"/>
      <c r="C7068" s="15"/>
      <c r="D7068" s="15"/>
      <c r="E7068" s="18"/>
    </row>
    <row r="7069" spans="2:5" x14ac:dyDescent="0.4">
      <c r="B7069" s="17"/>
      <c r="C7069" s="15"/>
      <c r="D7069" s="15"/>
      <c r="E7069" s="18"/>
    </row>
    <row r="7070" spans="2:5" x14ac:dyDescent="0.4">
      <c r="B7070" s="17"/>
      <c r="C7070" s="15"/>
      <c r="D7070" s="15"/>
      <c r="E7070" s="18"/>
    </row>
    <row r="7071" spans="2:5" x14ac:dyDescent="0.4">
      <c r="B7071" s="17"/>
      <c r="C7071" s="15"/>
      <c r="D7071" s="15"/>
      <c r="E7071" s="18"/>
    </row>
    <row r="7072" spans="2:5" x14ac:dyDescent="0.4">
      <c r="B7072" s="17"/>
      <c r="C7072" s="15"/>
      <c r="D7072" s="15"/>
      <c r="E7072" s="18"/>
    </row>
    <row r="7073" spans="2:5" x14ac:dyDescent="0.4">
      <c r="B7073" s="17"/>
      <c r="C7073" s="15"/>
      <c r="D7073" s="15"/>
      <c r="E7073" s="18"/>
    </row>
    <row r="7074" spans="2:5" x14ac:dyDescent="0.4">
      <c r="B7074" s="17"/>
      <c r="C7074" s="15"/>
      <c r="D7074" s="15"/>
      <c r="E7074" s="18"/>
    </row>
    <row r="7075" spans="2:5" x14ac:dyDescent="0.4">
      <c r="B7075" s="17"/>
      <c r="C7075" s="15"/>
      <c r="D7075" s="15"/>
      <c r="E7075" s="18"/>
    </row>
    <row r="7076" spans="2:5" x14ac:dyDescent="0.4">
      <c r="B7076" s="17"/>
      <c r="C7076" s="15"/>
      <c r="D7076" s="15"/>
      <c r="E7076" s="18"/>
    </row>
    <row r="7077" spans="2:5" x14ac:dyDescent="0.4">
      <c r="B7077" s="17"/>
      <c r="C7077" s="15"/>
      <c r="D7077" s="15"/>
      <c r="E7077" s="18"/>
    </row>
    <row r="7078" spans="2:5" x14ac:dyDescent="0.4">
      <c r="B7078" s="17"/>
      <c r="C7078" s="15"/>
      <c r="D7078" s="15"/>
      <c r="E7078" s="18"/>
    </row>
    <row r="7079" spans="2:5" x14ac:dyDescent="0.4">
      <c r="B7079" s="17"/>
      <c r="C7079" s="15"/>
      <c r="D7079" s="15"/>
      <c r="E7079" s="18"/>
    </row>
    <row r="7080" spans="2:5" x14ac:dyDescent="0.4">
      <c r="B7080" s="17"/>
      <c r="C7080" s="15"/>
      <c r="D7080" s="15"/>
      <c r="E7080" s="18"/>
    </row>
    <row r="7081" spans="2:5" x14ac:dyDescent="0.4">
      <c r="B7081" s="17"/>
      <c r="C7081" s="15"/>
      <c r="D7081" s="15"/>
      <c r="E7081" s="18"/>
    </row>
    <row r="7082" spans="2:5" x14ac:dyDescent="0.4">
      <c r="B7082" s="17"/>
      <c r="C7082" s="15"/>
      <c r="D7082" s="15"/>
      <c r="E7082" s="18"/>
    </row>
    <row r="7083" spans="2:5" x14ac:dyDescent="0.4">
      <c r="B7083" s="17"/>
      <c r="C7083" s="15"/>
      <c r="D7083" s="15"/>
      <c r="E7083" s="18"/>
    </row>
    <row r="7084" spans="2:5" x14ac:dyDescent="0.4">
      <c r="B7084" s="17"/>
      <c r="C7084" s="15"/>
      <c r="D7084" s="15"/>
      <c r="E7084" s="18"/>
    </row>
    <row r="7085" spans="2:5" x14ac:dyDescent="0.4">
      <c r="B7085" s="17"/>
      <c r="C7085" s="15"/>
      <c r="D7085" s="15"/>
      <c r="E7085" s="18"/>
    </row>
    <row r="7086" spans="2:5" x14ac:dyDescent="0.4">
      <c r="B7086" s="17"/>
      <c r="C7086" s="15"/>
      <c r="D7086" s="15"/>
      <c r="E7086" s="18"/>
    </row>
    <row r="7087" spans="2:5" x14ac:dyDescent="0.4">
      <c r="B7087" s="17"/>
      <c r="C7087" s="15"/>
      <c r="D7087" s="15"/>
      <c r="E7087" s="18"/>
    </row>
    <row r="7088" spans="2:5" x14ac:dyDescent="0.4">
      <c r="B7088" s="17"/>
      <c r="C7088" s="15"/>
      <c r="D7088" s="15"/>
      <c r="E7088" s="18"/>
    </row>
    <row r="7089" spans="2:5" x14ac:dyDescent="0.4">
      <c r="B7089" s="17"/>
      <c r="C7089" s="15"/>
      <c r="D7089" s="15"/>
      <c r="E7089" s="18"/>
    </row>
    <row r="7090" spans="2:5" x14ac:dyDescent="0.4">
      <c r="B7090" s="17"/>
      <c r="C7090" s="15"/>
      <c r="D7090" s="15"/>
      <c r="E7090" s="18"/>
    </row>
    <row r="7091" spans="2:5" x14ac:dyDescent="0.4">
      <c r="B7091" s="17"/>
      <c r="C7091" s="15"/>
      <c r="D7091" s="15"/>
      <c r="E7091" s="18"/>
    </row>
    <row r="7092" spans="2:5" x14ac:dyDescent="0.4">
      <c r="B7092" s="17"/>
      <c r="C7092" s="15"/>
      <c r="D7092" s="15"/>
      <c r="E7092" s="18"/>
    </row>
    <row r="7093" spans="2:5" x14ac:dyDescent="0.4">
      <c r="B7093" s="17"/>
      <c r="C7093" s="15"/>
      <c r="D7093" s="15"/>
      <c r="E7093" s="18"/>
    </row>
    <row r="7094" spans="2:5" x14ac:dyDescent="0.4">
      <c r="B7094" s="17"/>
      <c r="C7094" s="15"/>
      <c r="D7094" s="15"/>
      <c r="E7094" s="18"/>
    </row>
    <row r="7095" spans="2:5" x14ac:dyDescent="0.4">
      <c r="B7095" s="17"/>
      <c r="C7095" s="15"/>
      <c r="D7095" s="15"/>
      <c r="E7095" s="18"/>
    </row>
    <row r="7096" spans="2:5" x14ac:dyDescent="0.4">
      <c r="B7096" s="17"/>
      <c r="C7096" s="15"/>
      <c r="D7096" s="15"/>
      <c r="E7096" s="18"/>
    </row>
    <row r="7097" spans="2:5" x14ac:dyDescent="0.4">
      <c r="B7097" s="17"/>
      <c r="C7097" s="15"/>
      <c r="D7097" s="15"/>
      <c r="E7097" s="18"/>
    </row>
    <row r="7098" spans="2:5" x14ac:dyDescent="0.4">
      <c r="B7098" s="17"/>
      <c r="C7098" s="15"/>
      <c r="D7098" s="15"/>
      <c r="E7098" s="18"/>
    </row>
    <row r="7099" spans="2:5" x14ac:dyDescent="0.4">
      <c r="B7099" s="17"/>
      <c r="C7099" s="15"/>
      <c r="D7099" s="15"/>
      <c r="E7099" s="18"/>
    </row>
    <row r="7100" spans="2:5" x14ac:dyDescent="0.4">
      <c r="B7100" s="17"/>
      <c r="C7100" s="15"/>
      <c r="D7100" s="15"/>
      <c r="E7100" s="18"/>
    </row>
    <row r="7101" spans="2:5" x14ac:dyDescent="0.4">
      <c r="B7101" s="17"/>
      <c r="C7101" s="15"/>
      <c r="D7101" s="15"/>
      <c r="E7101" s="18"/>
    </row>
    <row r="7102" spans="2:5" x14ac:dyDescent="0.4">
      <c r="B7102" s="17"/>
      <c r="C7102" s="15"/>
      <c r="D7102" s="15"/>
      <c r="E7102" s="18"/>
    </row>
    <row r="7103" spans="2:5" x14ac:dyDescent="0.4">
      <c r="B7103" s="17"/>
      <c r="C7103" s="15"/>
      <c r="D7103" s="15"/>
      <c r="E7103" s="18"/>
    </row>
    <row r="7104" spans="2:5" x14ac:dyDescent="0.4">
      <c r="B7104" s="17"/>
      <c r="C7104" s="15"/>
      <c r="D7104" s="15"/>
      <c r="E7104" s="18"/>
    </row>
    <row r="7105" spans="2:5" x14ac:dyDescent="0.4">
      <c r="B7105" s="17"/>
      <c r="C7105" s="15"/>
      <c r="D7105" s="15"/>
      <c r="E7105" s="18"/>
    </row>
    <row r="7106" spans="2:5" x14ac:dyDescent="0.4">
      <c r="B7106" s="17"/>
      <c r="C7106" s="15"/>
      <c r="D7106" s="15"/>
      <c r="E7106" s="18"/>
    </row>
    <row r="7107" spans="2:5" x14ac:dyDescent="0.4">
      <c r="B7107" s="17"/>
      <c r="C7107" s="15"/>
      <c r="D7107" s="15"/>
      <c r="E7107" s="18"/>
    </row>
    <row r="7108" spans="2:5" x14ac:dyDescent="0.4">
      <c r="B7108" s="17"/>
      <c r="C7108" s="15"/>
      <c r="D7108" s="15"/>
      <c r="E7108" s="18"/>
    </row>
    <row r="7109" spans="2:5" x14ac:dyDescent="0.4">
      <c r="B7109" s="17"/>
      <c r="C7109" s="15"/>
      <c r="D7109" s="15"/>
      <c r="E7109" s="18"/>
    </row>
    <row r="7110" spans="2:5" x14ac:dyDescent="0.4">
      <c r="B7110" s="17"/>
      <c r="C7110" s="15"/>
      <c r="D7110" s="15"/>
      <c r="E7110" s="18"/>
    </row>
    <row r="7111" spans="2:5" x14ac:dyDescent="0.4">
      <c r="B7111" s="17"/>
      <c r="C7111" s="15"/>
      <c r="D7111" s="15"/>
      <c r="E7111" s="18"/>
    </row>
    <row r="7112" spans="2:5" x14ac:dyDescent="0.4">
      <c r="B7112" s="17"/>
      <c r="C7112" s="15"/>
      <c r="D7112" s="15"/>
      <c r="E7112" s="18"/>
    </row>
    <row r="7113" spans="2:5" x14ac:dyDescent="0.4">
      <c r="B7113" s="17"/>
      <c r="C7113" s="15"/>
      <c r="D7113" s="15"/>
      <c r="E7113" s="18"/>
    </row>
    <row r="7114" spans="2:5" x14ac:dyDescent="0.4">
      <c r="B7114" s="17"/>
      <c r="C7114" s="15"/>
      <c r="D7114" s="15"/>
      <c r="E7114" s="18"/>
    </row>
    <row r="7115" spans="2:5" x14ac:dyDescent="0.4">
      <c r="B7115" s="17"/>
      <c r="C7115" s="15"/>
      <c r="D7115" s="15"/>
      <c r="E7115" s="18"/>
    </row>
    <row r="7116" spans="2:5" x14ac:dyDescent="0.4">
      <c r="B7116" s="17"/>
      <c r="C7116" s="15"/>
      <c r="D7116" s="15"/>
      <c r="E7116" s="18"/>
    </row>
    <row r="7117" spans="2:5" x14ac:dyDescent="0.4">
      <c r="B7117" s="17"/>
      <c r="C7117" s="15"/>
      <c r="D7117" s="15"/>
      <c r="E7117" s="18"/>
    </row>
    <row r="7118" spans="2:5" x14ac:dyDescent="0.4">
      <c r="B7118" s="17"/>
      <c r="C7118" s="15"/>
      <c r="D7118" s="15"/>
      <c r="E7118" s="18"/>
    </row>
    <row r="7119" spans="2:5" x14ac:dyDescent="0.4">
      <c r="B7119" s="17"/>
      <c r="C7119" s="15"/>
      <c r="D7119" s="15"/>
      <c r="E7119" s="18"/>
    </row>
    <row r="7120" spans="2:5" x14ac:dyDescent="0.4">
      <c r="B7120" s="17"/>
      <c r="C7120" s="15"/>
      <c r="D7120" s="15"/>
      <c r="E7120" s="18"/>
    </row>
    <row r="7121" spans="2:5" x14ac:dyDescent="0.4">
      <c r="B7121" s="17"/>
      <c r="C7121" s="15"/>
      <c r="D7121" s="15"/>
      <c r="E7121" s="18"/>
    </row>
    <row r="7122" spans="2:5" x14ac:dyDescent="0.4">
      <c r="B7122" s="17"/>
      <c r="C7122" s="15"/>
      <c r="D7122" s="15"/>
      <c r="E7122" s="18"/>
    </row>
    <row r="7123" spans="2:5" x14ac:dyDescent="0.4">
      <c r="B7123" s="17"/>
      <c r="C7123" s="15"/>
      <c r="D7123" s="15"/>
      <c r="E7123" s="18"/>
    </row>
    <row r="7124" spans="2:5" x14ac:dyDescent="0.4">
      <c r="B7124" s="17"/>
      <c r="C7124" s="15"/>
      <c r="D7124" s="15"/>
      <c r="E7124" s="18"/>
    </row>
    <row r="7125" spans="2:5" x14ac:dyDescent="0.4">
      <c r="B7125" s="17"/>
      <c r="C7125" s="15"/>
      <c r="D7125" s="15"/>
      <c r="E7125" s="18"/>
    </row>
    <row r="7126" spans="2:5" x14ac:dyDescent="0.4">
      <c r="B7126" s="17"/>
      <c r="C7126" s="15"/>
      <c r="D7126" s="15"/>
      <c r="E7126" s="18"/>
    </row>
    <row r="7127" spans="2:5" x14ac:dyDescent="0.4">
      <c r="B7127" s="17"/>
      <c r="C7127" s="15"/>
      <c r="D7127" s="15"/>
      <c r="E7127" s="18"/>
    </row>
    <row r="7128" spans="2:5" x14ac:dyDescent="0.4">
      <c r="B7128" s="17"/>
      <c r="C7128" s="15"/>
      <c r="D7128" s="15"/>
      <c r="E7128" s="18"/>
    </row>
    <row r="7129" spans="2:5" x14ac:dyDescent="0.4">
      <c r="B7129" s="17"/>
      <c r="C7129" s="15"/>
      <c r="D7129" s="15"/>
      <c r="E7129" s="18"/>
    </row>
    <row r="7130" spans="2:5" x14ac:dyDescent="0.4">
      <c r="B7130" s="17"/>
      <c r="C7130" s="15"/>
      <c r="D7130" s="15"/>
      <c r="E7130" s="18"/>
    </row>
    <row r="7131" spans="2:5" x14ac:dyDescent="0.4">
      <c r="B7131" s="17"/>
      <c r="C7131" s="15"/>
      <c r="D7131" s="15"/>
      <c r="E7131" s="18"/>
    </row>
    <row r="7132" spans="2:5" x14ac:dyDescent="0.4">
      <c r="B7132" s="17"/>
      <c r="C7132" s="15"/>
      <c r="D7132" s="15"/>
      <c r="E7132" s="18"/>
    </row>
    <row r="7133" spans="2:5" x14ac:dyDescent="0.4">
      <c r="B7133" s="17"/>
      <c r="C7133" s="15"/>
      <c r="D7133" s="15"/>
      <c r="E7133" s="18"/>
    </row>
    <row r="7134" spans="2:5" x14ac:dyDescent="0.4">
      <c r="B7134" s="17"/>
      <c r="C7134" s="15"/>
      <c r="D7134" s="15"/>
      <c r="E7134" s="18"/>
    </row>
    <row r="7135" spans="2:5" x14ac:dyDescent="0.4">
      <c r="B7135" s="17"/>
      <c r="C7135" s="15"/>
      <c r="D7135" s="15"/>
      <c r="E7135" s="18"/>
    </row>
    <row r="7136" spans="2:5" x14ac:dyDescent="0.4">
      <c r="B7136" s="17"/>
      <c r="C7136" s="15"/>
      <c r="D7136" s="15"/>
      <c r="E7136" s="18"/>
    </row>
    <row r="7137" spans="2:5" x14ac:dyDescent="0.4">
      <c r="B7137" s="17"/>
      <c r="C7137" s="15"/>
      <c r="D7137" s="15"/>
      <c r="E7137" s="18"/>
    </row>
    <row r="7138" spans="2:5" x14ac:dyDescent="0.4">
      <c r="B7138" s="17"/>
      <c r="C7138" s="15"/>
      <c r="D7138" s="15"/>
      <c r="E7138" s="18"/>
    </row>
    <row r="7139" spans="2:5" x14ac:dyDescent="0.4">
      <c r="B7139" s="17"/>
      <c r="C7139" s="15"/>
      <c r="D7139" s="15"/>
      <c r="E7139" s="18"/>
    </row>
    <row r="7140" spans="2:5" x14ac:dyDescent="0.4">
      <c r="B7140" s="17"/>
      <c r="C7140" s="15"/>
      <c r="D7140" s="15"/>
      <c r="E7140" s="18"/>
    </row>
    <row r="7141" spans="2:5" x14ac:dyDescent="0.4">
      <c r="B7141" s="17"/>
      <c r="C7141" s="15"/>
      <c r="D7141" s="15"/>
      <c r="E7141" s="18"/>
    </row>
    <row r="7142" spans="2:5" x14ac:dyDescent="0.4">
      <c r="B7142" s="17"/>
      <c r="C7142" s="15"/>
      <c r="D7142" s="15"/>
      <c r="E7142" s="18"/>
    </row>
    <row r="7143" spans="2:5" x14ac:dyDescent="0.4">
      <c r="B7143" s="17"/>
      <c r="C7143" s="15"/>
      <c r="D7143" s="15"/>
      <c r="E7143" s="18"/>
    </row>
    <row r="7144" spans="2:5" x14ac:dyDescent="0.4">
      <c r="B7144" s="17"/>
      <c r="C7144" s="15"/>
      <c r="D7144" s="15"/>
      <c r="E7144" s="18"/>
    </row>
    <row r="7145" spans="2:5" x14ac:dyDescent="0.4">
      <c r="B7145" s="17"/>
      <c r="C7145" s="15"/>
      <c r="D7145" s="15"/>
      <c r="E7145" s="18"/>
    </row>
    <row r="7146" spans="2:5" x14ac:dyDescent="0.4">
      <c r="B7146" s="17"/>
      <c r="C7146" s="15"/>
      <c r="D7146" s="15"/>
      <c r="E7146" s="18"/>
    </row>
    <row r="7147" spans="2:5" x14ac:dyDescent="0.4">
      <c r="B7147" s="17"/>
      <c r="C7147" s="15"/>
      <c r="D7147" s="15"/>
      <c r="E7147" s="18"/>
    </row>
    <row r="7148" spans="2:5" x14ac:dyDescent="0.4">
      <c r="B7148" s="17"/>
      <c r="C7148" s="15"/>
      <c r="D7148" s="15"/>
      <c r="E7148" s="18"/>
    </row>
    <row r="7149" spans="2:5" x14ac:dyDescent="0.4">
      <c r="B7149" s="17"/>
      <c r="C7149" s="15"/>
      <c r="D7149" s="15"/>
      <c r="E7149" s="18"/>
    </row>
    <row r="7150" spans="2:5" x14ac:dyDescent="0.4">
      <c r="B7150" s="17"/>
      <c r="C7150" s="15"/>
      <c r="D7150" s="15"/>
      <c r="E7150" s="18"/>
    </row>
    <row r="7151" spans="2:5" x14ac:dyDescent="0.4">
      <c r="B7151" s="17"/>
      <c r="C7151" s="15"/>
      <c r="D7151" s="15"/>
      <c r="E7151" s="18"/>
    </row>
    <row r="7152" spans="2:5" x14ac:dyDescent="0.4">
      <c r="B7152" s="17"/>
      <c r="C7152" s="15"/>
      <c r="D7152" s="15"/>
      <c r="E7152" s="18"/>
    </row>
    <row r="7153" spans="2:5" x14ac:dyDescent="0.4">
      <c r="B7153" s="17"/>
      <c r="C7153" s="15"/>
      <c r="D7153" s="15"/>
      <c r="E7153" s="18"/>
    </row>
    <row r="7154" spans="2:5" x14ac:dyDescent="0.4">
      <c r="B7154" s="17"/>
      <c r="C7154" s="15"/>
      <c r="D7154" s="15"/>
      <c r="E7154" s="18"/>
    </row>
    <row r="7155" spans="2:5" x14ac:dyDescent="0.4">
      <c r="B7155" s="17"/>
      <c r="C7155" s="15"/>
      <c r="D7155" s="15"/>
      <c r="E7155" s="18"/>
    </row>
    <row r="7156" spans="2:5" x14ac:dyDescent="0.4">
      <c r="B7156" s="17"/>
      <c r="C7156" s="15"/>
      <c r="D7156" s="15"/>
      <c r="E7156" s="18"/>
    </row>
    <row r="7157" spans="2:5" x14ac:dyDescent="0.4">
      <c r="B7157" s="17"/>
      <c r="C7157" s="15"/>
      <c r="D7157" s="15"/>
      <c r="E7157" s="18"/>
    </row>
    <row r="7158" spans="2:5" x14ac:dyDescent="0.4">
      <c r="B7158" s="17"/>
      <c r="C7158" s="15"/>
      <c r="D7158" s="15"/>
      <c r="E7158" s="18"/>
    </row>
    <row r="7159" spans="2:5" x14ac:dyDescent="0.4">
      <c r="B7159" s="17"/>
      <c r="C7159" s="15"/>
      <c r="D7159" s="15"/>
      <c r="E7159" s="18"/>
    </row>
    <row r="7160" spans="2:5" x14ac:dyDescent="0.4">
      <c r="B7160" s="17"/>
      <c r="C7160" s="15"/>
      <c r="D7160" s="15"/>
      <c r="E7160" s="18"/>
    </row>
    <row r="7161" spans="2:5" x14ac:dyDescent="0.4">
      <c r="B7161" s="17"/>
      <c r="C7161" s="15"/>
      <c r="D7161" s="15"/>
      <c r="E7161" s="18"/>
    </row>
    <row r="7162" spans="2:5" x14ac:dyDescent="0.4">
      <c r="B7162" s="17"/>
      <c r="C7162" s="15"/>
      <c r="D7162" s="15"/>
      <c r="E7162" s="18"/>
    </row>
    <row r="7163" spans="2:5" x14ac:dyDescent="0.4">
      <c r="B7163" s="17"/>
      <c r="C7163" s="15"/>
      <c r="D7163" s="15"/>
      <c r="E7163" s="18"/>
    </row>
    <row r="7164" spans="2:5" x14ac:dyDescent="0.4">
      <c r="B7164" s="17"/>
      <c r="C7164" s="15"/>
      <c r="D7164" s="15"/>
      <c r="E7164" s="18"/>
    </row>
    <row r="7165" spans="2:5" x14ac:dyDescent="0.4">
      <c r="B7165" s="17"/>
      <c r="C7165" s="15"/>
      <c r="D7165" s="15"/>
      <c r="E7165" s="18"/>
    </row>
    <row r="7166" spans="2:5" x14ac:dyDescent="0.4">
      <c r="B7166" s="17"/>
      <c r="C7166" s="15"/>
      <c r="D7166" s="15"/>
      <c r="E7166" s="18"/>
    </row>
    <row r="7167" spans="2:5" x14ac:dyDescent="0.4">
      <c r="B7167" s="17"/>
      <c r="C7167" s="15"/>
      <c r="D7167" s="15"/>
      <c r="E7167" s="18"/>
    </row>
    <row r="7168" spans="2:5" x14ac:dyDescent="0.4">
      <c r="B7168" s="17"/>
      <c r="C7168" s="15"/>
      <c r="D7168" s="15"/>
      <c r="E7168" s="18"/>
    </row>
    <row r="7169" spans="2:5" x14ac:dyDescent="0.4">
      <c r="B7169" s="17"/>
      <c r="C7169" s="15"/>
      <c r="D7169" s="15"/>
      <c r="E7169" s="18"/>
    </row>
    <row r="7170" spans="2:5" x14ac:dyDescent="0.4">
      <c r="B7170" s="17"/>
      <c r="C7170" s="15"/>
      <c r="D7170" s="15"/>
      <c r="E7170" s="18"/>
    </row>
    <row r="7171" spans="2:5" x14ac:dyDescent="0.4">
      <c r="B7171" s="17"/>
      <c r="C7171" s="15"/>
      <c r="D7171" s="15"/>
      <c r="E7171" s="18"/>
    </row>
    <row r="7172" spans="2:5" x14ac:dyDescent="0.4">
      <c r="B7172" s="17"/>
      <c r="C7172" s="15"/>
      <c r="D7172" s="15"/>
      <c r="E7172" s="18"/>
    </row>
    <row r="7173" spans="2:5" x14ac:dyDescent="0.4">
      <c r="B7173" s="17"/>
      <c r="C7173" s="15"/>
      <c r="D7173" s="15"/>
      <c r="E7173" s="18"/>
    </row>
    <row r="7174" spans="2:5" x14ac:dyDescent="0.4">
      <c r="B7174" s="17"/>
      <c r="C7174" s="15"/>
      <c r="D7174" s="15"/>
      <c r="E7174" s="18"/>
    </row>
    <row r="7175" spans="2:5" x14ac:dyDescent="0.4">
      <c r="B7175" s="17"/>
      <c r="C7175" s="15"/>
      <c r="D7175" s="15"/>
      <c r="E7175" s="18"/>
    </row>
    <row r="7176" spans="2:5" x14ac:dyDescent="0.4">
      <c r="B7176" s="17"/>
      <c r="C7176" s="15"/>
      <c r="D7176" s="15"/>
      <c r="E7176" s="18"/>
    </row>
    <row r="7177" spans="2:5" x14ac:dyDescent="0.4">
      <c r="B7177" s="17"/>
      <c r="C7177" s="15"/>
      <c r="D7177" s="15"/>
      <c r="E7177" s="18"/>
    </row>
    <row r="7178" spans="2:5" x14ac:dyDescent="0.4">
      <c r="B7178" s="17"/>
      <c r="C7178" s="15"/>
      <c r="D7178" s="15"/>
      <c r="E7178" s="18"/>
    </row>
    <row r="7179" spans="2:5" x14ac:dyDescent="0.4">
      <c r="B7179" s="17"/>
      <c r="C7179" s="15"/>
      <c r="D7179" s="15"/>
      <c r="E7179" s="18"/>
    </row>
    <row r="7180" spans="2:5" x14ac:dyDescent="0.4">
      <c r="B7180" s="17"/>
      <c r="C7180" s="15"/>
      <c r="D7180" s="15"/>
      <c r="E7180" s="18"/>
    </row>
    <row r="7181" spans="2:5" x14ac:dyDescent="0.4">
      <c r="B7181" s="17"/>
      <c r="C7181" s="15"/>
      <c r="D7181" s="15"/>
      <c r="E7181" s="18"/>
    </row>
    <row r="7182" spans="2:5" x14ac:dyDescent="0.4">
      <c r="B7182" s="17"/>
      <c r="C7182" s="15"/>
      <c r="D7182" s="15"/>
      <c r="E7182" s="18"/>
    </row>
    <row r="7183" spans="2:5" x14ac:dyDescent="0.4">
      <c r="B7183" s="17"/>
      <c r="C7183" s="15"/>
      <c r="D7183" s="15"/>
      <c r="E7183" s="18"/>
    </row>
    <row r="7184" spans="2:5" x14ac:dyDescent="0.4">
      <c r="B7184" s="17"/>
      <c r="C7184" s="15"/>
      <c r="D7184" s="15"/>
      <c r="E7184" s="18"/>
    </row>
    <row r="7185" spans="2:5" x14ac:dyDescent="0.4">
      <c r="B7185" s="17"/>
      <c r="C7185" s="15"/>
      <c r="D7185" s="15"/>
      <c r="E7185" s="18"/>
    </row>
    <row r="7186" spans="2:5" x14ac:dyDescent="0.4">
      <c r="B7186" s="17"/>
      <c r="C7186" s="15"/>
      <c r="D7186" s="15"/>
      <c r="E7186" s="18"/>
    </row>
    <row r="7187" spans="2:5" x14ac:dyDescent="0.4">
      <c r="B7187" s="17"/>
      <c r="C7187" s="15"/>
      <c r="D7187" s="15"/>
      <c r="E7187" s="18"/>
    </row>
    <row r="7188" spans="2:5" x14ac:dyDescent="0.4">
      <c r="B7188" s="17"/>
      <c r="C7188" s="15"/>
      <c r="D7188" s="15"/>
      <c r="E7188" s="18"/>
    </row>
    <row r="7189" spans="2:5" x14ac:dyDescent="0.4">
      <c r="B7189" s="17"/>
      <c r="C7189" s="15"/>
      <c r="D7189" s="15"/>
      <c r="E7189" s="18"/>
    </row>
    <row r="7190" spans="2:5" x14ac:dyDescent="0.4">
      <c r="B7190" s="17"/>
      <c r="C7190" s="15"/>
      <c r="D7190" s="15"/>
      <c r="E7190" s="18"/>
    </row>
    <row r="7191" spans="2:5" x14ac:dyDescent="0.4">
      <c r="B7191" s="17"/>
      <c r="C7191" s="15"/>
      <c r="D7191" s="15"/>
      <c r="E7191" s="18"/>
    </row>
    <row r="7192" spans="2:5" x14ac:dyDescent="0.4">
      <c r="B7192" s="17"/>
      <c r="C7192" s="15"/>
      <c r="D7192" s="15"/>
      <c r="E7192" s="18"/>
    </row>
    <row r="7193" spans="2:5" x14ac:dyDescent="0.4">
      <c r="B7193" s="17"/>
      <c r="C7193" s="15"/>
      <c r="D7193" s="15"/>
      <c r="E7193" s="18"/>
    </row>
    <row r="7194" spans="2:5" x14ac:dyDescent="0.4">
      <c r="B7194" s="17"/>
      <c r="C7194" s="15"/>
      <c r="D7194" s="15"/>
      <c r="E7194" s="18"/>
    </row>
    <row r="7195" spans="2:5" x14ac:dyDescent="0.4">
      <c r="B7195" s="17"/>
      <c r="C7195" s="15"/>
      <c r="D7195" s="15"/>
      <c r="E7195" s="18"/>
    </row>
    <row r="7196" spans="2:5" x14ac:dyDescent="0.4">
      <c r="B7196" s="17"/>
      <c r="C7196" s="15"/>
      <c r="D7196" s="15"/>
      <c r="E7196" s="18"/>
    </row>
    <row r="7197" spans="2:5" x14ac:dyDescent="0.4">
      <c r="B7197" s="17"/>
      <c r="C7197" s="15"/>
      <c r="D7197" s="15"/>
      <c r="E7197" s="18"/>
    </row>
    <row r="7198" spans="2:5" x14ac:dyDescent="0.4">
      <c r="B7198" s="17"/>
      <c r="C7198" s="15"/>
      <c r="D7198" s="15"/>
      <c r="E7198" s="18"/>
    </row>
    <row r="7199" spans="2:5" x14ac:dyDescent="0.4">
      <c r="B7199" s="17"/>
      <c r="C7199" s="15"/>
      <c r="D7199" s="15"/>
      <c r="E7199" s="18"/>
    </row>
    <row r="7200" spans="2:5" x14ac:dyDescent="0.4">
      <c r="B7200" s="17"/>
      <c r="C7200" s="15"/>
      <c r="D7200" s="15"/>
      <c r="E7200" s="18"/>
    </row>
    <row r="7201" spans="2:5" x14ac:dyDescent="0.4">
      <c r="B7201" s="17"/>
      <c r="C7201" s="15"/>
      <c r="D7201" s="15"/>
      <c r="E7201" s="18"/>
    </row>
    <row r="7202" spans="2:5" x14ac:dyDescent="0.4">
      <c r="B7202" s="17"/>
      <c r="C7202" s="15"/>
      <c r="D7202" s="15"/>
      <c r="E7202" s="18"/>
    </row>
    <row r="7203" spans="2:5" x14ac:dyDescent="0.4">
      <c r="B7203" s="17"/>
      <c r="C7203" s="15"/>
      <c r="D7203" s="15"/>
      <c r="E7203" s="18"/>
    </row>
    <row r="7204" spans="2:5" x14ac:dyDescent="0.4">
      <c r="B7204" s="17"/>
      <c r="C7204" s="15"/>
      <c r="D7204" s="15"/>
      <c r="E7204" s="18"/>
    </row>
    <row r="7205" spans="2:5" x14ac:dyDescent="0.4">
      <c r="B7205" s="17"/>
      <c r="C7205" s="15"/>
      <c r="D7205" s="15"/>
      <c r="E7205" s="18"/>
    </row>
    <row r="7206" spans="2:5" x14ac:dyDescent="0.4">
      <c r="B7206" s="17"/>
      <c r="C7206" s="15"/>
      <c r="D7206" s="15"/>
      <c r="E7206" s="18"/>
    </row>
    <row r="7207" spans="2:5" x14ac:dyDescent="0.4">
      <c r="B7207" s="17"/>
      <c r="C7207" s="15"/>
      <c r="D7207" s="15"/>
      <c r="E7207" s="18"/>
    </row>
    <row r="7208" spans="2:5" x14ac:dyDescent="0.4">
      <c r="B7208" s="17"/>
      <c r="C7208" s="15"/>
      <c r="D7208" s="15"/>
      <c r="E7208" s="18"/>
    </row>
    <row r="7209" spans="2:5" x14ac:dyDescent="0.4">
      <c r="B7209" s="17"/>
      <c r="C7209" s="15"/>
      <c r="D7209" s="15"/>
      <c r="E7209" s="18"/>
    </row>
    <row r="7210" spans="2:5" x14ac:dyDescent="0.4">
      <c r="B7210" s="17"/>
      <c r="C7210" s="15"/>
      <c r="D7210" s="15"/>
      <c r="E7210" s="18"/>
    </row>
    <row r="7211" spans="2:5" x14ac:dyDescent="0.4">
      <c r="B7211" s="17"/>
      <c r="C7211" s="15"/>
      <c r="D7211" s="15"/>
      <c r="E7211" s="18"/>
    </row>
    <row r="7212" spans="2:5" x14ac:dyDescent="0.4">
      <c r="B7212" s="17"/>
      <c r="C7212" s="15"/>
      <c r="D7212" s="15"/>
      <c r="E7212" s="18"/>
    </row>
    <row r="7213" spans="2:5" x14ac:dyDescent="0.4">
      <c r="B7213" s="17"/>
      <c r="C7213" s="15"/>
      <c r="D7213" s="15"/>
      <c r="E7213" s="18"/>
    </row>
    <row r="7214" spans="2:5" x14ac:dyDescent="0.4">
      <c r="B7214" s="17"/>
      <c r="C7214" s="15"/>
      <c r="D7214" s="15"/>
      <c r="E7214" s="18"/>
    </row>
    <row r="7215" spans="2:5" x14ac:dyDescent="0.4">
      <c r="B7215" s="17"/>
      <c r="C7215" s="15"/>
      <c r="D7215" s="15"/>
      <c r="E7215" s="18"/>
    </row>
    <row r="7216" spans="2:5" x14ac:dyDescent="0.4">
      <c r="B7216" s="17"/>
      <c r="C7216" s="15"/>
      <c r="D7216" s="15"/>
      <c r="E7216" s="18"/>
    </row>
    <row r="7217" spans="2:5" x14ac:dyDescent="0.4">
      <c r="B7217" s="17"/>
      <c r="C7217" s="15"/>
      <c r="D7217" s="15"/>
      <c r="E7217" s="18"/>
    </row>
    <row r="7218" spans="2:5" x14ac:dyDescent="0.4">
      <c r="B7218" s="17"/>
      <c r="C7218" s="15"/>
      <c r="D7218" s="15"/>
      <c r="E7218" s="18"/>
    </row>
    <row r="7219" spans="2:5" x14ac:dyDescent="0.4">
      <c r="B7219" s="17"/>
      <c r="C7219" s="15"/>
      <c r="D7219" s="15"/>
      <c r="E7219" s="18"/>
    </row>
    <row r="7220" spans="2:5" x14ac:dyDescent="0.4">
      <c r="B7220" s="17"/>
      <c r="C7220" s="15"/>
      <c r="D7220" s="15"/>
      <c r="E7220" s="18"/>
    </row>
    <row r="7221" spans="2:5" x14ac:dyDescent="0.4">
      <c r="B7221" s="17"/>
      <c r="C7221" s="15"/>
      <c r="D7221" s="15"/>
      <c r="E7221" s="18"/>
    </row>
    <row r="7222" spans="2:5" x14ac:dyDescent="0.4">
      <c r="B7222" s="17"/>
      <c r="C7222" s="15"/>
      <c r="D7222" s="15"/>
      <c r="E7222" s="18"/>
    </row>
    <row r="7223" spans="2:5" x14ac:dyDescent="0.4">
      <c r="B7223" s="17"/>
      <c r="C7223" s="15"/>
      <c r="D7223" s="15"/>
      <c r="E7223" s="18"/>
    </row>
    <row r="7224" spans="2:5" x14ac:dyDescent="0.4">
      <c r="B7224" s="17"/>
      <c r="C7224" s="15"/>
      <c r="D7224" s="15"/>
      <c r="E7224" s="18"/>
    </row>
    <row r="7225" spans="2:5" x14ac:dyDescent="0.4">
      <c r="B7225" s="17"/>
      <c r="C7225" s="15"/>
      <c r="D7225" s="15"/>
      <c r="E7225" s="18"/>
    </row>
    <row r="7226" spans="2:5" x14ac:dyDescent="0.4">
      <c r="B7226" s="17"/>
      <c r="C7226" s="15"/>
      <c r="D7226" s="15"/>
      <c r="E7226" s="18"/>
    </row>
    <row r="7227" spans="2:5" x14ac:dyDescent="0.4">
      <c r="B7227" s="17"/>
      <c r="C7227" s="15"/>
      <c r="D7227" s="15"/>
      <c r="E7227" s="18"/>
    </row>
    <row r="7228" spans="2:5" x14ac:dyDescent="0.4">
      <c r="B7228" s="17"/>
      <c r="C7228" s="15"/>
      <c r="D7228" s="15"/>
      <c r="E7228" s="18"/>
    </row>
    <row r="7229" spans="2:5" x14ac:dyDescent="0.4">
      <c r="B7229" s="17"/>
      <c r="C7229" s="15"/>
      <c r="D7229" s="15"/>
      <c r="E7229" s="18"/>
    </row>
    <row r="7230" spans="2:5" x14ac:dyDescent="0.4">
      <c r="B7230" s="17"/>
      <c r="C7230" s="15"/>
      <c r="D7230" s="15"/>
      <c r="E7230" s="18"/>
    </row>
    <row r="7231" spans="2:5" x14ac:dyDescent="0.4">
      <c r="B7231" s="17"/>
      <c r="C7231" s="15"/>
      <c r="D7231" s="15"/>
      <c r="E7231" s="18"/>
    </row>
    <row r="7232" spans="2:5" x14ac:dyDescent="0.4">
      <c r="B7232" s="17"/>
      <c r="C7232" s="15"/>
      <c r="D7232" s="15"/>
      <c r="E7232" s="18"/>
    </row>
    <row r="7233" spans="2:5" x14ac:dyDescent="0.4">
      <c r="B7233" s="17"/>
      <c r="C7233" s="15"/>
      <c r="D7233" s="15"/>
      <c r="E7233" s="18"/>
    </row>
    <row r="7234" spans="2:5" x14ac:dyDescent="0.4">
      <c r="B7234" s="17"/>
      <c r="C7234" s="15"/>
      <c r="D7234" s="15"/>
      <c r="E7234" s="18"/>
    </row>
    <row r="7235" spans="2:5" x14ac:dyDescent="0.4">
      <c r="B7235" s="17"/>
      <c r="C7235" s="15"/>
      <c r="D7235" s="15"/>
      <c r="E7235" s="18"/>
    </row>
    <row r="7236" spans="2:5" x14ac:dyDescent="0.4">
      <c r="B7236" s="17"/>
      <c r="C7236" s="15"/>
      <c r="D7236" s="15"/>
      <c r="E7236" s="18"/>
    </row>
    <row r="7237" spans="2:5" x14ac:dyDescent="0.4">
      <c r="B7237" s="17"/>
      <c r="C7237" s="15"/>
      <c r="D7237" s="15"/>
      <c r="E7237" s="18"/>
    </row>
    <row r="7238" spans="2:5" x14ac:dyDescent="0.4">
      <c r="B7238" s="17"/>
      <c r="C7238" s="15"/>
      <c r="D7238" s="15"/>
      <c r="E7238" s="18"/>
    </row>
    <row r="7239" spans="2:5" x14ac:dyDescent="0.4">
      <c r="B7239" s="17"/>
      <c r="C7239" s="15"/>
      <c r="D7239" s="15"/>
      <c r="E7239" s="18"/>
    </row>
    <row r="7240" spans="2:5" x14ac:dyDescent="0.4">
      <c r="B7240" s="17"/>
      <c r="C7240" s="15"/>
      <c r="D7240" s="15"/>
      <c r="E7240" s="18"/>
    </row>
    <row r="7241" spans="2:5" x14ac:dyDescent="0.4">
      <c r="B7241" s="17"/>
      <c r="C7241" s="15"/>
      <c r="D7241" s="15"/>
      <c r="E7241" s="18"/>
    </row>
    <row r="7242" spans="2:5" x14ac:dyDescent="0.4">
      <c r="B7242" s="17"/>
      <c r="C7242" s="15"/>
      <c r="D7242" s="15"/>
      <c r="E7242" s="18"/>
    </row>
    <row r="7243" spans="2:5" x14ac:dyDescent="0.4">
      <c r="B7243" s="17"/>
      <c r="C7243" s="15"/>
      <c r="D7243" s="15"/>
      <c r="E7243" s="18"/>
    </row>
    <row r="7244" spans="2:5" x14ac:dyDescent="0.4">
      <c r="B7244" s="17"/>
      <c r="C7244" s="15"/>
      <c r="D7244" s="15"/>
      <c r="E7244" s="18"/>
    </row>
    <row r="7245" spans="2:5" x14ac:dyDescent="0.4">
      <c r="B7245" s="17"/>
      <c r="C7245" s="15"/>
      <c r="D7245" s="15"/>
      <c r="E7245" s="18"/>
    </row>
    <row r="7246" spans="2:5" x14ac:dyDescent="0.4">
      <c r="B7246" s="17"/>
      <c r="C7246" s="15"/>
      <c r="D7246" s="15"/>
      <c r="E7246" s="18"/>
    </row>
    <row r="7247" spans="2:5" x14ac:dyDescent="0.4">
      <c r="B7247" s="17"/>
      <c r="C7247" s="15"/>
      <c r="D7247" s="15"/>
      <c r="E7247" s="18"/>
    </row>
    <row r="7248" spans="2:5" x14ac:dyDescent="0.4">
      <c r="B7248" s="17"/>
      <c r="C7248" s="15"/>
      <c r="D7248" s="15"/>
      <c r="E7248" s="18"/>
    </row>
    <row r="7249" spans="2:5" x14ac:dyDescent="0.4">
      <c r="B7249" s="17"/>
      <c r="C7249" s="15"/>
      <c r="D7249" s="15"/>
      <c r="E7249" s="18"/>
    </row>
    <row r="7250" spans="2:5" x14ac:dyDescent="0.4">
      <c r="B7250" s="17"/>
      <c r="C7250" s="15"/>
      <c r="D7250" s="15"/>
      <c r="E7250" s="18"/>
    </row>
    <row r="7251" spans="2:5" x14ac:dyDescent="0.4">
      <c r="B7251" s="17"/>
      <c r="C7251" s="15"/>
      <c r="D7251" s="15"/>
      <c r="E7251" s="18"/>
    </row>
    <row r="7252" spans="2:5" x14ac:dyDescent="0.4">
      <c r="B7252" s="17"/>
      <c r="C7252" s="15"/>
      <c r="D7252" s="15"/>
      <c r="E7252" s="18"/>
    </row>
    <row r="7253" spans="2:5" x14ac:dyDescent="0.4">
      <c r="B7253" s="17"/>
      <c r="C7253" s="15"/>
      <c r="D7253" s="15"/>
      <c r="E7253" s="18"/>
    </row>
    <row r="7254" spans="2:5" x14ac:dyDescent="0.4">
      <c r="B7254" s="17"/>
      <c r="C7254" s="15"/>
      <c r="D7254" s="15"/>
      <c r="E7254" s="18"/>
    </row>
    <row r="7255" spans="2:5" x14ac:dyDescent="0.4">
      <c r="B7255" s="17"/>
      <c r="C7255" s="15"/>
      <c r="D7255" s="15"/>
      <c r="E7255" s="18"/>
    </row>
    <row r="7256" spans="2:5" x14ac:dyDescent="0.4">
      <c r="B7256" s="17"/>
      <c r="C7256" s="15"/>
      <c r="D7256" s="15"/>
      <c r="E7256" s="18"/>
    </row>
    <row r="7257" spans="2:5" x14ac:dyDescent="0.4">
      <c r="B7257" s="17"/>
      <c r="C7257" s="15"/>
      <c r="D7257" s="15"/>
      <c r="E7257" s="18"/>
    </row>
    <row r="7258" spans="2:5" x14ac:dyDescent="0.4">
      <c r="B7258" s="17"/>
      <c r="C7258" s="15"/>
      <c r="D7258" s="15"/>
      <c r="E7258" s="18"/>
    </row>
    <row r="7259" spans="2:5" x14ac:dyDescent="0.4">
      <c r="B7259" s="17"/>
      <c r="C7259" s="15"/>
      <c r="D7259" s="15"/>
      <c r="E7259" s="18"/>
    </row>
    <row r="7260" spans="2:5" x14ac:dyDescent="0.4">
      <c r="B7260" s="17"/>
      <c r="C7260" s="15"/>
      <c r="D7260" s="15"/>
      <c r="E7260" s="18"/>
    </row>
    <row r="7261" spans="2:5" x14ac:dyDescent="0.4">
      <c r="B7261" s="17"/>
      <c r="C7261" s="15"/>
      <c r="D7261" s="15"/>
      <c r="E7261" s="18"/>
    </row>
    <row r="7262" spans="2:5" x14ac:dyDescent="0.4">
      <c r="B7262" s="17"/>
      <c r="C7262" s="15"/>
      <c r="D7262" s="15"/>
      <c r="E7262" s="18"/>
    </row>
    <row r="7263" spans="2:5" x14ac:dyDescent="0.4">
      <c r="B7263" s="17"/>
      <c r="C7263" s="15"/>
      <c r="D7263" s="15"/>
      <c r="E7263" s="18"/>
    </row>
    <row r="7264" spans="2:5" x14ac:dyDescent="0.4">
      <c r="B7264" s="17"/>
      <c r="C7264" s="15"/>
      <c r="D7264" s="15"/>
      <c r="E7264" s="18"/>
    </row>
    <row r="7265" spans="2:5" x14ac:dyDescent="0.4">
      <c r="B7265" s="17"/>
      <c r="C7265" s="15"/>
      <c r="D7265" s="15"/>
      <c r="E7265" s="18"/>
    </row>
    <row r="7266" spans="2:5" x14ac:dyDescent="0.4">
      <c r="B7266" s="17"/>
      <c r="C7266" s="15"/>
      <c r="D7266" s="15"/>
      <c r="E7266" s="18"/>
    </row>
    <row r="7267" spans="2:5" x14ac:dyDescent="0.4">
      <c r="B7267" s="17"/>
      <c r="C7267" s="15"/>
      <c r="D7267" s="15"/>
      <c r="E7267" s="18"/>
    </row>
    <row r="7268" spans="2:5" x14ac:dyDescent="0.4">
      <c r="B7268" s="17"/>
      <c r="C7268" s="15"/>
      <c r="D7268" s="15"/>
      <c r="E7268" s="18"/>
    </row>
    <row r="7269" spans="2:5" x14ac:dyDescent="0.4">
      <c r="B7269" s="17"/>
      <c r="C7269" s="15"/>
      <c r="D7269" s="15"/>
      <c r="E7269" s="18"/>
    </row>
    <row r="7270" spans="2:5" x14ac:dyDescent="0.4">
      <c r="B7270" s="17"/>
      <c r="C7270" s="15"/>
      <c r="D7270" s="15"/>
      <c r="E7270" s="18"/>
    </row>
    <row r="7271" spans="2:5" x14ac:dyDescent="0.4">
      <c r="B7271" s="17"/>
      <c r="C7271" s="15"/>
      <c r="D7271" s="15"/>
      <c r="E7271" s="18"/>
    </row>
    <row r="7272" spans="2:5" x14ac:dyDescent="0.4">
      <c r="B7272" s="17"/>
      <c r="C7272" s="15"/>
      <c r="D7272" s="15"/>
      <c r="E7272" s="18"/>
    </row>
    <row r="7273" spans="2:5" x14ac:dyDescent="0.4">
      <c r="B7273" s="17"/>
      <c r="C7273" s="15"/>
      <c r="D7273" s="15"/>
      <c r="E7273" s="18"/>
    </row>
    <row r="7274" spans="2:5" x14ac:dyDescent="0.4">
      <c r="B7274" s="17"/>
      <c r="C7274" s="15"/>
      <c r="D7274" s="15"/>
      <c r="E7274" s="18"/>
    </row>
    <row r="7275" spans="2:5" x14ac:dyDescent="0.4">
      <c r="B7275" s="17"/>
      <c r="C7275" s="15"/>
      <c r="D7275" s="15"/>
      <c r="E7275" s="18"/>
    </row>
    <row r="7276" spans="2:5" x14ac:dyDescent="0.4">
      <c r="B7276" s="17"/>
      <c r="C7276" s="15"/>
      <c r="D7276" s="15"/>
      <c r="E7276" s="18"/>
    </row>
    <row r="7277" spans="2:5" x14ac:dyDescent="0.4">
      <c r="B7277" s="17"/>
      <c r="C7277" s="15"/>
      <c r="D7277" s="15"/>
      <c r="E7277" s="18"/>
    </row>
    <row r="7278" spans="2:5" x14ac:dyDescent="0.4">
      <c r="B7278" s="17"/>
      <c r="C7278" s="15"/>
      <c r="D7278" s="15"/>
      <c r="E7278" s="18"/>
    </row>
    <row r="7279" spans="2:5" x14ac:dyDescent="0.4">
      <c r="B7279" s="17"/>
      <c r="C7279" s="15"/>
      <c r="D7279" s="15"/>
      <c r="E7279" s="18"/>
    </row>
    <row r="7280" spans="2:5" x14ac:dyDescent="0.4">
      <c r="B7280" s="17"/>
      <c r="C7280" s="15"/>
      <c r="D7280" s="15"/>
      <c r="E7280" s="18"/>
    </row>
    <row r="7281" spans="2:5" x14ac:dyDescent="0.4">
      <c r="B7281" s="17"/>
      <c r="C7281" s="15"/>
      <c r="D7281" s="15"/>
      <c r="E7281" s="18"/>
    </row>
    <row r="7282" spans="2:5" x14ac:dyDescent="0.4">
      <c r="B7282" s="17"/>
      <c r="C7282" s="15"/>
      <c r="D7282" s="15"/>
      <c r="E7282" s="18"/>
    </row>
    <row r="7283" spans="2:5" x14ac:dyDescent="0.4">
      <c r="B7283" s="17"/>
      <c r="C7283" s="15"/>
      <c r="D7283" s="15"/>
      <c r="E7283" s="18"/>
    </row>
    <row r="7284" spans="2:5" x14ac:dyDescent="0.4">
      <c r="B7284" s="17"/>
      <c r="C7284" s="15"/>
      <c r="D7284" s="15"/>
      <c r="E7284" s="18"/>
    </row>
    <row r="7285" spans="2:5" x14ac:dyDescent="0.4">
      <c r="B7285" s="17"/>
      <c r="C7285" s="15"/>
      <c r="D7285" s="15"/>
      <c r="E7285" s="18"/>
    </row>
    <row r="7286" spans="2:5" x14ac:dyDescent="0.4">
      <c r="B7286" s="17"/>
      <c r="C7286" s="15"/>
      <c r="D7286" s="15"/>
      <c r="E7286" s="18"/>
    </row>
    <row r="7287" spans="2:5" x14ac:dyDescent="0.4">
      <c r="B7287" s="17"/>
      <c r="C7287" s="15"/>
      <c r="D7287" s="15"/>
      <c r="E7287" s="18"/>
    </row>
    <row r="7288" spans="2:5" x14ac:dyDescent="0.4">
      <c r="B7288" s="17"/>
      <c r="C7288" s="15"/>
      <c r="D7288" s="15"/>
      <c r="E7288" s="18"/>
    </row>
    <row r="7289" spans="2:5" x14ac:dyDescent="0.4">
      <c r="B7289" s="17"/>
      <c r="C7289" s="15"/>
      <c r="D7289" s="15"/>
      <c r="E7289" s="18"/>
    </row>
    <row r="7290" spans="2:5" x14ac:dyDescent="0.4">
      <c r="B7290" s="17"/>
      <c r="C7290" s="15"/>
      <c r="D7290" s="15"/>
      <c r="E7290" s="18"/>
    </row>
    <row r="7291" spans="2:5" x14ac:dyDescent="0.4">
      <c r="B7291" s="17"/>
      <c r="C7291" s="15"/>
      <c r="D7291" s="15"/>
      <c r="E7291" s="18"/>
    </row>
    <row r="7292" spans="2:5" x14ac:dyDescent="0.4">
      <c r="B7292" s="17"/>
      <c r="C7292" s="15"/>
      <c r="D7292" s="15"/>
      <c r="E7292" s="18"/>
    </row>
    <row r="7293" spans="2:5" x14ac:dyDescent="0.4">
      <c r="B7293" s="17"/>
      <c r="C7293" s="15"/>
      <c r="D7293" s="15"/>
      <c r="E7293" s="18"/>
    </row>
    <row r="7294" spans="2:5" x14ac:dyDescent="0.4">
      <c r="B7294" s="17"/>
      <c r="C7294" s="15"/>
      <c r="D7294" s="15"/>
      <c r="E7294" s="18"/>
    </row>
    <row r="7295" spans="2:5" x14ac:dyDescent="0.4">
      <c r="B7295" s="17"/>
      <c r="C7295" s="15"/>
      <c r="D7295" s="15"/>
      <c r="E7295" s="18"/>
    </row>
    <row r="7296" spans="2:5" x14ac:dyDescent="0.4">
      <c r="B7296" s="17"/>
      <c r="C7296" s="15"/>
      <c r="D7296" s="15"/>
      <c r="E7296" s="18"/>
    </row>
    <row r="7297" spans="2:5" x14ac:dyDescent="0.4">
      <c r="B7297" s="17"/>
      <c r="C7297" s="15"/>
      <c r="D7297" s="15"/>
      <c r="E7297" s="18"/>
    </row>
    <row r="7298" spans="2:5" x14ac:dyDescent="0.4">
      <c r="B7298" s="17"/>
      <c r="C7298" s="15"/>
      <c r="D7298" s="15"/>
      <c r="E7298" s="18"/>
    </row>
    <row r="7299" spans="2:5" x14ac:dyDescent="0.4">
      <c r="B7299" s="17"/>
      <c r="C7299" s="15"/>
      <c r="D7299" s="15"/>
      <c r="E7299" s="18"/>
    </row>
    <row r="7300" spans="2:5" x14ac:dyDescent="0.4">
      <c r="B7300" s="17"/>
      <c r="C7300" s="15"/>
      <c r="D7300" s="15"/>
      <c r="E7300" s="18"/>
    </row>
    <row r="7301" spans="2:5" x14ac:dyDescent="0.4">
      <c r="B7301" s="17"/>
      <c r="C7301" s="15"/>
      <c r="D7301" s="15"/>
      <c r="E7301" s="18"/>
    </row>
    <row r="7302" spans="2:5" x14ac:dyDescent="0.4">
      <c r="B7302" s="17"/>
      <c r="C7302" s="15"/>
      <c r="D7302" s="15"/>
      <c r="E7302" s="18"/>
    </row>
    <row r="7303" spans="2:5" x14ac:dyDescent="0.4">
      <c r="B7303" s="17"/>
      <c r="C7303" s="15"/>
      <c r="D7303" s="15"/>
      <c r="E7303" s="18"/>
    </row>
    <row r="7304" spans="2:5" x14ac:dyDescent="0.4">
      <c r="B7304" s="17"/>
      <c r="C7304" s="15"/>
      <c r="D7304" s="15"/>
      <c r="E7304" s="18"/>
    </row>
    <row r="7305" spans="2:5" x14ac:dyDescent="0.4">
      <c r="B7305" s="17"/>
      <c r="C7305" s="15"/>
      <c r="D7305" s="15"/>
      <c r="E7305" s="18"/>
    </row>
    <row r="7306" spans="2:5" x14ac:dyDescent="0.4">
      <c r="B7306" s="17"/>
      <c r="C7306" s="15"/>
      <c r="D7306" s="15"/>
      <c r="E7306" s="18"/>
    </row>
    <row r="7307" spans="2:5" x14ac:dyDescent="0.4">
      <c r="B7307" s="17"/>
      <c r="C7307" s="15"/>
      <c r="D7307" s="15"/>
      <c r="E7307" s="18"/>
    </row>
    <row r="7308" spans="2:5" x14ac:dyDescent="0.4">
      <c r="B7308" s="17"/>
      <c r="C7308" s="15"/>
      <c r="D7308" s="15"/>
      <c r="E7308" s="18"/>
    </row>
    <row r="7309" spans="2:5" x14ac:dyDescent="0.4">
      <c r="B7309" s="17"/>
      <c r="C7309" s="15"/>
      <c r="D7309" s="15"/>
      <c r="E7309" s="18"/>
    </row>
    <row r="7310" spans="2:5" x14ac:dyDescent="0.4">
      <c r="B7310" s="17"/>
      <c r="C7310" s="15"/>
      <c r="D7310" s="15"/>
      <c r="E7310" s="18"/>
    </row>
    <row r="7311" spans="2:5" x14ac:dyDescent="0.4">
      <c r="B7311" s="17"/>
      <c r="C7311" s="15"/>
      <c r="D7311" s="15"/>
      <c r="E7311" s="18"/>
    </row>
    <row r="7312" spans="2:5" x14ac:dyDescent="0.4">
      <c r="B7312" s="17"/>
      <c r="C7312" s="15"/>
      <c r="D7312" s="15"/>
      <c r="E7312" s="18"/>
    </row>
    <row r="7313" spans="2:5" x14ac:dyDescent="0.4">
      <c r="B7313" s="17"/>
      <c r="C7313" s="15"/>
      <c r="D7313" s="15"/>
      <c r="E7313" s="18"/>
    </row>
    <row r="7314" spans="2:5" x14ac:dyDescent="0.4">
      <c r="B7314" s="17"/>
      <c r="C7314" s="15"/>
      <c r="D7314" s="15"/>
      <c r="E7314" s="18"/>
    </row>
    <row r="7315" spans="2:5" x14ac:dyDescent="0.4">
      <c r="B7315" s="17"/>
      <c r="C7315" s="15"/>
      <c r="D7315" s="15"/>
      <c r="E7315" s="18"/>
    </row>
    <row r="7316" spans="2:5" x14ac:dyDescent="0.4">
      <c r="B7316" s="17"/>
      <c r="C7316" s="15"/>
      <c r="D7316" s="15"/>
      <c r="E7316" s="18"/>
    </row>
    <row r="7317" spans="2:5" x14ac:dyDescent="0.4">
      <c r="B7317" s="17"/>
      <c r="C7317" s="15"/>
      <c r="D7317" s="15"/>
      <c r="E7317" s="18"/>
    </row>
    <row r="7318" spans="2:5" x14ac:dyDescent="0.4">
      <c r="B7318" s="17"/>
      <c r="C7318" s="15"/>
      <c r="D7318" s="15"/>
      <c r="E7318" s="18"/>
    </row>
    <row r="7319" spans="2:5" x14ac:dyDescent="0.4">
      <c r="B7319" s="17"/>
      <c r="C7319" s="15"/>
      <c r="D7319" s="15"/>
      <c r="E7319" s="18"/>
    </row>
    <row r="7320" spans="2:5" x14ac:dyDescent="0.4">
      <c r="B7320" s="17"/>
      <c r="C7320" s="15"/>
      <c r="D7320" s="15"/>
      <c r="E7320" s="18"/>
    </row>
    <row r="7321" spans="2:5" x14ac:dyDescent="0.4">
      <c r="B7321" s="17"/>
      <c r="C7321" s="15"/>
      <c r="D7321" s="15"/>
      <c r="E7321" s="18"/>
    </row>
    <row r="7322" spans="2:5" x14ac:dyDescent="0.4">
      <c r="B7322" s="17"/>
      <c r="C7322" s="15"/>
      <c r="D7322" s="15"/>
      <c r="E7322" s="18"/>
    </row>
    <row r="7323" spans="2:5" x14ac:dyDescent="0.4">
      <c r="B7323" s="17"/>
      <c r="C7323" s="15"/>
      <c r="D7323" s="15"/>
      <c r="E7323" s="18"/>
    </row>
    <row r="7324" spans="2:5" x14ac:dyDescent="0.4">
      <c r="B7324" s="17"/>
      <c r="C7324" s="15"/>
      <c r="D7324" s="15"/>
      <c r="E7324" s="18"/>
    </row>
    <row r="7325" spans="2:5" x14ac:dyDescent="0.4">
      <c r="B7325" s="17"/>
      <c r="C7325" s="15"/>
      <c r="D7325" s="15"/>
      <c r="E7325" s="18"/>
    </row>
    <row r="7326" spans="2:5" x14ac:dyDescent="0.4">
      <c r="B7326" s="17"/>
      <c r="C7326" s="15"/>
      <c r="D7326" s="15"/>
      <c r="E7326" s="18"/>
    </row>
    <row r="7327" spans="2:5" x14ac:dyDescent="0.4">
      <c r="B7327" s="17"/>
      <c r="C7327" s="15"/>
      <c r="D7327" s="15"/>
      <c r="E7327" s="18"/>
    </row>
    <row r="7328" spans="2:5" x14ac:dyDescent="0.4">
      <c r="B7328" s="17"/>
      <c r="C7328" s="15"/>
      <c r="D7328" s="15"/>
      <c r="E7328" s="18"/>
    </row>
    <row r="7329" spans="2:5" x14ac:dyDescent="0.4">
      <c r="B7329" s="17"/>
      <c r="C7329" s="15"/>
      <c r="D7329" s="15"/>
      <c r="E7329" s="18"/>
    </row>
    <row r="7330" spans="2:5" x14ac:dyDescent="0.4">
      <c r="B7330" s="17"/>
      <c r="C7330" s="15"/>
      <c r="D7330" s="15"/>
      <c r="E7330" s="18"/>
    </row>
    <row r="7331" spans="2:5" x14ac:dyDescent="0.4">
      <c r="B7331" s="17"/>
      <c r="C7331" s="15"/>
      <c r="D7331" s="15"/>
      <c r="E7331" s="18"/>
    </row>
    <row r="7332" spans="2:5" x14ac:dyDescent="0.4">
      <c r="B7332" s="17"/>
      <c r="C7332" s="15"/>
      <c r="D7332" s="15"/>
      <c r="E7332" s="18"/>
    </row>
    <row r="7333" spans="2:5" x14ac:dyDescent="0.4">
      <c r="B7333" s="17"/>
      <c r="C7333" s="15"/>
      <c r="D7333" s="15"/>
      <c r="E7333" s="18"/>
    </row>
    <row r="7334" spans="2:5" x14ac:dyDescent="0.4">
      <c r="B7334" s="17"/>
      <c r="C7334" s="15"/>
      <c r="D7334" s="15"/>
      <c r="E7334" s="18"/>
    </row>
    <row r="7335" spans="2:5" x14ac:dyDescent="0.4">
      <c r="B7335" s="17"/>
      <c r="C7335" s="15"/>
      <c r="D7335" s="15"/>
      <c r="E7335" s="18"/>
    </row>
    <row r="7336" spans="2:5" x14ac:dyDescent="0.4">
      <c r="B7336" s="17"/>
      <c r="C7336" s="15"/>
      <c r="D7336" s="15"/>
      <c r="E7336" s="18"/>
    </row>
    <row r="7337" spans="2:5" x14ac:dyDescent="0.4">
      <c r="B7337" s="17"/>
      <c r="C7337" s="15"/>
      <c r="D7337" s="15"/>
      <c r="E7337" s="18"/>
    </row>
    <row r="7338" spans="2:5" x14ac:dyDescent="0.4">
      <c r="B7338" s="17"/>
      <c r="C7338" s="15"/>
      <c r="D7338" s="15"/>
      <c r="E7338" s="18"/>
    </row>
    <row r="7339" spans="2:5" x14ac:dyDescent="0.4">
      <c r="B7339" s="17"/>
      <c r="C7339" s="15"/>
      <c r="D7339" s="15"/>
      <c r="E7339" s="18"/>
    </row>
    <row r="7340" spans="2:5" x14ac:dyDescent="0.4">
      <c r="B7340" s="17"/>
      <c r="C7340" s="15"/>
      <c r="D7340" s="15"/>
      <c r="E7340" s="18"/>
    </row>
    <row r="7341" spans="2:5" x14ac:dyDescent="0.4">
      <c r="B7341" s="17"/>
      <c r="C7341" s="15"/>
      <c r="D7341" s="15"/>
      <c r="E7341" s="18"/>
    </row>
    <row r="7342" spans="2:5" x14ac:dyDescent="0.4">
      <c r="B7342" s="17"/>
      <c r="C7342" s="15"/>
      <c r="D7342" s="15"/>
      <c r="E7342" s="18"/>
    </row>
    <row r="7343" spans="2:5" x14ac:dyDescent="0.4">
      <c r="B7343" s="17"/>
      <c r="C7343" s="15"/>
      <c r="D7343" s="15"/>
      <c r="E7343" s="18"/>
    </row>
    <row r="7344" spans="2:5" x14ac:dyDescent="0.4">
      <c r="B7344" s="17"/>
      <c r="C7344" s="15"/>
      <c r="D7344" s="15"/>
      <c r="E7344" s="18"/>
    </row>
    <row r="7345" spans="2:5" x14ac:dyDescent="0.4">
      <c r="B7345" s="17"/>
      <c r="C7345" s="15"/>
      <c r="D7345" s="15"/>
      <c r="E7345" s="18"/>
    </row>
    <row r="7346" spans="2:5" x14ac:dyDescent="0.4">
      <c r="B7346" s="17"/>
      <c r="C7346" s="15"/>
      <c r="D7346" s="15"/>
      <c r="E7346" s="18"/>
    </row>
    <row r="7347" spans="2:5" x14ac:dyDescent="0.4">
      <c r="B7347" s="17"/>
      <c r="C7347" s="15"/>
      <c r="D7347" s="15"/>
      <c r="E7347" s="18"/>
    </row>
    <row r="7348" spans="2:5" x14ac:dyDescent="0.4">
      <c r="B7348" s="17"/>
      <c r="C7348" s="15"/>
      <c r="D7348" s="15"/>
      <c r="E7348" s="18"/>
    </row>
    <row r="7349" spans="2:5" x14ac:dyDescent="0.4">
      <c r="B7349" s="17"/>
      <c r="C7349" s="15"/>
      <c r="D7349" s="15"/>
      <c r="E7349" s="18"/>
    </row>
    <row r="7350" spans="2:5" x14ac:dyDescent="0.4">
      <c r="B7350" s="17"/>
      <c r="C7350" s="15"/>
      <c r="D7350" s="15"/>
      <c r="E7350" s="18"/>
    </row>
    <row r="7351" spans="2:5" x14ac:dyDescent="0.4">
      <c r="B7351" s="17"/>
      <c r="C7351" s="15"/>
      <c r="D7351" s="15"/>
      <c r="E7351" s="18"/>
    </row>
    <row r="7352" spans="2:5" x14ac:dyDescent="0.4">
      <c r="B7352" s="17"/>
      <c r="C7352" s="15"/>
      <c r="D7352" s="15"/>
      <c r="E7352" s="18"/>
    </row>
    <row r="7353" spans="2:5" x14ac:dyDescent="0.4">
      <c r="B7353" s="17"/>
      <c r="C7353" s="15"/>
      <c r="D7353" s="15"/>
      <c r="E7353" s="18"/>
    </row>
    <row r="7354" spans="2:5" x14ac:dyDescent="0.4">
      <c r="B7354" s="17"/>
      <c r="C7354" s="15"/>
      <c r="D7354" s="15"/>
      <c r="E7354" s="18"/>
    </row>
    <row r="7355" spans="2:5" x14ac:dyDescent="0.4">
      <c r="B7355" s="17"/>
      <c r="C7355" s="15"/>
      <c r="D7355" s="15"/>
      <c r="E7355" s="18"/>
    </row>
    <row r="7356" spans="2:5" x14ac:dyDescent="0.4">
      <c r="B7356" s="17"/>
      <c r="C7356" s="15"/>
      <c r="D7356" s="15"/>
      <c r="E7356" s="18"/>
    </row>
    <row r="7357" spans="2:5" x14ac:dyDescent="0.4">
      <c r="B7357" s="17"/>
      <c r="C7357" s="15"/>
      <c r="D7357" s="15"/>
      <c r="E7357" s="18"/>
    </row>
    <row r="7358" spans="2:5" x14ac:dyDescent="0.4">
      <c r="B7358" s="17"/>
      <c r="C7358" s="15"/>
      <c r="D7358" s="15"/>
      <c r="E7358" s="18"/>
    </row>
    <row r="7359" spans="2:5" x14ac:dyDescent="0.4">
      <c r="B7359" s="17"/>
      <c r="C7359" s="15"/>
      <c r="D7359" s="15"/>
      <c r="E7359" s="18"/>
    </row>
    <row r="7360" spans="2:5" x14ac:dyDescent="0.4">
      <c r="B7360" s="17"/>
      <c r="C7360" s="15"/>
      <c r="D7360" s="15"/>
      <c r="E7360" s="18"/>
    </row>
    <row r="7361" spans="2:5" x14ac:dyDescent="0.4">
      <c r="B7361" s="17"/>
      <c r="C7361" s="15"/>
      <c r="D7361" s="15"/>
      <c r="E7361" s="18"/>
    </row>
    <row r="7362" spans="2:5" x14ac:dyDescent="0.4">
      <c r="B7362" s="17"/>
      <c r="C7362" s="15"/>
      <c r="D7362" s="15"/>
      <c r="E7362" s="18"/>
    </row>
    <row r="7363" spans="2:5" x14ac:dyDescent="0.4">
      <c r="B7363" s="17"/>
      <c r="C7363" s="15"/>
      <c r="D7363" s="15"/>
      <c r="E7363" s="18"/>
    </row>
    <row r="7364" spans="2:5" x14ac:dyDescent="0.4">
      <c r="B7364" s="17"/>
      <c r="C7364" s="15"/>
      <c r="D7364" s="15"/>
      <c r="E7364" s="18"/>
    </row>
    <row r="7365" spans="2:5" x14ac:dyDescent="0.4">
      <c r="B7365" s="17"/>
      <c r="C7365" s="15"/>
      <c r="D7365" s="15"/>
      <c r="E7365" s="18"/>
    </row>
    <row r="7366" spans="2:5" x14ac:dyDescent="0.4">
      <c r="B7366" s="17"/>
      <c r="C7366" s="15"/>
      <c r="D7366" s="15"/>
      <c r="E7366" s="18"/>
    </row>
    <row r="7367" spans="2:5" x14ac:dyDescent="0.4">
      <c r="B7367" s="17"/>
      <c r="C7367" s="15"/>
      <c r="D7367" s="15"/>
      <c r="E7367" s="18"/>
    </row>
    <row r="7368" spans="2:5" x14ac:dyDescent="0.4">
      <c r="B7368" s="17"/>
      <c r="C7368" s="15"/>
      <c r="D7368" s="15"/>
      <c r="E7368" s="18"/>
    </row>
    <row r="7369" spans="2:5" x14ac:dyDescent="0.4">
      <c r="B7369" s="17"/>
      <c r="C7369" s="15"/>
      <c r="D7369" s="15"/>
      <c r="E7369" s="18"/>
    </row>
    <row r="7370" spans="2:5" x14ac:dyDescent="0.4">
      <c r="B7370" s="17"/>
      <c r="C7370" s="15"/>
      <c r="D7370" s="15"/>
      <c r="E7370" s="18"/>
    </row>
    <row r="7371" spans="2:5" x14ac:dyDescent="0.4">
      <c r="B7371" s="17"/>
      <c r="C7371" s="15"/>
      <c r="D7371" s="15"/>
      <c r="E7371" s="18"/>
    </row>
    <row r="7372" spans="2:5" x14ac:dyDescent="0.4">
      <c r="B7372" s="17"/>
      <c r="C7372" s="15"/>
      <c r="D7372" s="15"/>
      <c r="E7372" s="18"/>
    </row>
    <row r="7373" spans="2:5" x14ac:dyDescent="0.4">
      <c r="B7373" s="17"/>
      <c r="C7373" s="15"/>
      <c r="D7373" s="15"/>
      <c r="E7373" s="18"/>
    </row>
    <row r="7374" spans="2:5" x14ac:dyDescent="0.4">
      <c r="B7374" s="17"/>
      <c r="C7374" s="15"/>
      <c r="D7374" s="15"/>
      <c r="E7374" s="18"/>
    </row>
    <row r="7375" spans="2:5" x14ac:dyDescent="0.4">
      <c r="B7375" s="17"/>
      <c r="C7375" s="15"/>
      <c r="D7375" s="15"/>
      <c r="E7375" s="18"/>
    </row>
    <row r="7376" spans="2:5" x14ac:dyDescent="0.4">
      <c r="B7376" s="17"/>
      <c r="C7376" s="15"/>
      <c r="D7376" s="15"/>
      <c r="E7376" s="18"/>
    </row>
    <row r="7377" spans="2:5" x14ac:dyDescent="0.4">
      <c r="B7377" s="17"/>
      <c r="C7377" s="15"/>
      <c r="D7377" s="15"/>
      <c r="E7377" s="18"/>
    </row>
    <row r="7378" spans="2:5" x14ac:dyDescent="0.4">
      <c r="B7378" s="17"/>
      <c r="C7378" s="15"/>
      <c r="D7378" s="15"/>
      <c r="E7378" s="18"/>
    </row>
    <row r="7379" spans="2:5" x14ac:dyDescent="0.4">
      <c r="B7379" s="17"/>
      <c r="C7379" s="15"/>
      <c r="D7379" s="15"/>
      <c r="E7379" s="18"/>
    </row>
    <row r="7380" spans="2:5" x14ac:dyDescent="0.4">
      <c r="B7380" s="17"/>
      <c r="C7380" s="15"/>
      <c r="D7380" s="15"/>
      <c r="E7380" s="18"/>
    </row>
    <row r="7381" spans="2:5" x14ac:dyDescent="0.4">
      <c r="B7381" s="17"/>
      <c r="C7381" s="15"/>
      <c r="D7381" s="15"/>
      <c r="E7381" s="18"/>
    </row>
    <row r="7382" spans="2:5" x14ac:dyDescent="0.4">
      <c r="B7382" s="17"/>
      <c r="C7382" s="15"/>
      <c r="D7382" s="15"/>
      <c r="E7382" s="18"/>
    </row>
    <row r="7383" spans="2:5" x14ac:dyDescent="0.4">
      <c r="B7383" s="17"/>
      <c r="C7383" s="15"/>
      <c r="D7383" s="15"/>
      <c r="E7383" s="18"/>
    </row>
    <row r="7384" spans="2:5" x14ac:dyDescent="0.4">
      <c r="B7384" s="17"/>
      <c r="C7384" s="15"/>
      <c r="D7384" s="15"/>
      <c r="E7384" s="18"/>
    </row>
    <row r="7385" spans="2:5" x14ac:dyDescent="0.4">
      <c r="B7385" s="17"/>
      <c r="C7385" s="15"/>
      <c r="D7385" s="15"/>
      <c r="E7385" s="18"/>
    </row>
    <row r="7386" spans="2:5" x14ac:dyDescent="0.4">
      <c r="B7386" s="17"/>
      <c r="C7386" s="15"/>
      <c r="D7386" s="15"/>
      <c r="E7386" s="18"/>
    </row>
    <row r="7387" spans="2:5" x14ac:dyDescent="0.4">
      <c r="B7387" s="17"/>
      <c r="C7387" s="15"/>
      <c r="D7387" s="15"/>
      <c r="E7387" s="18"/>
    </row>
    <row r="7388" spans="2:5" x14ac:dyDescent="0.4">
      <c r="B7388" s="17"/>
      <c r="C7388" s="15"/>
      <c r="D7388" s="15"/>
      <c r="E7388" s="18"/>
    </row>
    <row r="7389" spans="2:5" x14ac:dyDescent="0.4">
      <c r="B7389" s="17"/>
      <c r="C7389" s="15"/>
      <c r="D7389" s="15"/>
      <c r="E7389" s="18"/>
    </row>
    <row r="7390" spans="2:5" x14ac:dyDescent="0.4">
      <c r="B7390" s="17"/>
      <c r="C7390" s="15"/>
      <c r="D7390" s="15"/>
      <c r="E7390" s="18"/>
    </row>
    <row r="7391" spans="2:5" x14ac:dyDescent="0.4">
      <c r="B7391" s="17"/>
      <c r="C7391" s="15"/>
      <c r="D7391" s="15"/>
      <c r="E7391" s="18"/>
    </row>
    <row r="7392" spans="2:5" x14ac:dyDescent="0.4">
      <c r="B7392" s="17"/>
      <c r="C7392" s="15"/>
      <c r="D7392" s="15"/>
      <c r="E7392" s="18"/>
    </row>
    <row r="7393" spans="2:5" x14ac:dyDescent="0.4">
      <c r="B7393" s="17"/>
      <c r="C7393" s="15"/>
      <c r="D7393" s="15"/>
      <c r="E7393" s="18"/>
    </row>
    <row r="7394" spans="2:5" x14ac:dyDescent="0.4">
      <c r="B7394" s="17"/>
      <c r="C7394" s="15"/>
      <c r="D7394" s="15"/>
      <c r="E7394" s="18"/>
    </row>
    <row r="7395" spans="2:5" x14ac:dyDescent="0.4">
      <c r="B7395" s="17"/>
      <c r="C7395" s="15"/>
      <c r="D7395" s="15"/>
      <c r="E7395" s="18"/>
    </row>
    <row r="7396" spans="2:5" x14ac:dyDescent="0.4">
      <c r="B7396" s="17"/>
      <c r="C7396" s="15"/>
      <c r="D7396" s="15"/>
      <c r="E7396" s="18"/>
    </row>
    <row r="7397" spans="2:5" x14ac:dyDescent="0.4">
      <c r="B7397" s="17"/>
      <c r="C7397" s="15"/>
      <c r="D7397" s="15"/>
      <c r="E7397" s="18"/>
    </row>
    <row r="7398" spans="2:5" x14ac:dyDescent="0.4">
      <c r="B7398" s="17"/>
      <c r="C7398" s="15"/>
      <c r="D7398" s="15"/>
      <c r="E7398" s="18"/>
    </row>
    <row r="7399" spans="2:5" x14ac:dyDescent="0.4">
      <c r="B7399" s="17"/>
      <c r="C7399" s="15"/>
      <c r="D7399" s="15"/>
      <c r="E7399" s="18"/>
    </row>
    <row r="7400" spans="2:5" x14ac:dyDescent="0.4">
      <c r="B7400" s="17"/>
      <c r="C7400" s="15"/>
      <c r="D7400" s="15"/>
      <c r="E7400" s="18"/>
    </row>
    <row r="7401" spans="2:5" x14ac:dyDescent="0.4">
      <c r="B7401" s="17"/>
      <c r="C7401" s="15"/>
      <c r="D7401" s="15"/>
      <c r="E7401" s="18"/>
    </row>
    <row r="7402" spans="2:5" x14ac:dyDescent="0.4">
      <c r="B7402" s="17"/>
      <c r="C7402" s="15"/>
      <c r="D7402" s="15"/>
      <c r="E7402" s="18"/>
    </row>
    <row r="7403" spans="2:5" x14ac:dyDescent="0.4">
      <c r="B7403" s="17"/>
      <c r="C7403" s="15"/>
      <c r="D7403" s="15"/>
      <c r="E7403" s="18"/>
    </row>
    <row r="7404" spans="2:5" x14ac:dyDescent="0.4">
      <c r="B7404" s="17"/>
      <c r="C7404" s="15"/>
      <c r="D7404" s="15"/>
      <c r="E7404" s="18"/>
    </row>
    <row r="7405" spans="2:5" x14ac:dyDescent="0.4">
      <c r="B7405" s="17"/>
      <c r="C7405" s="15"/>
      <c r="D7405" s="15"/>
      <c r="E7405" s="18"/>
    </row>
    <row r="7406" spans="2:5" x14ac:dyDescent="0.4">
      <c r="B7406" s="17"/>
      <c r="C7406" s="15"/>
      <c r="D7406" s="15"/>
      <c r="E7406" s="18"/>
    </row>
    <row r="7407" spans="2:5" x14ac:dyDescent="0.4">
      <c r="B7407" s="17"/>
      <c r="C7407" s="15"/>
      <c r="D7407" s="15"/>
      <c r="E7407" s="18"/>
    </row>
    <row r="7408" spans="2:5" x14ac:dyDescent="0.4">
      <c r="B7408" s="17"/>
      <c r="C7408" s="15"/>
      <c r="D7408" s="15"/>
      <c r="E7408" s="18"/>
    </row>
    <row r="7409" spans="2:5" x14ac:dyDescent="0.4">
      <c r="B7409" s="17"/>
      <c r="C7409" s="15"/>
      <c r="D7409" s="15"/>
      <c r="E7409" s="18"/>
    </row>
    <row r="7410" spans="2:5" x14ac:dyDescent="0.4">
      <c r="B7410" s="17"/>
      <c r="C7410" s="15"/>
      <c r="D7410" s="15"/>
      <c r="E7410" s="18"/>
    </row>
    <row r="7411" spans="2:5" x14ac:dyDescent="0.4">
      <c r="B7411" s="17"/>
      <c r="C7411" s="15"/>
      <c r="D7411" s="15"/>
      <c r="E7411" s="18"/>
    </row>
    <row r="7412" spans="2:5" x14ac:dyDescent="0.4">
      <c r="B7412" s="17"/>
      <c r="C7412" s="15"/>
      <c r="D7412" s="15"/>
      <c r="E7412" s="18"/>
    </row>
    <row r="7413" spans="2:5" x14ac:dyDescent="0.4">
      <c r="B7413" s="17"/>
      <c r="C7413" s="15"/>
      <c r="D7413" s="15"/>
      <c r="E7413" s="18"/>
    </row>
    <row r="7414" spans="2:5" x14ac:dyDescent="0.4">
      <c r="B7414" s="17"/>
      <c r="C7414" s="15"/>
      <c r="D7414" s="15"/>
      <c r="E7414" s="18"/>
    </row>
    <row r="7415" spans="2:5" x14ac:dyDescent="0.4">
      <c r="B7415" s="17"/>
      <c r="C7415" s="15"/>
      <c r="D7415" s="15"/>
      <c r="E7415" s="18"/>
    </row>
    <row r="7416" spans="2:5" x14ac:dyDescent="0.4">
      <c r="B7416" s="17"/>
      <c r="C7416" s="15"/>
      <c r="D7416" s="15"/>
      <c r="E7416" s="18"/>
    </row>
    <row r="7417" spans="2:5" x14ac:dyDescent="0.4">
      <c r="B7417" s="17"/>
      <c r="C7417" s="15"/>
      <c r="D7417" s="15"/>
      <c r="E7417" s="18"/>
    </row>
    <row r="7418" spans="2:5" x14ac:dyDescent="0.4">
      <c r="B7418" s="17"/>
      <c r="C7418" s="15"/>
      <c r="D7418" s="15"/>
      <c r="E7418" s="18"/>
    </row>
    <row r="7419" spans="2:5" x14ac:dyDescent="0.4">
      <c r="B7419" s="17"/>
      <c r="C7419" s="15"/>
      <c r="D7419" s="15"/>
      <c r="E7419" s="18"/>
    </row>
    <row r="7420" spans="2:5" x14ac:dyDescent="0.4">
      <c r="B7420" s="17"/>
      <c r="C7420" s="15"/>
      <c r="D7420" s="15"/>
      <c r="E7420" s="18"/>
    </row>
    <row r="7421" spans="2:5" x14ac:dyDescent="0.4">
      <c r="B7421" s="17"/>
      <c r="C7421" s="15"/>
      <c r="D7421" s="15"/>
      <c r="E7421" s="18"/>
    </row>
    <row r="7422" spans="2:5" x14ac:dyDescent="0.4">
      <c r="B7422" s="17"/>
      <c r="C7422" s="15"/>
      <c r="D7422" s="15"/>
      <c r="E7422" s="18"/>
    </row>
    <row r="7423" spans="2:5" x14ac:dyDescent="0.4">
      <c r="B7423" s="17"/>
      <c r="C7423" s="15"/>
      <c r="D7423" s="15"/>
      <c r="E7423" s="18"/>
    </row>
    <row r="7424" spans="2:5" x14ac:dyDescent="0.4">
      <c r="B7424" s="17"/>
      <c r="C7424" s="15"/>
      <c r="D7424" s="15"/>
      <c r="E7424" s="18"/>
    </row>
    <row r="7425" spans="2:5" x14ac:dyDescent="0.4">
      <c r="B7425" s="17"/>
      <c r="C7425" s="15"/>
      <c r="D7425" s="15"/>
      <c r="E7425" s="18"/>
    </row>
    <row r="7426" spans="2:5" x14ac:dyDescent="0.4">
      <c r="B7426" s="17"/>
      <c r="C7426" s="15"/>
      <c r="D7426" s="15"/>
      <c r="E7426" s="18"/>
    </row>
    <row r="7427" spans="2:5" x14ac:dyDescent="0.4">
      <c r="B7427" s="17"/>
      <c r="C7427" s="15"/>
      <c r="D7427" s="15"/>
      <c r="E7427" s="18"/>
    </row>
    <row r="7428" spans="2:5" x14ac:dyDescent="0.4">
      <c r="B7428" s="17"/>
      <c r="C7428" s="15"/>
      <c r="D7428" s="15"/>
      <c r="E7428" s="18"/>
    </row>
    <row r="7429" spans="2:5" x14ac:dyDescent="0.4">
      <c r="B7429" s="17"/>
      <c r="C7429" s="15"/>
      <c r="D7429" s="15"/>
      <c r="E7429" s="18"/>
    </row>
    <row r="7430" spans="2:5" x14ac:dyDescent="0.4">
      <c r="B7430" s="17"/>
      <c r="C7430" s="15"/>
      <c r="D7430" s="15"/>
      <c r="E7430" s="18"/>
    </row>
    <row r="7431" spans="2:5" x14ac:dyDescent="0.4">
      <c r="B7431" s="17"/>
      <c r="C7431" s="15"/>
      <c r="D7431" s="15"/>
      <c r="E7431" s="18"/>
    </row>
    <row r="7432" spans="2:5" x14ac:dyDescent="0.4">
      <c r="B7432" s="17"/>
      <c r="C7432" s="15"/>
      <c r="D7432" s="15"/>
      <c r="E7432" s="18"/>
    </row>
    <row r="7433" spans="2:5" x14ac:dyDescent="0.4">
      <c r="B7433" s="17"/>
      <c r="C7433" s="15"/>
      <c r="D7433" s="15"/>
      <c r="E7433" s="18"/>
    </row>
    <row r="7434" spans="2:5" x14ac:dyDescent="0.4">
      <c r="B7434" s="17"/>
      <c r="C7434" s="15"/>
      <c r="D7434" s="15"/>
      <c r="E7434" s="18"/>
    </row>
    <row r="7435" spans="2:5" x14ac:dyDescent="0.4">
      <c r="B7435" s="17"/>
      <c r="C7435" s="15"/>
      <c r="D7435" s="15"/>
      <c r="E7435" s="18"/>
    </row>
    <row r="7436" spans="2:5" x14ac:dyDescent="0.4">
      <c r="B7436" s="17"/>
      <c r="C7436" s="15"/>
      <c r="D7436" s="15"/>
      <c r="E7436" s="18"/>
    </row>
    <row r="7437" spans="2:5" x14ac:dyDescent="0.4">
      <c r="B7437" s="17"/>
      <c r="C7437" s="15"/>
      <c r="D7437" s="15"/>
      <c r="E7437" s="18"/>
    </row>
    <row r="7438" spans="2:5" x14ac:dyDescent="0.4">
      <c r="B7438" s="17"/>
      <c r="C7438" s="15"/>
      <c r="D7438" s="15"/>
      <c r="E7438" s="18"/>
    </row>
    <row r="7439" spans="2:5" x14ac:dyDescent="0.4">
      <c r="B7439" s="17"/>
      <c r="C7439" s="15"/>
      <c r="D7439" s="15"/>
      <c r="E7439" s="18"/>
    </row>
    <row r="7440" spans="2:5" x14ac:dyDescent="0.4">
      <c r="B7440" s="17"/>
      <c r="C7440" s="15"/>
      <c r="D7440" s="15"/>
      <c r="E7440" s="18"/>
    </row>
    <row r="7441" spans="2:5" x14ac:dyDescent="0.4">
      <c r="B7441" s="17"/>
      <c r="C7441" s="15"/>
      <c r="D7441" s="15"/>
      <c r="E7441" s="18"/>
    </row>
    <row r="7442" spans="2:5" x14ac:dyDescent="0.4">
      <c r="B7442" s="17"/>
      <c r="C7442" s="15"/>
      <c r="D7442" s="15"/>
      <c r="E7442" s="18"/>
    </row>
    <row r="7443" spans="2:5" x14ac:dyDescent="0.4">
      <c r="B7443" s="17"/>
      <c r="C7443" s="15"/>
      <c r="D7443" s="15"/>
      <c r="E7443" s="18"/>
    </row>
    <row r="7444" spans="2:5" x14ac:dyDescent="0.4">
      <c r="B7444" s="17"/>
      <c r="C7444" s="15"/>
      <c r="D7444" s="15"/>
      <c r="E7444" s="18"/>
    </row>
    <row r="7445" spans="2:5" x14ac:dyDescent="0.4">
      <c r="B7445" s="17"/>
      <c r="C7445" s="15"/>
      <c r="D7445" s="15"/>
      <c r="E7445" s="18"/>
    </row>
    <row r="7446" spans="2:5" x14ac:dyDescent="0.4">
      <c r="B7446" s="17"/>
      <c r="C7446" s="15"/>
      <c r="D7446" s="15"/>
      <c r="E7446" s="18"/>
    </row>
    <row r="7447" spans="2:5" x14ac:dyDescent="0.4">
      <c r="B7447" s="17"/>
      <c r="C7447" s="15"/>
      <c r="D7447" s="15"/>
      <c r="E7447" s="18"/>
    </row>
    <row r="7448" spans="2:5" x14ac:dyDescent="0.4">
      <c r="B7448" s="17"/>
      <c r="C7448" s="15"/>
      <c r="D7448" s="15"/>
      <c r="E7448" s="18"/>
    </row>
    <row r="7449" spans="2:5" x14ac:dyDescent="0.4">
      <c r="B7449" s="17"/>
      <c r="C7449" s="15"/>
      <c r="D7449" s="15"/>
      <c r="E7449" s="18"/>
    </row>
    <row r="7450" spans="2:5" x14ac:dyDescent="0.4">
      <c r="B7450" s="17"/>
      <c r="C7450" s="15"/>
      <c r="D7450" s="15"/>
      <c r="E7450" s="18"/>
    </row>
    <row r="7451" spans="2:5" x14ac:dyDescent="0.4">
      <c r="B7451" s="17"/>
      <c r="C7451" s="15"/>
      <c r="D7451" s="15"/>
      <c r="E7451" s="18"/>
    </row>
    <row r="7452" spans="2:5" x14ac:dyDescent="0.4">
      <c r="B7452" s="17"/>
      <c r="C7452" s="15"/>
      <c r="D7452" s="15"/>
      <c r="E7452" s="18"/>
    </row>
    <row r="7453" spans="2:5" x14ac:dyDescent="0.4">
      <c r="B7453" s="17"/>
      <c r="C7453" s="15"/>
      <c r="D7453" s="15"/>
      <c r="E7453" s="18"/>
    </row>
    <row r="7454" spans="2:5" x14ac:dyDescent="0.4">
      <c r="B7454" s="17"/>
      <c r="C7454" s="15"/>
      <c r="D7454" s="15"/>
      <c r="E7454" s="18"/>
    </row>
    <row r="7455" spans="2:5" x14ac:dyDescent="0.4">
      <c r="B7455" s="17"/>
      <c r="C7455" s="15"/>
      <c r="D7455" s="15"/>
      <c r="E7455" s="18"/>
    </row>
    <row r="7456" spans="2:5" x14ac:dyDescent="0.4">
      <c r="B7456" s="17"/>
      <c r="C7456" s="15"/>
      <c r="D7456" s="15"/>
      <c r="E7456" s="18"/>
    </row>
    <row r="7457" spans="2:5" x14ac:dyDescent="0.4">
      <c r="B7457" s="17"/>
      <c r="C7457" s="15"/>
      <c r="D7457" s="15"/>
      <c r="E7457" s="18"/>
    </row>
    <row r="7458" spans="2:5" x14ac:dyDescent="0.4">
      <c r="B7458" s="17"/>
      <c r="C7458" s="15"/>
      <c r="D7458" s="15"/>
      <c r="E7458" s="18"/>
    </row>
    <row r="7459" spans="2:5" x14ac:dyDescent="0.4">
      <c r="B7459" s="17"/>
      <c r="C7459" s="15"/>
      <c r="D7459" s="15"/>
      <c r="E7459" s="18"/>
    </row>
    <row r="7460" spans="2:5" x14ac:dyDescent="0.4">
      <c r="B7460" s="17"/>
      <c r="C7460" s="15"/>
      <c r="D7460" s="15"/>
      <c r="E7460" s="18"/>
    </row>
    <row r="7461" spans="2:5" x14ac:dyDescent="0.4">
      <c r="B7461" s="17"/>
      <c r="C7461" s="15"/>
      <c r="D7461" s="15"/>
      <c r="E7461" s="18"/>
    </row>
    <row r="7462" spans="2:5" x14ac:dyDescent="0.4">
      <c r="B7462" s="17"/>
      <c r="C7462" s="15"/>
      <c r="D7462" s="15"/>
      <c r="E7462" s="18"/>
    </row>
    <row r="7463" spans="2:5" x14ac:dyDescent="0.4">
      <c r="B7463" s="17"/>
      <c r="C7463" s="15"/>
      <c r="D7463" s="15"/>
      <c r="E7463" s="18"/>
    </row>
    <row r="7464" spans="2:5" x14ac:dyDescent="0.4">
      <c r="B7464" s="17"/>
      <c r="C7464" s="15"/>
      <c r="D7464" s="15"/>
      <c r="E7464" s="18"/>
    </row>
    <row r="7465" spans="2:5" x14ac:dyDescent="0.4">
      <c r="B7465" s="17"/>
      <c r="C7465" s="15"/>
      <c r="D7465" s="15"/>
      <c r="E7465" s="18"/>
    </row>
    <row r="7466" spans="2:5" x14ac:dyDescent="0.4">
      <c r="B7466" s="17"/>
      <c r="C7466" s="15"/>
      <c r="D7466" s="15"/>
      <c r="E7466" s="18"/>
    </row>
    <row r="7467" spans="2:5" x14ac:dyDescent="0.4">
      <c r="B7467" s="17"/>
      <c r="C7467" s="15"/>
      <c r="D7467" s="15"/>
      <c r="E7467" s="18"/>
    </row>
    <row r="7468" spans="2:5" x14ac:dyDescent="0.4">
      <c r="B7468" s="17"/>
      <c r="C7468" s="15"/>
      <c r="D7468" s="15"/>
      <c r="E7468" s="18"/>
    </row>
    <row r="7469" spans="2:5" x14ac:dyDescent="0.4">
      <c r="B7469" s="17"/>
      <c r="C7469" s="15"/>
      <c r="D7469" s="15"/>
      <c r="E7469" s="18"/>
    </row>
    <row r="7470" spans="2:5" x14ac:dyDescent="0.4">
      <c r="B7470" s="17"/>
      <c r="C7470" s="15"/>
      <c r="D7470" s="15"/>
      <c r="E7470" s="18"/>
    </row>
    <row r="7471" spans="2:5" x14ac:dyDescent="0.4">
      <c r="B7471" s="17"/>
      <c r="C7471" s="15"/>
      <c r="D7471" s="15"/>
      <c r="E7471" s="18"/>
    </row>
    <row r="7472" spans="2:5" x14ac:dyDescent="0.4">
      <c r="B7472" s="17"/>
      <c r="C7472" s="15"/>
      <c r="D7472" s="15"/>
      <c r="E7472" s="18"/>
    </row>
    <row r="7473" spans="2:5" x14ac:dyDescent="0.4">
      <c r="B7473" s="17"/>
      <c r="C7473" s="15"/>
      <c r="D7473" s="15"/>
      <c r="E7473" s="18"/>
    </row>
    <row r="7474" spans="2:5" x14ac:dyDescent="0.4">
      <c r="B7474" s="17"/>
      <c r="C7474" s="15"/>
      <c r="D7474" s="15"/>
      <c r="E7474" s="18"/>
    </row>
    <row r="7475" spans="2:5" x14ac:dyDescent="0.4">
      <c r="B7475" s="17"/>
      <c r="C7475" s="15"/>
      <c r="D7475" s="15"/>
      <c r="E7475" s="18"/>
    </row>
    <row r="7476" spans="2:5" x14ac:dyDescent="0.4">
      <c r="B7476" s="17"/>
      <c r="C7476" s="15"/>
      <c r="D7476" s="15"/>
      <c r="E7476" s="18"/>
    </row>
    <row r="7477" spans="2:5" x14ac:dyDescent="0.4">
      <c r="B7477" s="17"/>
      <c r="C7477" s="15"/>
      <c r="D7477" s="15"/>
      <c r="E7477" s="18"/>
    </row>
    <row r="7478" spans="2:5" x14ac:dyDescent="0.4">
      <c r="B7478" s="17"/>
      <c r="C7478" s="15"/>
      <c r="D7478" s="15"/>
      <c r="E7478" s="18"/>
    </row>
    <row r="7479" spans="2:5" x14ac:dyDescent="0.4">
      <c r="B7479" s="17"/>
      <c r="C7479" s="15"/>
      <c r="D7479" s="15"/>
      <c r="E7479" s="18"/>
    </row>
    <row r="7480" spans="2:5" x14ac:dyDescent="0.4">
      <c r="B7480" s="17"/>
      <c r="C7480" s="15"/>
      <c r="D7480" s="15"/>
      <c r="E7480" s="18"/>
    </row>
    <row r="7481" spans="2:5" x14ac:dyDescent="0.4">
      <c r="B7481" s="17"/>
      <c r="C7481" s="15"/>
      <c r="D7481" s="15"/>
      <c r="E7481" s="18"/>
    </row>
    <row r="7482" spans="2:5" x14ac:dyDescent="0.4">
      <c r="B7482" s="17"/>
      <c r="C7482" s="15"/>
      <c r="D7482" s="15"/>
      <c r="E7482" s="18"/>
    </row>
    <row r="7483" spans="2:5" x14ac:dyDescent="0.4">
      <c r="B7483" s="17"/>
      <c r="C7483" s="15"/>
      <c r="D7483" s="15"/>
      <c r="E7483" s="18"/>
    </row>
    <row r="7484" spans="2:5" x14ac:dyDescent="0.4">
      <c r="B7484" s="17"/>
      <c r="C7484" s="15"/>
      <c r="D7484" s="15"/>
      <c r="E7484" s="18"/>
    </row>
    <row r="7485" spans="2:5" x14ac:dyDescent="0.4">
      <c r="B7485" s="17"/>
      <c r="C7485" s="15"/>
      <c r="D7485" s="15"/>
      <c r="E7485" s="18"/>
    </row>
    <row r="7486" spans="2:5" x14ac:dyDescent="0.4">
      <c r="B7486" s="17"/>
      <c r="C7486" s="15"/>
      <c r="D7486" s="15"/>
      <c r="E7486" s="18"/>
    </row>
    <row r="7487" spans="2:5" x14ac:dyDescent="0.4">
      <c r="B7487" s="17"/>
      <c r="C7487" s="15"/>
      <c r="D7487" s="15"/>
      <c r="E7487" s="18"/>
    </row>
    <row r="7488" spans="2:5" x14ac:dyDescent="0.4">
      <c r="B7488" s="17"/>
      <c r="C7488" s="15"/>
      <c r="D7488" s="15"/>
      <c r="E7488" s="18"/>
    </row>
    <row r="7489" spans="2:5" x14ac:dyDescent="0.4">
      <c r="B7489" s="17"/>
      <c r="C7489" s="15"/>
      <c r="D7489" s="15"/>
      <c r="E7489" s="18"/>
    </row>
    <row r="7490" spans="2:5" x14ac:dyDescent="0.4">
      <c r="B7490" s="17"/>
      <c r="C7490" s="15"/>
      <c r="D7490" s="15"/>
      <c r="E7490" s="18"/>
    </row>
    <row r="7491" spans="2:5" x14ac:dyDescent="0.4">
      <c r="B7491" s="17"/>
      <c r="C7491" s="15"/>
      <c r="D7491" s="15"/>
      <c r="E7491" s="18"/>
    </row>
    <row r="7492" spans="2:5" x14ac:dyDescent="0.4">
      <c r="B7492" s="17"/>
      <c r="C7492" s="15"/>
      <c r="D7492" s="15"/>
      <c r="E7492" s="18"/>
    </row>
    <row r="7493" spans="2:5" x14ac:dyDescent="0.4">
      <c r="B7493" s="17"/>
      <c r="C7493" s="15"/>
      <c r="D7493" s="15"/>
      <c r="E7493" s="18"/>
    </row>
    <row r="7494" spans="2:5" x14ac:dyDescent="0.4">
      <c r="B7494" s="17"/>
      <c r="C7494" s="15"/>
      <c r="D7494" s="15"/>
      <c r="E7494" s="18"/>
    </row>
    <row r="7495" spans="2:5" x14ac:dyDescent="0.4">
      <c r="B7495" s="17"/>
      <c r="C7495" s="15"/>
      <c r="D7495" s="15"/>
      <c r="E7495" s="18"/>
    </row>
    <row r="7496" spans="2:5" x14ac:dyDescent="0.4">
      <c r="B7496" s="17"/>
      <c r="C7496" s="15"/>
      <c r="D7496" s="15"/>
      <c r="E7496" s="18"/>
    </row>
    <row r="7497" spans="2:5" x14ac:dyDescent="0.4">
      <c r="B7497" s="17"/>
      <c r="C7497" s="15"/>
      <c r="D7497" s="15"/>
      <c r="E7497" s="18"/>
    </row>
    <row r="7498" spans="2:5" x14ac:dyDescent="0.4">
      <c r="B7498" s="17"/>
      <c r="C7498" s="15"/>
      <c r="D7498" s="15"/>
      <c r="E7498" s="18"/>
    </row>
    <row r="7499" spans="2:5" x14ac:dyDescent="0.4">
      <c r="B7499" s="17"/>
      <c r="C7499" s="15"/>
      <c r="D7499" s="15"/>
      <c r="E7499" s="18"/>
    </row>
    <row r="7500" spans="2:5" x14ac:dyDescent="0.4">
      <c r="B7500" s="17"/>
      <c r="C7500" s="15"/>
      <c r="D7500" s="15"/>
      <c r="E7500" s="18"/>
    </row>
    <row r="7501" spans="2:5" x14ac:dyDescent="0.4">
      <c r="B7501" s="17"/>
      <c r="C7501" s="15"/>
      <c r="D7501" s="15"/>
      <c r="E7501" s="18"/>
    </row>
    <row r="7502" spans="2:5" x14ac:dyDescent="0.4">
      <c r="B7502" s="17"/>
      <c r="C7502" s="15"/>
      <c r="D7502" s="15"/>
      <c r="E7502" s="18"/>
    </row>
    <row r="7503" spans="2:5" x14ac:dyDescent="0.4">
      <c r="B7503" s="17"/>
      <c r="C7503" s="15"/>
      <c r="D7503" s="15"/>
      <c r="E7503" s="18"/>
    </row>
    <row r="7504" spans="2:5" x14ac:dyDescent="0.4">
      <c r="B7504" s="17"/>
      <c r="C7504" s="15"/>
      <c r="D7504" s="15"/>
      <c r="E7504" s="18"/>
    </row>
    <row r="7505" spans="2:5" x14ac:dyDescent="0.4">
      <c r="B7505" s="17"/>
      <c r="C7505" s="15"/>
      <c r="D7505" s="15"/>
      <c r="E7505" s="18"/>
    </row>
    <row r="7506" spans="2:5" x14ac:dyDescent="0.4">
      <c r="B7506" s="17"/>
      <c r="C7506" s="15"/>
      <c r="D7506" s="15"/>
      <c r="E7506" s="18"/>
    </row>
    <row r="7507" spans="2:5" x14ac:dyDescent="0.4">
      <c r="B7507" s="17"/>
      <c r="C7507" s="15"/>
      <c r="D7507" s="15"/>
      <c r="E7507" s="18"/>
    </row>
    <row r="7508" spans="2:5" x14ac:dyDescent="0.4">
      <c r="B7508" s="17"/>
      <c r="C7508" s="15"/>
      <c r="D7508" s="15"/>
      <c r="E7508" s="18"/>
    </row>
    <row r="7509" spans="2:5" x14ac:dyDescent="0.4">
      <c r="B7509" s="17"/>
      <c r="C7509" s="15"/>
      <c r="D7509" s="15"/>
      <c r="E7509" s="18"/>
    </row>
    <row r="7510" spans="2:5" x14ac:dyDescent="0.4">
      <c r="B7510" s="17"/>
      <c r="C7510" s="15"/>
      <c r="D7510" s="15"/>
      <c r="E7510" s="18"/>
    </row>
    <row r="7511" spans="2:5" x14ac:dyDescent="0.4">
      <c r="B7511" s="17"/>
      <c r="C7511" s="15"/>
      <c r="D7511" s="15"/>
      <c r="E7511" s="18"/>
    </row>
    <row r="7512" spans="2:5" x14ac:dyDescent="0.4">
      <c r="B7512" s="17"/>
      <c r="C7512" s="15"/>
      <c r="D7512" s="15"/>
      <c r="E7512" s="18"/>
    </row>
    <row r="7513" spans="2:5" x14ac:dyDescent="0.4">
      <c r="B7513" s="17"/>
      <c r="C7513" s="15"/>
      <c r="D7513" s="15"/>
      <c r="E7513" s="18"/>
    </row>
    <row r="7514" spans="2:5" x14ac:dyDescent="0.4">
      <c r="B7514" s="17"/>
      <c r="C7514" s="15"/>
      <c r="D7514" s="15"/>
      <c r="E7514" s="18"/>
    </row>
    <row r="7515" spans="2:5" x14ac:dyDescent="0.4">
      <c r="B7515" s="17"/>
      <c r="C7515" s="15"/>
      <c r="D7515" s="15"/>
      <c r="E7515" s="18"/>
    </row>
    <row r="7516" spans="2:5" x14ac:dyDescent="0.4">
      <c r="B7516" s="17"/>
      <c r="C7516" s="15"/>
      <c r="D7516" s="15"/>
      <c r="E7516" s="18"/>
    </row>
    <row r="7517" spans="2:5" x14ac:dyDescent="0.4">
      <c r="B7517" s="17"/>
      <c r="C7517" s="15"/>
      <c r="D7517" s="15"/>
      <c r="E7517" s="18"/>
    </row>
    <row r="7518" spans="2:5" x14ac:dyDescent="0.4">
      <c r="B7518" s="17"/>
      <c r="C7518" s="15"/>
      <c r="D7518" s="15"/>
      <c r="E7518" s="18"/>
    </row>
    <row r="7519" spans="2:5" x14ac:dyDescent="0.4">
      <c r="B7519" s="17"/>
      <c r="C7519" s="15"/>
      <c r="D7519" s="15"/>
      <c r="E7519" s="18"/>
    </row>
    <row r="7520" spans="2:5" x14ac:dyDescent="0.4">
      <c r="B7520" s="17"/>
      <c r="C7520" s="15"/>
      <c r="D7520" s="15"/>
      <c r="E7520" s="18"/>
    </row>
    <row r="7521" spans="2:5" x14ac:dyDescent="0.4">
      <c r="B7521" s="17"/>
      <c r="C7521" s="15"/>
      <c r="D7521" s="15"/>
      <c r="E7521" s="18"/>
    </row>
    <row r="7522" spans="2:5" x14ac:dyDescent="0.4">
      <c r="B7522" s="17"/>
      <c r="C7522" s="15"/>
      <c r="D7522" s="15"/>
      <c r="E7522" s="18"/>
    </row>
    <row r="7523" spans="2:5" x14ac:dyDescent="0.4">
      <c r="B7523" s="17"/>
      <c r="C7523" s="15"/>
      <c r="D7523" s="15"/>
      <c r="E7523" s="18"/>
    </row>
    <row r="7524" spans="2:5" x14ac:dyDescent="0.4">
      <c r="B7524" s="17"/>
      <c r="C7524" s="15"/>
      <c r="D7524" s="15"/>
      <c r="E7524" s="18"/>
    </row>
    <row r="7525" spans="2:5" x14ac:dyDescent="0.4">
      <c r="B7525" s="17"/>
      <c r="C7525" s="15"/>
      <c r="D7525" s="15"/>
      <c r="E7525" s="18"/>
    </row>
    <row r="7526" spans="2:5" x14ac:dyDescent="0.4">
      <c r="B7526" s="17"/>
      <c r="C7526" s="15"/>
      <c r="D7526" s="15"/>
      <c r="E7526" s="18"/>
    </row>
    <row r="7527" spans="2:5" x14ac:dyDescent="0.4">
      <c r="B7527" s="17"/>
      <c r="C7527" s="15"/>
      <c r="D7527" s="15"/>
      <c r="E7527" s="18"/>
    </row>
    <row r="7528" spans="2:5" x14ac:dyDescent="0.4">
      <c r="B7528" s="17"/>
      <c r="C7528" s="15"/>
      <c r="D7528" s="15"/>
      <c r="E7528" s="18"/>
    </row>
    <row r="7529" spans="2:5" x14ac:dyDescent="0.4">
      <c r="B7529" s="17"/>
      <c r="C7529" s="15"/>
      <c r="D7529" s="15"/>
      <c r="E7529" s="18"/>
    </row>
    <row r="7530" spans="2:5" x14ac:dyDescent="0.4">
      <c r="B7530" s="17"/>
      <c r="C7530" s="15"/>
      <c r="D7530" s="15"/>
      <c r="E7530" s="18"/>
    </row>
    <row r="7531" spans="2:5" x14ac:dyDescent="0.4">
      <c r="B7531" s="17"/>
      <c r="C7531" s="15"/>
      <c r="D7531" s="15"/>
      <c r="E7531" s="18"/>
    </row>
    <row r="7532" spans="2:5" x14ac:dyDescent="0.4">
      <c r="B7532" s="17"/>
      <c r="C7532" s="15"/>
      <c r="D7532" s="15"/>
      <c r="E7532" s="18"/>
    </row>
    <row r="7533" spans="2:5" x14ac:dyDescent="0.4">
      <c r="B7533" s="17"/>
      <c r="C7533" s="15"/>
      <c r="D7533" s="15"/>
      <c r="E7533" s="18"/>
    </row>
    <row r="7534" spans="2:5" x14ac:dyDescent="0.4">
      <c r="B7534" s="17"/>
      <c r="C7534" s="15"/>
      <c r="D7534" s="15"/>
      <c r="E7534" s="18"/>
    </row>
    <row r="7535" spans="2:5" x14ac:dyDescent="0.4">
      <c r="B7535" s="17"/>
      <c r="C7535" s="15"/>
      <c r="D7535" s="15"/>
      <c r="E7535" s="18"/>
    </row>
    <row r="7536" spans="2:5" x14ac:dyDescent="0.4">
      <c r="B7536" s="17"/>
      <c r="C7536" s="15"/>
      <c r="D7536" s="15"/>
      <c r="E7536" s="18"/>
    </row>
    <row r="7537" spans="2:5" x14ac:dyDescent="0.4">
      <c r="B7537" s="17"/>
      <c r="C7537" s="15"/>
      <c r="D7537" s="15"/>
      <c r="E7537" s="18"/>
    </row>
    <row r="7538" spans="2:5" x14ac:dyDescent="0.4">
      <c r="B7538" s="17"/>
      <c r="C7538" s="15"/>
      <c r="D7538" s="15"/>
      <c r="E7538" s="18"/>
    </row>
    <row r="7539" spans="2:5" x14ac:dyDescent="0.4">
      <c r="B7539" s="17"/>
      <c r="C7539" s="15"/>
      <c r="D7539" s="15"/>
      <c r="E7539" s="18"/>
    </row>
    <row r="7540" spans="2:5" x14ac:dyDescent="0.4">
      <c r="B7540" s="17"/>
      <c r="C7540" s="15"/>
      <c r="D7540" s="15"/>
      <c r="E7540" s="18"/>
    </row>
    <row r="7541" spans="2:5" x14ac:dyDescent="0.4">
      <c r="B7541" s="17"/>
      <c r="C7541" s="15"/>
      <c r="D7541" s="15"/>
      <c r="E7541" s="18"/>
    </row>
    <row r="7542" spans="2:5" x14ac:dyDescent="0.4">
      <c r="B7542" s="17"/>
      <c r="C7542" s="15"/>
      <c r="D7542" s="15"/>
      <c r="E7542" s="18"/>
    </row>
    <row r="7543" spans="2:5" x14ac:dyDescent="0.4">
      <c r="B7543" s="17"/>
      <c r="C7543" s="15"/>
      <c r="D7543" s="15"/>
      <c r="E7543" s="18"/>
    </row>
    <row r="7544" spans="2:5" x14ac:dyDescent="0.4">
      <c r="B7544" s="17"/>
      <c r="C7544" s="15"/>
      <c r="D7544" s="15"/>
      <c r="E7544" s="18"/>
    </row>
    <row r="7545" spans="2:5" x14ac:dyDescent="0.4">
      <c r="B7545" s="17"/>
      <c r="C7545" s="15"/>
      <c r="D7545" s="15"/>
      <c r="E7545" s="18"/>
    </row>
    <row r="7546" spans="2:5" x14ac:dyDescent="0.4">
      <c r="B7546" s="17"/>
      <c r="C7546" s="15"/>
      <c r="D7546" s="15"/>
      <c r="E7546" s="18"/>
    </row>
    <row r="7547" spans="2:5" x14ac:dyDescent="0.4">
      <c r="B7547" s="17"/>
      <c r="C7547" s="15"/>
      <c r="D7547" s="15"/>
      <c r="E7547" s="18"/>
    </row>
    <row r="7548" spans="2:5" x14ac:dyDescent="0.4">
      <c r="B7548" s="17"/>
      <c r="C7548" s="15"/>
      <c r="D7548" s="15"/>
      <c r="E7548" s="18"/>
    </row>
    <row r="7549" spans="2:5" x14ac:dyDescent="0.4">
      <c r="B7549" s="17"/>
      <c r="C7549" s="15"/>
      <c r="D7549" s="15"/>
      <c r="E7549" s="18"/>
    </row>
    <row r="7550" spans="2:5" x14ac:dyDescent="0.4">
      <c r="B7550" s="17"/>
      <c r="C7550" s="15"/>
      <c r="D7550" s="15"/>
      <c r="E7550" s="18"/>
    </row>
    <row r="7551" spans="2:5" x14ac:dyDescent="0.4">
      <c r="B7551" s="17"/>
      <c r="C7551" s="15"/>
      <c r="D7551" s="15"/>
      <c r="E7551" s="18"/>
    </row>
    <row r="7552" spans="2:5" x14ac:dyDescent="0.4">
      <c r="B7552" s="17"/>
      <c r="C7552" s="15"/>
      <c r="D7552" s="15"/>
      <c r="E7552" s="18"/>
    </row>
    <row r="7553" spans="2:5" x14ac:dyDescent="0.4">
      <c r="B7553" s="17"/>
      <c r="C7553" s="15"/>
      <c r="D7553" s="15"/>
      <c r="E7553" s="18"/>
    </row>
    <row r="7554" spans="2:5" x14ac:dyDescent="0.4">
      <c r="B7554" s="17"/>
      <c r="C7554" s="15"/>
      <c r="D7554" s="15"/>
      <c r="E7554" s="18"/>
    </row>
    <row r="7555" spans="2:5" x14ac:dyDescent="0.4">
      <c r="B7555" s="17"/>
      <c r="C7555" s="15"/>
      <c r="D7555" s="15"/>
      <c r="E7555" s="18"/>
    </row>
    <row r="7556" spans="2:5" x14ac:dyDescent="0.4">
      <c r="B7556" s="17"/>
      <c r="C7556" s="15"/>
      <c r="D7556" s="15"/>
      <c r="E7556" s="18"/>
    </row>
    <row r="7557" spans="2:5" x14ac:dyDescent="0.4">
      <c r="B7557" s="17"/>
      <c r="C7557" s="15"/>
      <c r="D7557" s="15"/>
      <c r="E7557" s="18"/>
    </row>
    <row r="7558" spans="2:5" x14ac:dyDescent="0.4">
      <c r="B7558" s="17"/>
      <c r="C7558" s="15"/>
      <c r="D7558" s="15"/>
      <c r="E7558" s="18"/>
    </row>
    <row r="7559" spans="2:5" x14ac:dyDescent="0.4">
      <c r="B7559" s="17"/>
      <c r="C7559" s="15"/>
      <c r="D7559" s="15"/>
      <c r="E7559" s="18"/>
    </row>
    <row r="7560" spans="2:5" x14ac:dyDescent="0.4">
      <c r="B7560" s="17"/>
      <c r="C7560" s="15"/>
      <c r="D7560" s="15"/>
      <c r="E7560" s="18"/>
    </row>
    <row r="7561" spans="2:5" x14ac:dyDescent="0.4">
      <c r="B7561" s="17"/>
      <c r="C7561" s="15"/>
      <c r="D7561" s="15"/>
      <c r="E7561" s="18"/>
    </row>
    <row r="7562" spans="2:5" x14ac:dyDescent="0.4">
      <c r="B7562" s="17"/>
      <c r="C7562" s="15"/>
      <c r="D7562" s="15"/>
      <c r="E7562" s="18"/>
    </row>
    <row r="7563" spans="2:5" x14ac:dyDescent="0.4">
      <c r="B7563" s="17"/>
      <c r="C7563" s="15"/>
      <c r="D7563" s="15"/>
      <c r="E7563" s="18"/>
    </row>
    <row r="7564" spans="2:5" x14ac:dyDescent="0.4">
      <c r="B7564" s="17"/>
      <c r="C7564" s="15"/>
      <c r="D7564" s="15"/>
      <c r="E7564" s="18"/>
    </row>
    <row r="7565" spans="2:5" x14ac:dyDescent="0.4">
      <c r="B7565" s="17"/>
      <c r="C7565" s="15"/>
      <c r="D7565" s="15"/>
      <c r="E7565" s="18"/>
    </row>
    <row r="7566" spans="2:5" x14ac:dyDescent="0.4">
      <c r="B7566" s="17"/>
      <c r="C7566" s="15"/>
      <c r="D7566" s="15"/>
      <c r="E7566" s="18"/>
    </row>
    <row r="7567" spans="2:5" x14ac:dyDescent="0.4">
      <c r="B7567" s="17"/>
      <c r="C7567" s="15"/>
      <c r="D7567" s="15"/>
      <c r="E7567" s="18"/>
    </row>
    <row r="7568" spans="2:5" x14ac:dyDescent="0.4">
      <c r="B7568" s="17"/>
      <c r="C7568" s="15"/>
      <c r="D7568" s="15"/>
      <c r="E7568" s="18"/>
    </row>
    <row r="7569" spans="2:5" x14ac:dyDescent="0.4">
      <c r="B7569" s="17"/>
      <c r="C7569" s="15"/>
      <c r="D7569" s="15"/>
      <c r="E7569" s="18"/>
    </row>
    <row r="7570" spans="2:5" x14ac:dyDescent="0.4">
      <c r="B7570" s="17"/>
      <c r="C7570" s="15"/>
      <c r="D7570" s="15"/>
      <c r="E7570" s="18"/>
    </row>
    <row r="7571" spans="2:5" x14ac:dyDescent="0.4">
      <c r="B7571" s="17"/>
      <c r="C7571" s="15"/>
      <c r="D7571" s="15"/>
      <c r="E7571" s="18"/>
    </row>
    <row r="7572" spans="2:5" x14ac:dyDescent="0.4">
      <c r="B7572" s="17"/>
      <c r="C7572" s="15"/>
      <c r="D7572" s="15"/>
      <c r="E7572" s="18"/>
    </row>
    <row r="7573" spans="2:5" x14ac:dyDescent="0.4">
      <c r="B7573" s="17"/>
      <c r="C7573" s="15"/>
      <c r="D7573" s="15"/>
      <c r="E7573" s="18"/>
    </row>
    <row r="7574" spans="2:5" x14ac:dyDescent="0.4">
      <c r="B7574" s="17"/>
      <c r="C7574" s="15"/>
      <c r="D7574" s="15"/>
      <c r="E7574" s="18"/>
    </row>
    <row r="7575" spans="2:5" x14ac:dyDescent="0.4">
      <c r="B7575" s="17"/>
      <c r="C7575" s="15"/>
      <c r="D7575" s="15"/>
      <c r="E7575" s="18"/>
    </row>
    <row r="7576" spans="2:5" x14ac:dyDescent="0.4">
      <c r="B7576" s="17"/>
      <c r="C7576" s="15"/>
      <c r="D7576" s="15"/>
      <c r="E7576" s="18"/>
    </row>
    <row r="7577" spans="2:5" x14ac:dyDescent="0.4">
      <c r="B7577" s="17"/>
      <c r="C7577" s="15"/>
      <c r="D7577" s="15"/>
      <c r="E7577" s="18"/>
    </row>
    <row r="7578" spans="2:5" x14ac:dyDescent="0.4">
      <c r="B7578" s="17"/>
      <c r="C7578" s="15"/>
      <c r="D7578" s="15"/>
      <c r="E7578" s="18"/>
    </row>
    <row r="7579" spans="2:5" x14ac:dyDescent="0.4">
      <c r="B7579" s="17"/>
      <c r="C7579" s="15"/>
      <c r="D7579" s="15"/>
      <c r="E7579" s="18"/>
    </row>
    <row r="7580" spans="2:5" x14ac:dyDescent="0.4">
      <c r="B7580" s="17"/>
      <c r="C7580" s="15"/>
      <c r="D7580" s="15"/>
      <c r="E7580" s="18"/>
    </row>
    <row r="7581" spans="2:5" x14ac:dyDescent="0.4">
      <c r="B7581" s="17"/>
      <c r="C7581" s="15"/>
      <c r="D7581" s="15"/>
      <c r="E7581" s="18"/>
    </row>
    <row r="7582" spans="2:5" x14ac:dyDescent="0.4">
      <c r="B7582" s="17"/>
      <c r="C7582" s="15"/>
      <c r="D7582" s="15"/>
      <c r="E7582" s="18"/>
    </row>
    <row r="7583" spans="2:5" x14ac:dyDescent="0.4">
      <c r="B7583" s="17"/>
      <c r="C7583" s="15"/>
      <c r="D7583" s="15"/>
      <c r="E7583" s="18"/>
    </row>
    <row r="7584" spans="2:5" x14ac:dyDescent="0.4">
      <c r="B7584" s="17"/>
      <c r="C7584" s="15"/>
      <c r="D7584" s="15"/>
      <c r="E7584" s="18"/>
    </row>
    <row r="7585" spans="2:5" x14ac:dyDescent="0.4">
      <c r="B7585" s="17"/>
      <c r="C7585" s="15"/>
      <c r="D7585" s="15"/>
      <c r="E7585" s="18"/>
    </row>
    <row r="7586" spans="2:5" x14ac:dyDescent="0.4">
      <c r="B7586" s="17"/>
      <c r="C7586" s="15"/>
      <c r="D7586" s="15"/>
      <c r="E7586" s="18"/>
    </row>
    <row r="7587" spans="2:5" x14ac:dyDescent="0.4">
      <c r="B7587" s="17"/>
      <c r="C7587" s="15"/>
      <c r="D7587" s="15"/>
      <c r="E7587" s="18"/>
    </row>
    <row r="7588" spans="2:5" x14ac:dyDescent="0.4">
      <c r="B7588" s="17"/>
      <c r="C7588" s="15"/>
      <c r="D7588" s="15"/>
      <c r="E7588" s="18"/>
    </row>
    <row r="7589" spans="2:5" x14ac:dyDescent="0.4">
      <c r="B7589" s="17"/>
      <c r="C7589" s="15"/>
      <c r="D7589" s="15"/>
      <c r="E7589" s="18"/>
    </row>
    <row r="7590" spans="2:5" x14ac:dyDescent="0.4">
      <c r="B7590" s="17"/>
      <c r="C7590" s="15"/>
      <c r="D7590" s="15"/>
      <c r="E7590" s="18"/>
    </row>
    <row r="7591" spans="2:5" x14ac:dyDescent="0.4">
      <c r="B7591" s="17"/>
      <c r="C7591" s="15"/>
      <c r="D7591" s="15"/>
      <c r="E7591" s="18"/>
    </row>
    <row r="7592" spans="2:5" x14ac:dyDescent="0.4">
      <c r="B7592" s="17"/>
      <c r="C7592" s="15"/>
      <c r="D7592" s="15"/>
      <c r="E7592" s="18"/>
    </row>
    <row r="7593" spans="2:5" x14ac:dyDescent="0.4">
      <c r="B7593" s="17"/>
      <c r="C7593" s="15"/>
      <c r="D7593" s="15"/>
      <c r="E7593" s="18"/>
    </row>
    <row r="7594" spans="2:5" x14ac:dyDescent="0.4">
      <c r="B7594" s="17"/>
      <c r="C7594" s="15"/>
      <c r="D7594" s="15"/>
      <c r="E7594" s="18"/>
    </row>
    <row r="7595" spans="2:5" x14ac:dyDescent="0.4">
      <c r="B7595" s="17"/>
      <c r="C7595" s="15"/>
      <c r="D7595" s="15"/>
      <c r="E7595" s="18"/>
    </row>
    <row r="7596" spans="2:5" x14ac:dyDescent="0.4">
      <c r="B7596" s="17"/>
      <c r="C7596" s="15"/>
      <c r="D7596" s="15"/>
      <c r="E7596" s="18"/>
    </row>
    <row r="7597" spans="2:5" x14ac:dyDescent="0.4">
      <c r="B7597" s="17"/>
      <c r="C7597" s="15"/>
      <c r="D7597" s="15"/>
      <c r="E7597" s="18"/>
    </row>
    <row r="7598" spans="2:5" x14ac:dyDescent="0.4">
      <c r="B7598" s="17"/>
      <c r="C7598" s="15"/>
      <c r="D7598" s="15"/>
      <c r="E7598" s="18"/>
    </row>
    <row r="7599" spans="2:5" x14ac:dyDescent="0.4">
      <c r="B7599" s="17"/>
      <c r="C7599" s="15"/>
      <c r="D7599" s="15"/>
      <c r="E7599" s="18"/>
    </row>
    <row r="7600" spans="2:5" x14ac:dyDescent="0.4">
      <c r="B7600" s="17"/>
      <c r="C7600" s="15"/>
      <c r="D7600" s="15"/>
      <c r="E7600" s="18"/>
    </row>
    <row r="7601" spans="2:5" x14ac:dyDescent="0.4">
      <c r="B7601" s="17"/>
      <c r="C7601" s="15"/>
      <c r="D7601" s="15"/>
      <c r="E7601" s="18"/>
    </row>
    <row r="7602" spans="2:5" x14ac:dyDescent="0.4">
      <c r="B7602" s="17"/>
      <c r="C7602" s="15"/>
      <c r="D7602" s="15"/>
      <c r="E7602" s="18"/>
    </row>
    <row r="7603" spans="2:5" x14ac:dyDescent="0.4">
      <c r="B7603" s="17"/>
      <c r="C7603" s="15"/>
      <c r="D7603" s="15"/>
      <c r="E7603" s="18"/>
    </row>
    <row r="7604" spans="2:5" x14ac:dyDescent="0.4">
      <c r="B7604" s="17"/>
      <c r="C7604" s="15"/>
      <c r="D7604" s="15"/>
      <c r="E7604" s="18"/>
    </row>
    <row r="7605" spans="2:5" x14ac:dyDescent="0.4">
      <c r="B7605" s="17"/>
      <c r="C7605" s="15"/>
      <c r="D7605" s="15"/>
      <c r="E7605" s="18"/>
    </row>
    <row r="7606" spans="2:5" x14ac:dyDescent="0.4">
      <c r="B7606" s="17"/>
      <c r="C7606" s="15"/>
      <c r="D7606" s="15"/>
      <c r="E7606" s="18"/>
    </row>
    <row r="7607" spans="2:5" x14ac:dyDescent="0.4">
      <c r="B7607" s="17"/>
      <c r="C7607" s="15"/>
      <c r="D7607" s="15"/>
      <c r="E7607" s="18"/>
    </row>
    <row r="7608" spans="2:5" x14ac:dyDescent="0.4">
      <c r="B7608" s="17"/>
      <c r="C7608" s="15"/>
      <c r="D7608" s="15"/>
      <c r="E7608" s="18"/>
    </row>
    <row r="7609" spans="2:5" x14ac:dyDescent="0.4">
      <c r="B7609" s="17"/>
      <c r="C7609" s="15"/>
      <c r="D7609" s="15"/>
      <c r="E7609" s="18"/>
    </row>
    <row r="7610" spans="2:5" x14ac:dyDescent="0.4">
      <c r="B7610" s="17"/>
      <c r="C7610" s="15"/>
      <c r="D7610" s="15"/>
      <c r="E7610" s="18"/>
    </row>
    <row r="7611" spans="2:5" x14ac:dyDescent="0.4">
      <c r="B7611" s="17"/>
      <c r="C7611" s="15"/>
      <c r="D7611" s="15"/>
      <c r="E7611" s="18"/>
    </row>
    <row r="7612" spans="2:5" x14ac:dyDescent="0.4">
      <c r="B7612" s="17"/>
      <c r="C7612" s="15"/>
      <c r="D7612" s="15"/>
      <c r="E7612" s="18"/>
    </row>
    <row r="7613" spans="2:5" x14ac:dyDescent="0.4">
      <c r="B7613" s="17"/>
      <c r="C7613" s="15"/>
      <c r="D7613" s="15"/>
      <c r="E7613" s="18"/>
    </row>
    <row r="7614" spans="2:5" x14ac:dyDescent="0.4">
      <c r="B7614" s="17"/>
      <c r="C7614" s="15"/>
      <c r="D7614" s="15"/>
      <c r="E7614" s="18"/>
    </row>
    <row r="7615" spans="2:5" x14ac:dyDescent="0.4">
      <c r="B7615" s="17"/>
      <c r="C7615" s="15"/>
      <c r="D7615" s="15"/>
      <c r="E7615" s="18"/>
    </row>
    <row r="7616" spans="2:5" x14ac:dyDescent="0.4">
      <c r="B7616" s="17"/>
      <c r="C7616" s="15"/>
      <c r="D7616" s="15"/>
      <c r="E7616" s="18"/>
    </row>
    <row r="7617" spans="2:5" x14ac:dyDescent="0.4">
      <c r="B7617" s="17"/>
      <c r="C7617" s="15"/>
      <c r="D7617" s="15"/>
      <c r="E7617" s="18"/>
    </row>
    <row r="7618" spans="2:5" x14ac:dyDescent="0.4">
      <c r="B7618" s="17"/>
      <c r="C7618" s="15"/>
      <c r="D7618" s="15"/>
      <c r="E7618" s="18"/>
    </row>
    <row r="7619" spans="2:5" x14ac:dyDescent="0.4">
      <c r="B7619" s="17"/>
      <c r="C7619" s="15"/>
      <c r="D7619" s="15"/>
      <c r="E7619" s="18"/>
    </row>
    <row r="7620" spans="2:5" x14ac:dyDescent="0.4">
      <c r="B7620" s="17"/>
      <c r="C7620" s="15"/>
      <c r="D7620" s="15"/>
      <c r="E7620" s="18"/>
    </row>
    <row r="7621" spans="2:5" x14ac:dyDescent="0.4">
      <c r="B7621" s="17"/>
      <c r="C7621" s="15"/>
      <c r="D7621" s="15"/>
      <c r="E7621" s="18"/>
    </row>
    <row r="7622" spans="2:5" x14ac:dyDescent="0.4">
      <c r="B7622" s="17"/>
      <c r="C7622" s="15"/>
      <c r="D7622" s="15"/>
      <c r="E7622" s="18"/>
    </row>
    <row r="7623" spans="2:5" x14ac:dyDescent="0.4">
      <c r="B7623" s="17"/>
      <c r="C7623" s="15"/>
      <c r="D7623" s="15"/>
      <c r="E7623" s="18"/>
    </row>
    <row r="7624" spans="2:5" x14ac:dyDescent="0.4">
      <c r="B7624" s="17"/>
      <c r="C7624" s="15"/>
      <c r="D7624" s="15"/>
      <c r="E7624" s="18"/>
    </row>
    <row r="7625" spans="2:5" x14ac:dyDescent="0.4">
      <c r="B7625" s="17"/>
      <c r="C7625" s="15"/>
      <c r="D7625" s="15"/>
      <c r="E7625" s="18"/>
    </row>
    <row r="7626" spans="2:5" x14ac:dyDescent="0.4">
      <c r="B7626" s="17"/>
      <c r="C7626" s="15"/>
      <c r="D7626" s="15"/>
      <c r="E7626" s="18"/>
    </row>
    <row r="7627" spans="2:5" x14ac:dyDescent="0.4">
      <c r="B7627" s="17"/>
      <c r="C7627" s="15"/>
      <c r="D7627" s="15"/>
      <c r="E7627" s="18"/>
    </row>
    <row r="7628" spans="2:5" x14ac:dyDescent="0.4">
      <c r="B7628" s="17"/>
      <c r="C7628" s="15"/>
      <c r="D7628" s="15"/>
      <c r="E7628" s="18"/>
    </row>
    <row r="7629" spans="2:5" x14ac:dyDescent="0.4">
      <c r="B7629" s="17"/>
      <c r="C7629" s="15"/>
      <c r="D7629" s="15"/>
      <c r="E7629" s="18"/>
    </row>
    <row r="7630" spans="2:5" x14ac:dyDescent="0.4">
      <c r="B7630" s="17"/>
      <c r="C7630" s="15"/>
      <c r="D7630" s="15"/>
      <c r="E7630" s="18"/>
    </row>
    <row r="7631" spans="2:5" x14ac:dyDescent="0.4">
      <c r="B7631" s="17"/>
      <c r="C7631" s="15"/>
      <c r="D7631" s="15"/>
      <c r="E7631" s="18"/>
    </row>
    <row r="7632" spans="2:5" x14ac:dyDescent="0.4">
      <c r="B7632" s="17"/>
      <c r="C7632" s="15"/>
      <c r="D7632" s="15"/>
      <c r="E7632" s="18"/>
    </row>
    <row r="7633" spans="2:5" x14ac:dyDescent="0.4">
      <c r="B7633" s="17"/>
      <c r="C7633" s="15"/>
      <c r="D7633" s="15"/>
      <c r="E7633" s="18"/>
    </row>
    <row r="7634" spans="2:5" x14ac:dyDescent="0.4">
      <c r="B7634" s="17"/>
      <c r="C7634" s="15"/>
      <c r="D7634" s="15"/>
      <c r="E7634" s="18"/>
    </row>
    <row r="7635" spans="2:5" x14ac:dyDescent="0.4">
      <c r="B7635" s="17"/>
      <c r="C7635" s="15"/>
      <c r="D7635" s="15"/>
      <c r="E7635" s="18"/>
    </row>
    <row r="7636" spans="2:5" x14ac:dyDescent="0.4">
      <c r="B7636" s="17"/>
      <c r="C7636" s="15"/>
      <c r="D7636" s="15"/>
      <c r="E7636" s="18"/>
    </row>
    <row r="7637" spans="2:5" x14ac:dyDescent="0.4">
      <c r="B7637" s="17"/>
      <c r="C7637" s="15"/>
      <c r="D7637" s="15"/>
      <c r="E7637" s="18"/>
    </row>
    <row r="7638" spans="2:5" x14ac:dyDescent="0.4">
      <c r="B7638" s="17"/>
      <c r="C7638" s="15"/>
      <c r="D7638" s="15"/>
      <c r="E7638" s="18"/>
    </row>
    <row r="7639" spans="2:5" x14ac:dyDescent="0.4">
      <c r="B7639" s="17"/>
      <c r="C7639" s="15"/>
      <c r="D7639" s="15"/>
      <c r="E7639" s="18"/>
    </row>
    <row r="7640" spans="2:5" x14ac:dyDescent="0.4">
      <c r="B7640" s="17"/>
      <c r="C7640" s="15"/>
      <c r="D7640" s="15"/>
      <c r="E7640" s="18"/>
    </row>
    <row r="7641" spans="2:5" x14ac:dyDescent="0.4">
      <c r="B7641" s="17"/>
      <c r="C7641" s="15"/>
      <c r="D7641" s="15"/>
      <c r="E7641" s="18"/>
    </row>
    <row r="7642" spans="2:5" x14ac:dyDescent="0.4">
      <c r="B7642" s="17"/>
      <c r="C7642" s="15"/>
      <c r="D7642" s="15"/>
      <c r="E7642" s="18"/>
    </row>
    <row r="7643" spans="2:5" x14ac:dyDescent="0.4">
      <c r="B7643" s="17"/>
      <c r="C7643" s="15"/>
      <c r="D7643" s="15"/>
      <c r="E7643" s="18"/>
    </row>
    <row r="7644" spans="2:5" x14ac:dyDescent="0.4">
      <c r="B7644" s="17"/>
      <c r="C7644" s="15"/>
      <c r="D7644" s="15"/>
      <c r="E7644" s="18"/>
    </row>
    <row r="7645" spans="2:5" x14ac:dyDescent="0.4">
      <c r="B7645" s="17"/>
      <c r="C7645" s="15"/>
      <c r="D7645" s="15"/>
      <c r="E7645" s="18"/>
    </row>
    <row r="7646" spans="2:5" x14ac:dyDescent="0.4">
      <c r="B7646" s="17"/>
      <c r="C7646" s="15"/>
      <c r="D7646" s="15"/>
      <c r="E7646" s="18"/>
    </row>
    <row r="7647" spans="2:5" x14ac:dyDescent="0.4">
      <c r="B7647" s="17"/>
      <c r="C7647" s="15"/>
      <c r="D7647" s="15"/>
      <c r="E7647" s="18"/>
    </row>
    <row r="7648" spans="2:5" x14ac:dyDescent="0.4">
      <c r="B7648" s="17"/>
      <c r="C7648" s="15"/>
      <c r="D7648" s="15"/>
      <c r="E7648" s="18"/>
    </row>
    <row r="7649" spans="2:5" x14ac:dyDescent="0.4">
      <c r="B7649" s="17"/>
      <c r="C7649" s="15"/>
      <c r="D7649" s="15"/>
      <c r="E7649" s="18"/>
    </row>
    <row r="7650" spans="2:5" x14ac:dyDescent="0.4">
      <c r="B7650" s="17"/>
      <c r="C7650" s="15"/>
      <c r="D7650" s="15"/>
      <c r="E7650" s="18"/>
    </row>
    <row r="7651" spans="2:5" x14ac:dyDescent="0.4">
      <c r="B7651" s="17"/>
      <c r="C7651" s="15"/>
      <c r="D7651" s="15"/>
      <c r="E7651" s="18"/>
    </row>
    <row r="7652" spans="2:5" x14ac:dyDescent="0.4">
      <c r="B7652" s="17"/>
      <c r="C7652" s="15"/>
      <c r="D7652" s="15"/>
      <c r="E7652" s="18"/>
    </row>
    <row r="7653" spans="2:5" x14ac:dyDescent="0.4">
      <c r="B7653" s="17"/>
      <c r="C7653" s="15"/>
      <c r="D7653" s="15"/>
      <c r="E7653" s="18"/>
    </row>
    <row r="7654" spans="2:5" x14ac:dyDescent="0.4">
      <c r="B7654" s="17"/>
      <c r="C7654" s="15"/>
      <c r="D7654" s="15"/>
      <c r="E7654" s="18"/>
    </row>
    <row r="7655" spans="2:5" x14ac:dyDescent="0.4">
      <c r="B7655" s="17"/>
      <c r="C7655" s="15"/>
      <c r="D7655" s="15"/>
      <c r="E7655" s="18"/>
    </row>
    <row r="7656" spans="2:5" x14ac:dyDescent="0.4">
      <c r="B7656" s="17"/>
      <c r="C7656" s="15"/>
      <c r="D7656" s="15"/>
      <c r="E7656" s="18"/>
    </row>
    <row r="7657" spans="2:5" x14ac:dyDescent="0.4">
      <c r="B7657" s="17"/>
      <c r="C7657" s="15"/>
      <c r="D7657" s="15"/>
      <c r="E7657" s="18"/>
    </row>
    <row r="7658" spans="2:5" x14ac:dyDescent="0.4">
      <c r="B7658" s="17"/>
      <c r="C7658" s="15"/>
      <c r="D7658" s="15"/>
      <c r="E7658" s="18"/>
    </row>
    <row r="7659" spans="2:5" x14ac:dyDescent="0.4">
      <c r="B7659" s="17"/>
      <c r="C7659" s="15"/>
      <c r="D7659" s="15"/>
      <c r="E7659" s="18"/>
    </row>
    <row r="7660" spans="2:5" x14ac:dyDescent="0.4">
      <c r="B7660" s="17"/>
      <c r="C7660" s="15"/>
      <c r="D7660" s="15"/>
      <c r="E7660" s="18"/>
    </row>
    <row r="7661" spans="2:5" x14ac:dyDescent="0.4">
      <c r="B7661" s="17"/>
      <c r="C7661" s="15"/>
      <c r="D7661" s="15"/>
      <c r="E7661" s="18"/>
    </row>
    <row r="7662" spans="2:5" x14ac:dyDescent="0.4">
      <c r="B7662" s="17"/>
      <c r="C7662" s="15"/>
      <c r="D7662" s="15"/>
      <c r="E7662" s="18"/>
    </row>
    <row r="7663" spans="2:5" x14ac:dyDescent="0.4">
      <c r="B7663" s="17"/>
      <c r="C7663" s="15"/>
      <c r="D7663" s="15"/>
      <c r="E7663" s="18"/>
    </row>
    <row r="7664" spans="2:5" x14ac:dyDescent="0.4">
      <c r="B7664" s="17"/>
      <c r="C7664" s="15"/>
      <c r="D7664" s="15"/>
      <c r="E7664" s="18"/>
    </row>
    <row r="7665" spans="2:5" x14ac:dyDescent="0.4">
      <c r="B7665" s="17"/>
      <c r="C7665" s="15"/>
      <c r="D7665" s="15"/>
      <c r="E7665" s="18"/>
    </row>
    <row r="7666" spans="2:5" x14ac:dyDescent="0.4">
      <c r="B7666" s="17"/>
      <c r="C7666" s="15"/>
      <c r="D7666" s="15"/>
      <c r="E7666" s="18"/>
    </row>
    <row r="7667" spans="2:5" x14ac:dyDescent="0.4">
      <c r="B7667" s="17"/>
      <c r="C7667" s="15"/>
      <c r="D7667" s="15"/>
      <c r="E7667" s="18"/>
    </row>
    <row r="7668" spans="2:5" x14ac:dyDescent="0.4">
      <c r="B7668" s="17"/>
      <c r="C7668" s="15"/>
      <c r="D7668" s="15"/>
      <c r="E7668" s="18"/>
    </row>
    <row r="7669" spans="2:5" x14ac:dyDescent="0.4">
      <c r="B7669" s="17"/>
      <c r="C7669" s="15"/>
      <c r="D7669" s="15"/>
      <c r="E7669" s="18"/>
    </row>
    <row r="7670" spans="2:5" x14ac:dyDescent="0.4">
      <c r="B7670" s="17"/>
      <c r="C7670" s="15"/>
      <c r="D7670" s="15"/>
      <c r="E7670" s="18"/>
    </row>
    <row r="7671" spans="2:5" x14ac:dyDescent="0.4">
      <c r="B7671" s="17"/>
      <c r="C7671" s="15"/>
      <c r="D7671" s="15"/>
      <c r="E7671" s="18"/>
    </row>
    <row r="7672" spans="2:5" x14ac:dyDescent="0.4">
      <c r="B7672" s="17"/>
      <c r="C7672" s="15"/>
      <c r="D7672" s="15"/>
      <c r="E7672" s="18"/>
    </row>
    <row r="7673" spans="2:5" x14ac:dyDescent="0.4">
      <c r="B7673" s="17"/>
      <c r="C7673" s="15"/>
      <c r="D7673" s="15"/>
      <c r="E7673" s="18"/>
    </row>
    <row r="7674" spans="2:5" x14ac:dyDescent="0.4">
      <c r="B7674" s="17"/>
      <c r="C7674" s="15"/>
      <c r="D7674" s="15"/>
      <c r="E7674" s="18"/>
    </row>
    <row r="7675" spans="2:5" x14ac:dyDescent="0.4">
      <c r="B7675" s="17"/>
      <c r="C7675" s="15"/>
      <c r="D7675" s="15"/>
      <c r="E7675" s="18"/>
    </row>
    <row r="7676" spans="2:5" x14ac:dyDescent="0.4">
      <c r="B7676" s="17"/>
      <c r="C7676" s="15"/>
      <c r="D7676" s="15"/>
      <c r="E7676" s="18"/>
    </row>
    <row r="7677" spans="2:5" x14ac:dyDescent="0.4">
      <c r="B7677" s="17"/>
      <c r="C7677" s="15"/>
      <c r="D7677" s="15"/>
      <c r="E7677" s="18"/>
    </row>
    <row r="7678" spans="2:5" x14ac:dyDescent="0.4">
      <c r="B7678" s="17"/>
      <c r="C7678" s="15"/>
      <c r="D7678" s="15"/>
      <c r="E7678" s="18"/>
    </row>
    <row r="7679" spans="2:5" x14ac:dyDescent="0.4">
      <c r="B7679" s="17"/>
      <c r="C7679" s="15"/>
      <c r="D7679" s="15"/>
      <c r="E7679" s="18"/>
    </row>
    <row r="7680" spans="2:5" x14ac:dyDescent="0.4">
      <c r="B7680" s="17"/>
      <c r="C7680" s="15"/>
      <c r="D7680" s="15"/>
      <c r="E7680" s="18"/>
    </row>
    <row r="7681" spans="2:5" x14ac:dyDescent="0.4">
      <c r="B7681" s="17"/>
      <c r="C7681" s="15"/>
      <c r="D7681" s="15"/>
      <c r="E7681" s="18"/>
    </row>
    <row r="7682" spans="2:5" x14ac:dyDescent="0.4">
      <c r="B7682" s="17"/>
      <c r="C7682" s="15"/>
      <c r="D7682" s="15"/>
      <c r="E7682" s="18"/>
    </row>
    <row r="7683" spans="2:5" x14ac:dyDescent="0.4">
      <c r="B7683" s="17"/>
      <c r="C7683" s="15"/>
      <c r="D7683" s="15"/>
      <c r="E7683" s="18"/>
    </row>
    <row r="7684" spans="2:5" x14ac:dyDescent="0.4">
      <c r="B7684" s="17"/>
      <c r="C7684" s="15"/>
      <c r="D7684" s="15"/>
      <c r="E7684" s="18"/>
    </row>
    <row r="7685" spans="2:5" x14ac:dyDescent="0.4">
      <c r="B7685" s="17"/>
      <c r="C7685" s="15"/>
      <c r="D7685" s="15"/>
      <c r="E7685" s="18"/>
    </row>
    <row r="7686" spans="2:5" x14ac:dyDescent="0.4">
      <c r="B7686" s="17"/>
      <c r="C7686" s="15"/>
      <c r="D7686" s="15"/>
      <c r="E7686" s="18"/>
    </row>
    <row r="7687" spans="2:5" x14ac:dyDescent="0.4">
      <c r="B7687" s="17"/>
      <c r="C7687" s="15"/>
      <c r="D7687" s="15"/>
      <c r="E7687" s="18"/>
    </row>
    <row r="7688" spans="2:5" x14ac:dyDescent="0.4">
      <c r="B7688" s="17"/>
      <c r="C7688" s="15"/>
      <c r="D7688" s="15"/>
      <c r="E7688" s="18"/>
    </row>
    <row r="7689" spans="2:5" x14ac:dyDescent="0.4">
      <c r="B7689" s="17"/>
      <c r="C7689" s="15"/>
      <c r="D7689" s="15"/>
      <c r="E7689" s="18"/>
    </row>
    <row r="7690" spans="2:5" x14ac:dyDescent="0.4">
      <c r="B7690" s="17"/>
      <c r="C7690" s="15"/>
      <c r="D7690" s="15"/>
      <c r="E7690" s="18"/>
    </row>
    <row r="7691" spans="2:5" x14ac:dyDescent="0.4">
      <c r="B7691" s="17"/>
      <c r="C7691" s="15"/>
      <c r="D7691" s="15"/>
      <c r="E7691" s="18"/>
    </row>
    <row r="7692" spans="2:5" x14ac:dyDescent="0.4">
      <c r="B7692" s="17"/>
      <c r="C7692" s="15"/>
      <c r="D7692" s="15"/>
      <c r="E7692" s="18"/>
    </row>
    <row r="7693" spans="2:5" x14ac:dyDescent="0.4">
      <c r="B7693" s="17"/>
      <c r="C7693" s="15"/>
      <c r="D7693" s="15"/>
      <c r="E7693" s="18"/>
    </row>
    <row r="7694" spans="2:5" x14ac:dyDescent="0.4">
      <c r="B7694" s="17"/>
      <c r="C7694" s="15"/>
      <c r="D7694" s="15"/>
      <c r="E7694" s="18"/>
    </row>
    <row r="7695" spans="2:5" x14ac:dyDescent="0.4">
      <c r="B7695" s="17"/>
      <c r="C7695" s="15"/>
      <c r="D7695" s="15"/>
      <c r="E7695" s="18"/>
    </row>
    <row r="7696" spans="2:5" x14ac:dyDescent="0.4">
      <c r="B7696" s="17"/>
      <c r="C7696" s="15"/>
      <c r="D7696" s="15"/>
      <c r="E7696" s="18"/>
    </row>
    <row r="7697" spans="2:5" x14ac:dyDescent="0.4">
      <c r="B7697" s="17"/>
      <c r="C7697" s="15"/>
      <c r="D7697" s="15"/>
      <c r="E7697" s="18"/>
    </row>
    <row r="7698" spans="2:5" x14ac:dyDescent="0.4">
      <c r="B7698" s="17"/>
      <c r="C7698" s="15"/>
      <c r="D7698" s="15"/>
      <c r="E7698" s="18"/>
    </row>
    <row r="7699" spans="2:5" x14ac:dyDescent="0.4">
      <c r="B7699" s="17"/>
      <c r="C7699" s="15"/>
      <c r="D7699" s="15"/>
      <c r="E7699" s="18"/>
    </row>
    <row r="7700" spans="2:5" x14ac:dyDescent="0.4">
      <c r="B7700" s="17"/>
      <c r="C7700" s="15"/>
      <c r="D7700" s="15"/>
      <c r="E7700" s="18"/>
    </row>
    <row r="7701" spans="2:5" x14ac:dyDescent="0.4">
      <c r="B7701" s="17"/>
      <c r="C7701" s="15"/>
      <c r="D7701" s="15"/>
      <c r="E7701" s="18"/>
    </row>
    <row r="7702" spans="2:5" x14ac:dyDescent="0.4">
      <c r="B7702" s="17"/>
      <c r="C7702" s="15"/>
      <c r="D7702" s="15"/>
      <c r="E7702" s="18"/>
    </row>
    <row r="7703" spans="2:5" x14ac:dyDescent="0.4">
      <c r="B7703" s="17"/>
      <c r="C7703" s="15"/>
      <c r="D7703" s="15"/>
      <c r="E7703" s="18"/>
    </row>
    <row r="7704" spans="2:5" x14ac:dyDescent="0.4">
      <c r="B7704" s="17"/>
      <c r="C7704" s="15"/>
      <c r="D7704" s="15"/>
      <c r="E7704" s="18"/>
    </row>
    <row r="7705" spans="2:5" x14ac:dyDescent="0.4">
      <c r="B7705" s="17"/>
      <c r="C7705" s="15"/>
      <c r="D7705" s="15"/>
      <c r="E7705" s="18"/>
    </row>
    <row r="7706" spans="2:5" x14ac:dyDescent="0.4">
      <c r="B7706" s="17"/>
      <c r="C7706" s="15"/>
      <c r="D7706" s="15"/>
      <c r="E7706" s="18"/>
    </row>
    <row r="7707" spans="2:5" x14ac:dyDescent="0.4">
      <c r="B7707" s="17"/>
      <c r="C7707" s="15"/>
      <c r="D7707" s="15"/>
      <c r="E7707" s="18"/>
    </row>
    <row r="7708" spans="2:5" x14ac:dyDescent="0.4">
      <c r="B7708" s="17"/>
      <c r="C7708" s="15"/>
      <c r="D7708" s="15"/>
      <c r="E7708" s="18"/>
    </row>
    <row r="7709" spans="2:5" x14ac:dyDescent="0.4">
      <c r="B7709" s="17"/>
      <c r="C7709" s="15"/>
      <c r="D7709" s="15"/>
      <c r="E7709" s="18"/>
    </row>
    <row r="7710" spans="2:5" x14ac:dyDescent="0.4">
      <c r="B7710" s="17"/>
      <c r="C7710" s="15"/>
      <c r="D7710" s="15"/>
      <c r="E7710" s="18"/>
    </row>
    <row r="7711" spans="2:5" x14ac:dyDescent="0.4">
      <c r="B7711" s="17"/>
      <c r="C7711" s="15"/>
      <c r="D7711" s="15"/>
      <c r="E7711" s="18"/>
    </row>
    <row r="7712" spans="2:5" x14ac:dyDescent="0.4">
      <c r="B7712" s="17"/>
      <c r="C7712" s="15"/>
      <c r="D7712" s="15"/>
      <c r="E7712" s="18"/>
    </row>
    <row r="7713" spans="2:5" x14ac:dyDescent="0.4">
      <c r="B7713" s="17"/>
      <c r="C7713" s="15"/>
      <c r="D7713" s="15"/>
      <c r="E7713" s="18"/>
    </row>
    <row r="7714" spans="2:5" x14ac:dyDescent="0.4">
      <c r="B7714" s="17"/>
      <c r="C7714" s="15"/>
      <c r="D7714" s="15"/>
      <c r="E7714" s="18"/>
    </row>
    <row r="7715" spans="2:5" x14ac:dyDescent="0.4">
      <c r="B7715" s="17"/>
      <c r="C7715" s="15"/>
      <c r="D7715" s="15"/>
      <c r="E7715" s="18"/>
    </row>
    <row r="7716" spans="2:5" x14ac:dyDescent="0.4">
      <c r="B7716" s="17"/>
      <c r="C7716" s="15"/>
      <c r="D7716" s="15"/>
      <c r="E7716" s="18"/>
    </row>
    <row r="7717" spans="2:5" x14ac:dyDescent="0.4">
      <c r="B7717" s="17"/>
      <c r="C7717" s="15"/>
      <c r="D7717" s="15"/>
      <c r="E7717" s="18"/>
    </row>
    <row r="7718" spans="2:5" x14ac:dyDescent="0.4">
      <c r="B7718" s="17"/>
      <c r="C7718" s="15"/>
      <c r="D7718" s="15"/>
      <c r="E7718" s="18"/>
    </row>
    <row r="7719" spans="2:5" x14ac:dyDescent="0.4">
      <c r="B7719" s="17"/>
      <c r="C7719" s="15"/>
      <c r="D7719" s="15"/>
      <c r="E7719" s="18"/>
    </row>
    <row r="7720" spans="2:5" x14ac:dyDescent="0.4">
      <c r="B7720" s="17"/>
      <c r="C7720" s="15"/>
      <c r="D7720" s="15"/>
      <c r="E7720" s="18"/>
    </row>
    <row r="7721" spans="2:5" x14ac:dyDescent="0.4">
      <c r="B7721" s="17"/>
      <c r="C7721" s="15"/>
      <c r="D7721" s="15"/>
      <c r="E7721" s="18"/>
    </row>
    <row r="7722" spans="2:5" x14ac:dyDescent="0.4">
      <c r="B7722" s="17"/>
      <c r="C7722" s="15"/>
      <c r="D7722" s="15"/>
      <c r="E7722" s="18"/>
    </row>
    <row r="7723" spans="2:5" x14ac:dyDescent="0.4">
      <c r="B7723" s="17"/>
      <c r="C7723" s="15"/>
      <c r="D7723" s="15"/>
      <c r="E7723" s="18"/>
    </row>
    <row r="7724" spans="2:5" x14ac:dyDescent="0.4">
      <c r="B7724" s="17"/>
      <c r="C7724" s="15"/>
      <c r="D7724" s="15"/>
      <c r="E7724" s="18"/>
    </row>
    <row r="7725" spans="2:5" x14ac:dyDescent="0.4">
      <c r="B7725" s="17"/>
      <c r="C7725" s="15"/>
      <c r="D7725" s="15"/>
      <c r="E7725" s="18"/>
    </row>
    <row r="7726" spans="2:5" x14ac:dyDescent="0.4">
      <c r="B7726" s="17"/>
      <c r="C7726" s="15"/>
      <c r="D7726" s="15"/>
      <c r="E7726" s="18"/>
    </row>
    <row r="7727" spans="2:5" x14ac:dyDescent="0.4">
      <c r="B7727" s="17"/>
      <c r="C7727" s="15"/>
      <c r="D7727" s="15"/>
      <c r="E7727" s="18"/>
    </row>
    <row r="7728" spans="2:5" x14ac:dyDescent="0.4">
      <c r="B7728" s="17"/>
      <c r="C7728" s="15"/>
      <c r="D7728" s="15"/>
      <c r="E7728" s="18"/>
    </row>
    <row r="7729" spans="2:5" x14ac:dyDescent="0.4">
      <c r="B7729" s="17"/>
      <c r="C7729" s="15"/>
      <c r="D7729" s="15"/>
      <c r="E7729" s="18"/>
    </row>
    <row r="7730" spans="2:5" x14ac:dyDescent="0.4">
      <c r="B7730" s="17"/>
      <c r="C7730" s="15"/>
      <c r="D7730" s="15"/>
      <c r="E7730" s="18"/>
    </row>
    <row r="7731" spans="2:5" x14ac:dyDescent="0.4">
      <c r="B7731" s="17"/>
      <c r="C7731" s="15"/>
      <c r="D7731" s="15"/>
      <c r="E7731" s="18"/>
    </row>
    <row r="7732" spans="2:5" x14ac:dyDescent="0.4">
      <c r="B7732" s="17"/>
      <c r="C7732" s="15"/>
      <c r="D7732" s="15"/>
      <c r="E7732" s="18"/>
    </row>
    <row r="7733" spans="2:5" x14ac:dyDescent="0.4">
      <c r="B7733" s="17"/>
      <c r="C7733" s="15"/>
      <c r="D7733" s="15"/>
      <c r="E7733" s="18"/>
    </row>
    <row r="7734" spans="2:5" x14ac:dyDescent="0.4">
      <c r="B7734" s="17"/>
      <c r="C7734" s="15"/>
      <c r="D7734" s="15"/>
      <c r="E7734" s="18"/>
    </row>
    <row r="7735" spans="2:5" x14ac:dyDescent="0.4">
      <c r="B7735" s="17"/>
      <c r="C7735" s="15"/>
      <c r="D7735" s="15"/>
      <c r="E7735" s="18"/>
    </row>
    <row r="7736" spans="2:5" x14ac:dyDescent="0.4">
      <c r="B7736" s="17"/>
      <c r="C7736" s="15"/>
      <c r="D7736" s="15"/>
      <c r="E7736" s="18"/>
    </row>
    <row r="7737" spans="2:5" x14ac:dyDescent="0.4">
      <c r="B7737" s="17"/>
      <c r="C7737" s="15"/>
      <c r="D7737" s="15"/>
      <c r="E7737" s="18"/>
    </row>
    <row r="7738" spans="2:5" x14ac:dyDescent="0.4">
      <c r="B7738" s="17"/>
      <c r="C7738" s="15"/>
      <c r="D7738" s="15"/>
      <c r="E7738" s="18"/>
    </row>
    <row r="7739" spans="2:5" x14ac:dyDescent="0.4">
      <c r="B7739" s="17"/>
      <c r="C7739" s="15"/>
      <c r="D7739" s="15"/>
      <c r="E7739" s="18"/>
    </row>
    <row r="7740" spans="2:5" x14ac:dyDescent="0.4">
      <c r="B7740" s="17"/>
      <c r="C7740" s="15"/>
      <c r="D7740" s="15"/>
      <c r="E7740" s="18"/>
    </row>
    <row r="7741" spans="2:5" x14ac:dyDescent="0.4">
      <c r="B7741" s="17"/>
      <c r="C7741" s="15"/>
      <c r="D7741" s="15"/>
      <c r="E7741" s="18"/>
    </row>
    <row r="7742" spans="2:5" x14ac:dyDescent="0.4">
      <c r="B7742" s="17"/>
      <c r="C7742" s="15"/>
      <c r="D7742" s="15"/>
      <c r="E7742" s="18"/>
    </row>
    <row r="7743" spans="2:5" x14ac:dyDescent="0.4">
      <c r="B7743" s="17"/>
      <c r="C7743" s="15"/>
      <c r="D7743" s="15"/>
      <c r="E7743" s="18"/>
    </row>
    <row r="7744" spans="2:5" x14ac:dyDescent="0.4">
      <c r="B7744" s="17"/>
      <c r="C7744" s="15"/>
      <c r="D7744" s="15"/>
      <c r="E7744" s="18"/>
    </row>
    <row r="7745" spans="2:5" x14ac:dyDescent="0.4">
      <c r="B7745" s="17"/>
      <c r="C7745" s="15"/>
      <c r="D7745" s="15"/>
      <c r="E7745" s="18"/>
    </row>
    <row r="7746" spans="2:5" x14ac:dyDescent="0.4">
      <c r="B7746" s="17"/>
      <c r="C7746" s="15"/>
      <c r="D7746" s="15"/>
      <c r="E7746" s="18"/>
    </row>
    <row r="7747" spans="2:5" x14ac:dyDescent="0.4">
      <c r="B7747" s="17"/>
      <c r="C7747" s="15"/>
      <c r="D7747" s="15"/>
      <c r="E7747" s="18"/>
    </row>
    <row r="7748" spans="2:5" x14ac:dyDescent="0.4">
      <c r="B7748" s="17"/>
      <c r="C7748" s="15"/>
      <c r="D7748" s="15"/>
      <c r="E7748" s="18"/>
    </row>
    <row r="7749" spans="2:5" x14ac:dyDescent="0.4">
      <c r="B7749" s="17"/>
      <c r="C7749" s="15"/>
      <c r="D7749" s="15"/>
      <c r="E7749" s="18"/>
    </row>
    <row r="7750" spans="2:5" x14ac:dyDescent="0.4">
      <c r="B7750" s="17"/>
      <c r="C7750" s="15"/>
      <c r="D7750" s="15"/>
      <c r="E7750" s="18"/>
    </row>
    <row r="7751" spans="2:5" x14ac:dyDescent="0.4">
      <c r="B7751" s="17"/>
      <c r="C7751" s="15"/>
      <c r="D7751" s="15"/>
      <c r="E7751" s="18"/>
    </row>
    <row r="7752" spans="2:5" x14ac:dyDescent="0.4">
      <c r="B7752" s="17"/>
      <c r="C7752" s="15"/>
      <c r="D7752" s="15"/>
      <c r="E7752" s="18"/>
    </row>
    <row r="7753" spans="2:5" x14ac:dyDescent="0.4">
      <c r="B7753" s="17"/>
      <c r="C7753" s="15"/>
      <c r="D7753" s="15"/>
      <c r="E7753" s="18"/>
    </row>
    <row r="7754" spans="2:5" x14ac:dyDescent="0.4">
      <c r="B7754" s="17"/>
      <c r="C7754" s="15"/>
      <c r="D7754" s="15"/>
      <c r="E7754" s="18"/>
    </row>
    <row r="7755" spans="2:5" x14ac:dyDescent="0.4">
      <c r="B7755" s="17"/>
      <c r="C7755" s="15"/>
      <c r="D7755" s="15"/>
      <c r="E7755" s="18"/>
    </row>
    <row r="7756" spans="2:5" x14ac:dyDescent="0.4">
      <c r="B7756" s="17"/>
      <c r="C7756" s="15"/>
      <c r="D7756" s="15"/>
      <c r="E7756" s="18"/>
    </row>
    <row r="7757" spans="2:5" x14ac:dyDescent="0.4">
      <c r="B7757" s="17"/>
      <c r="C7757" s="15"/>
      <c r="D7757" s="15"/>
      <c r="E7757" s="18"/>
    </row>
    <row r="7758" spans="2:5" x14ac:dyDescent="0.4">
      <c r="B7758" s="17"/>
      <c r="C7758" s="15"/>
      <c r="D7758" s="15"/>
      <c r="E7758" s="18"/>
    </row>
    <row r="7759" spans="2:5" x14ac:dyDescent="0.4">
      <c r="B7759" s="17"/>
      <c r="C7759" s="15"/>
      <c r="D7759" s="15"/>
      <c r="E7759" s="18"/>
    </row>
    <row r="7760" spans="2:5" x14ac:dyDescent="0.4">
      <c r="B7760" s="17"/>
      <c r="C7760" s="15"/>
      <c r="D7760" s="15"/>
      <c r="E7760" s="18"/>
    </row>
    <row r="7761" spans="2:5" x14ac:dyDescent="0.4">
      <c r="B7761" s="17"/>
      <c r="C7761" s="15"/>
      <c r="D7761" s="15"/>
      <c r="E7761" s="18"/>
    </row>
    <row r="7762" spans="2:5" x14ac:dyDescent="0.4">
      <c r="B7762" s="17"/>
      <c r="C7762" s="15"/>
      <c r="D7762" s="15"/>
      <c r="E7762" s="18"/>
    </row>
    <row r="7763" spans="2:5" x14ac:dyDescent="0.4">
      <c r="B7763" s="17"/>
      <c r="C7763" s="15"/>
      <c r="D7763" s="15"/>
      <c r="E7763" s="18"/>
    </row>
    <row r="7764" spans="2:5" x14ac:dyDescent="0.4">
      <c r="B7764" s="17"/>
      <c r="C7764" s="15"/>
      <c r="D7764" s="15"/>
      <c r="E7764" s="18"/>
    </row>
    <row r="7765" spans="2:5" x14ac:dyDescent="0.4">
      <c r="B7765" s="17"/>
      <c r="C7765" s="15"/>
      <c r="D7765" s="15"/>
      <c r="E7765" s="18"/>
    </row>
    <row r="7766" spans="2:5" x14ac:dyDescent="0.4">
      <c r="B7766" s="17"/>
      <c r="C7766" s="15"/>
      <c r="D7766" s="15"/>
      <c r="E7766" s="18"/>
    </row>
    <row r="7767" spans="2:5" x14ac:dyDescent="0.4">
      <c r="B7767" s="17"/>
      <c r="C7767" s="15"/>
      <c r="D7767" s="15"/>
      <c r="E7767" s="18"/>
    </row>
    <row r="7768" spans="2:5" x14ac:dyDescent="0.4">
      <c r="B7768" s="17"/>
      <c r="C7768" s="15"/>
      <c r="D7768" s="15"/>
      <c r="E7768" s="18"/>
    </row>
    <row r="7769" spans="2:5" x14ac:dyDescent="0.4">
      <c r="B7769" s="17"/>
      <c r="C7769" s="15"/>
      <c r="D7769" s="15"/>
      <c r="E7769" s="18"/>
    </row>
    <row r="7770" spans="2:5" x14ac:dyDescent="0.4">
      <c r="B7770" s="17"/>
      <c r="C7770" s="15"/>
      <c r="D7770" s="15"/>
      <c r="E7770" s="18"/>
    </row>
    <row r="7771" spans="2:5" x14ac:dyDescent="0.4">
      <c r="B7771" s="17"/>
      <c r="C7771" s="15"/>
      <c r="D7771" s="15"/>
      <c r="E7771" s="18"/>
    </row>
    <row r="7772" spans="2:5" x14ac:dyDescent="0.4">
      <c r="B7772" s="17"/>
      <c r="C7772" s="15"/>
      <c r="D7772" s="15"/>
      <c r="E7772" s="18"/>
    </row>
    <row r="7773" spans="2:5" x14ac:dyDescent="0.4">
      <c r="B7773" s="17"/>
      <c r="C7773" s="15"/>
      <c r="D7773" s="15"/>
      <c r="E7773" s="18"/>
    </row>
    <row r="7774" spans="2:5" x14ac:dyDescent="0.4">
      <c r="B7774" s="17"/>
      <c r="C7774" s="15"/>
      <c r="D7774" s="15"/>
      <c r="E7774" s="18"/>
    </row>
    <row r="7775" spans="2:5" x14ac:dyDescent="0.4">
      <c r="B7775" s="17"/>
      <c r="C7775" s="15"/>
      <c r="D7775" s="15"/>
      <c r="E7775" s="18"/>
    </row>
    <row r="7776" spans="2:5" x14ac:dyDescent="0.4">
      <c r="B7776" s="17"/>
      <c r="C7776" s="15"/>
      <c r="D7776" s="15"/>
      <c r="E7776" s="18"/>
    </row>
    <row r="7777" spans="2:5" x14ac:dyDescent="0.4">
      <c r="B7777" s="17"/>
      <c r="C7777" s="15"/>
      <c r="D7777" s="15"/>
      <c r="E7777" s="18"/>
    </row>
    <row r="7778" spans="2:5" x14ac:dyDescent="0.4">
      <c r="B7778" s="17"/>
      <c r="C7778" s="15"/>
      <c r="D7778" s="15"/>
      <c r="E7778" s="18"/>
    </row>
    <row r="7779" spans="2:5" x14ac:dyDescent="0.4">
      <c r="B7779" s="17"/>
      <c r="C7779" s="15"/>
      <c r="D7779" s="15"/>
      <c r="E7779" s="18"/>
    </row>
    <row r="7780" spans="2:5" x14ac:dyDescent="0.4">
      <c r="B7780" s="17"/>
      <c r="C7780" s="15"/>
      <c r="D7780" s="15"/>
      <c r="E7780" s="18"/>
    </row>
    <row r="7781" spans="2:5" x14ac:dyDescent="0.4">
      <c r="B7781" s="17"/>
      <c r="C7781" s="15"/>
      <c r="D7781" s="15"/>
      <c r="E7781" s="18"/>
    </row>
    <row r="7782" spans="2:5" x14ac:dyDescent="0.4">
      <c r="B7782" s="17"/>
      <c r="C7782" s="15"/>
      <c r="D7782" s="15"/>
      <c r="E7782" s="18"/>
    </row>
    <row r="7783" spans="2:5" x14ac:dyDescent="0.4">
      <c r="B7783" s="17"/>
      <c r="C7783" s="15"/>
      <c r="D7783" s="15"/>
      <c r="E7783" s="18"/>
    </row>
    <row r="7784" spans="2:5" x14ac:dyDescent="0.4">
      <c r="B7784" s="17"/>
      <c r="C7784" s="15"/>
      <c r="D7784" s="15"/>
      <c r="E7784" s="18"/>
    </row>
    <row r="7785" spans="2:5" x14ac:dyDescent="0.4">
      <c r="B7785" s="17"/>
      <c r="C7785" s="15"/>
      <c r="D7785" s="15"/>
      <c r="E7785" s="18"/>
    </row>
    <row r="7786" spans="2:5" x14ac:dyDescent="0.4">
      <c r="B7786" s="17"/>
      <c r="C7786" s="15"/>
      <c r="D7786" s="15"/>
      <c r="E7786" s="18"/>
    </row>
    <row r="7787" spans="2:5" x14ac:dyDescent="0.4">
      <c r="B7787" s="17"/>
      <c r="C7787" s="15"/>
      <c r="D7787" s="15"/>
      <c r="E7787" s="18"/>
    </row>
    <row r="7788" spans="2:5" x14ac:dyDescent="0.4">
      <c r="B7788" s="17"/>
      <c r="C7788" s="15"/>
      <c r="D7788" s="15"/>
      <c r="E7788" s="18"/>
    </row>
    <row r="7789" spans="2:5" x14ac:dyDescent="0.4">
      <c r="B7789" s="17"/>
      <c r="C7789" s="15"/>
      <c r="D7789" s="15"/>
      <c r="E7789" s="18"/>
    </row>
    <row r="7790" spans="2:5" x14ac:dyDescent="0.4">
      <c r="B7790" s="17"/>
      <c r="C7790" s="15"/>
      <c r="D7790" s="15"/>
      <c r="E7790" s="18"/>
    </row>
    <row r="7791" spans="2:5" x14ac:dyDescent="0.4">
      <c r="B7791" s="17"/>
      <c r="C7791" s="15"/>
      <c r="D7791" s="15"/>
      <c r="E7791" s="18"/>
    </row>
    <row r="7792" spans="2:5" x14ac:dyDescent="0.4">
      <c r="B7792" s="17"/>
      <c r="C7792" s="15"/>
      <c r="D7792" s="15"/>
      <c r="E7792" s="18"/>
    </row>
    <row r="7793" spans="2:5" x14ac:dyDescent="0.4">
      <c r="B7793" s="17"/>
      <c r="C7793" s="15"/>
      <c r="D7793" s="15"/>
      <c r="E7793" s="18"/>
    </row>
    <row r="7794" spans="2:5" x14ac:dyDescent="0.4">
      <c r="B7794" s="17"/>
      <c r="C7794" s="15"/>
      <c r="D7794" s="15"/>
      <c r="E7794" s="18"/>
    </row>
    <row r="7795" spans="2:5" x14ac:dyDescent="0.4">
      <c r="B7795" s="17"/>
      <c r="C7795" s="15"/>
      <c r="D7795" s="15"/>
      <c r="E7795" s="18"/>
    </row>
    <row r="7796" spans="2:5" x14ac:dyDescent="0.4">
      <c r="B7796" s="17"/>
      <c r="C7796" s="15"/>
      <c r="D7796" s="15"/>
      <c r="E7796" s="18"/>
    </row>
    <row r="7797" spans="2:5" x14ac:dyDescent="0.4">
      <c r="B7797" s="17"/>
      <c r="C7797" s="15"/>
      <c r="D7797" s="15"/>
      <c r="E7797" s="18"/>
    </row>
    <row r="7798" spans="2:5" x14ac:dyDescent="0.4">
      <c r="B7798" s="17"/>
      <c r="C7798" s="15"/>
      <c r="D7798" s="15"/>
      <c r="E7798" s="18"/>
    </row>
    <row r="7799" spans="2:5" x14ac:dyDescent="0.4">
      <c r="B7799" s="17"/>
      <c r="C7799" s="15"/>
      <c r="D7799" s="15"/>
      <c r="E7799" s="18"/>
    </row>
    <row r="7800" spans="2:5" x14ac:dyDescent="0.4">
      <c r="B7800" s="17"/>
      <c r="C7800" s="15"/>
      <c r="D7800" s="15"/>
      <c r="E7800" s="18"/>
    </row>
    <row r="7801" spans="2:5" x14ac:dyDescent="0.4">
      <c r="B7801" s="17"/>
      <c r="C7801" s="15"/>
      <c r="D7801" s="15"/>
      <c r="E7801" s="18"/>
    </row>
    <row r="7802" spans="2:5" x14ac:dyDescent="0.4">
      <c r="B7802" s="17"/>
      <c r="C7802" s="15"/>
      <c r="D7802" s="15"/>
      <c r="E7802" s="18"/>
    </row>
    <row r="7803" spans="2:5" x14ac:dyDescent="0.4">
      <c r="B7803" s="17"/>
      <c r="C7803" s="15"/>
      <c r="D7803" s="15"/>
      <c r="E7803" s="18"/>
    </row>
    <row r="7804" spans="2:5" x14ac:dyDescent="0.4">
      <c r="B7804" s="17"/>
      <c r="C7804" s="15"/>
      <c r="D7804" s="15"/>
      <c r="E7804" s="18"/>
    </row>
    <row r="7805" spans="2:5" x14ac:dyDescent="0.4">
      <c r="B7805" s="17"/>
      <c r="C7805" s="15"/>
      <c r="D7805" s="15"/>
      <c r="E7805" s="18"/>
    </row>
    <row r="7806" spans="2:5" x14ac:dyDescent="0.4">
      <c r="B7806" s="17"/>
      <c r="C7806" s="15"/>
      <c r="D7806" s="15"/>
      <c r="E7806" s="18"/>
    </row>
    <row r="7807" spans="2:5" x14ac:dyDescent="0.4">
      <c r="B7807" s="17"/>
      <c r="C7807" s="15"/>
      <c r="D7807" s="15"/>
      <c r="E7807" s="18"/>
    </row>
    <row r="7808" spans="2:5" x14ac:dyDescent="0.4">
      <c r="B7808" s="17"/>
      <c r="C7808" s="15"/>
      <c r="D7808" s="15"/>
      <c r="E7808" s="18"/>
    </row>
    <row r="7809" spans="2:5" x14ac:dyDescent="0.4">
      <c r="B7809" s="17"/>
      <c r="C7809" s="15"/>
      <c r="D7809" s="15"/>
      <c r="E7809" s="18"/>
    </row>
    <row r="7810" spans="2:5" x14ac:dyDescent="0.4">
      <c r="B7810" s="17"/>
      <c r="C7810" s="15"/>
      <c r="D7810" s="15"/>
      <c r="E7810" s="18"/>
    </row>
    <row r="7811" spans="2:5" x14ac:dyDescent="0.4">
      <c r="B7811" s="17"/>
      <c r="C7811" s="15"/>
      <c r="D7811" s="15"/>
      <c r="E7811" s="18"/>
    </row>
    <row r="7812" spans="2:5" x14ac:dyDescent="0.4">
      <c r="B7812" s="17"/>
      <c r="C7812" s="15"/>
      <c r="D7812" s="15"/>
      <c r="E7812" s="18"/>
    </row>
    <row r="7813" spans="2:5" x14ac:dyDescent="0.4">
      <c r="B7813" s="17"/>
      <c r="C7813" s="15"/>
      <c r="D7813" s="15"/>
      <c r="E7813" s="18"/>
    </row>
    <row r="7814" spans="2:5" x14ac:dyDescent="0.4">
      <c r="B7814" s="17"/>
      <c r="C7814" s="15"/>
      <c r="D7814" s="15"/>
      <c r="E7814" s="18"/>
    </row>
    <row r="7815" spans="2:5" x14ac:dyDescent="0.4">
      <c r="B7815" s="17"/>
      <c r="C7815" s="15"/>
      <c r="D7815" s="15"/>
      <c r="E7815" s="18"/>
    </row>
    <row r="7816" spans="2:5" x14ac:dyDescent="0.4">
      <c r="B7816" s="17"/>
      <c r="C7816" s="15"/>
      <c r="D7816" s="15"/>
      <c r="E7816" s="18"/>
    </row>
    <row r="7817" spans="2:5" x14ac:dyDescent="0.4">
      <c r="B7817" s="17"/>
      <c r="C7817" s="15"/>
      <c r="D7817" s="15"/>
      <c r="E7817" s="18"/>
    </row>
    <row r="7818" spans="2:5" x14ac:dyDescent="0.4">
      <c r="B7818" s="17"/>
      <c r="C7818" s="15"/>
      <c r="D7818" s="15"/>
      <c r="E7818" s="18"/>
    </row>
    <row r="7819" spans="2:5" x14ac:dyDescent="0.4">
      <c r="B7819" s="17"/>
      <c r="C7819" s="15"/>
      <c r="D7819" s="15"/>
      <c r="E7819" s="18"/>
    </row>
    <row r="7820" spans="2:5" x14ac:dyDescent="0.4">
      <c r="B7820" s="17"/>
      <c r="C7820" s="15"/>
      <c r="D7820" s="15"/>
      <c r="E7820" s="18"/>
    </row>
    <row r="7821" spans="2:5" x14ac:dyDescent="0.4">
      <c r="B7821" s="17"/>
      <c r="C7821" s="15"/>
      <c r="D7821" s="15"/>
      <c r="E7821" s="18"/>
    </row>
    <row r="7822" spans="2:5" x14ac:dyDescent="0.4">
      <c r="B7822" s="17"/>
      <c r="C7822" s="15"/>
      <c r="D7822" s="15"/>
      <c r="E7822" s="18"/>
    </row>
    <row r="7823" spans="2:5" x14ac:dyDescent="0.4">
      <c r="B7823" s="17"/>
      <c r="C7823" s="15"/>
      <c r="D7823" s="15"/>
      <c r="E7823" s="18"/>
    </row>
    <row r="7824" spans="2:5" x14ac:dyDescent="0.4">
      <c r="B7824" s="17"/>
      <c r="C7824" s="15"/>
      <c r="D7824" s="15"/>
      <c r="E7824" s="18"/>
    </row>
    <row r="7825" spans="2:5" x14ac:dyDescent="0.4">
      <c r="B7825" s="17"/>
      <c r="C7825" s="15"/>
      <c r="D7825" s="15"/>
      <c r="E7825" s="18"/>
    </row>
    <row r="7826" spans="2:5" x14ac:dyDescent="0.4">
      <c r="B7826" s="17"/>
      <c r="C7826" s="15"/>
      <c r="D7826" s="15"/>
      <c r="E7826" s="18"/>
    </row>
    <row r="7827" spans="2:5" x14ac:dyDescent="0.4">
      <c r="B7827" s="17"/>
      <c r="C7827" s="15"/>
      <c r="D7827" s="15"/>
      <c r="E7827" s="18"/>
    </row>
    <row r="7828" spans="2:5" x14ac:dyDescent="0.4">
      <c r="B7828" s="17"/>
      <c r="C7828" s="15"/>
      <c r="D7828" s="15"/>
      <c r="E7828" s="18"/>
    </row>
    <row r="7829" spans="2:5" x14ac:dyDescent="0.4">
      <c r="B7829" s="17"/>
      <c r="C7829" s="15"/>
      <c r="D7829" s="15"/>
      <c r="E7829" s="18"/>
    </row>
    <row r="7830" spans="2:5" x14ac:dyDescent="0.4">
      <c r="B7830" s="17"/>
      <c r="C7830" s="15"/>
      <c r="D7830" s="15"/>
      <c r="E7830" s="18"/>
    </row>
    <row r="7831" spans="2:5" x14ac:dyDescent="0.4">
      <c r="B7831" s="17"/>
      <c r="C7831" s="15"/>
      <c r="D7831" s="15"/>
      <c r="E7831" s="18"/>
    </row>
    <row r="7832" spans="2:5" x14ac:dyDescent="0.4">
      <c r="B7832" s="17"/>
      <c r="C7832" s="15"/>
      <c r="D7832" s="15"/>
      <c r="E7832" s="18"/>
    </row>
    <row r="7833" spans="2:5" x14ac:dyDescent="0.4">
      <c r="B7833" s="17"/>
      <c r="C7833" s="15"/>
      <c r="D7833" s="15"/>
      <c r="E7833" s="18"/>
    </row>
    <row r="7834" spans="2:5" x14ac:dyDescent="0.4">
      <c r="B7834" s="17"/>
      <c r="C7834" s="15"/>
      <c r="D7834" s="15"/>
      <c r="E7834" s="18"/>
    </row>
    <row r="7835" spans="2:5" x14ac:dyDescent="0.4">
      <c r="B7835" s="17"/>
      <c r="C7835" s="15"/>
      <c r="D7835" s="15"/>
      <c r="E7835" s="18"/>
    </row>
    <row r="7836" spans="2:5" x14ac:dyDescent="0.4">
      <c r="B7836" s="17"/>
      <c r="C7836" s="15"/>
      <c r="D7836" s="15"/>
      <c r="E7836" s="18"/>
    </row>
    <row r="7837" spans="2:5" x14ac:dyDescent="0.4">
      <c r="B7837" s="17"/>
      <c r="C7837" s="15"/>
      <c r="D7837" s="15"/>
      <c r="E7837" s="18"/>
    </row>
    <row r="7838" spans="2:5" x14ac:dyDescent="0.4">
      <c r="B7838" s="17"/>
      <c r="C7838" s="15"/>
      <c r="D7838" s="15"/>
      <c r="E7838" s="18"/>
    </row>
    <row r="7839" spans="2:5" x14ac:dyDescent="0.4">
      <c r="B7839" s="17"/>
      <c r="C7839" s="15"/>
      <c r="D7839" s="15"/>
      <c r="E7839" s="18"/>
    </row>
    <row r="7840" spans="2:5" x14ac:dyDescent="0.4">
      <c r="B7840" s="17"/>
      <c r="C7840" s="15"/>
      <c r="D7840" s="15"/>
      <c r="E7840" s="18"/>
    </row>
    <row r="7841" spans="2:5" x14ac:dyDescent="0.4">
      <c r="B7841" s="17"/>
      <c r="C7841" s="15"/>
      <c r="D7841" s="15"/>
      <c r="E7841" s="18"/>
    </row>
    <row r="7842" spans="2:5" x14ac:dyDescent="0.4">
      <c r="B7842" s="17"/>
      <c r="C7842" s="15"/>
      <c r="D7842" s="15"/>
      <c r="E7842" s="18"/>
    </row>
    <row r="7843" spans="2:5" x14ac:dyDescent="0.4">
      <c r="B7843" s="17"/>
      <c r="C7843" s="15"/>
      <c r="D7843" s="15"/>
      <c r="E7843" s="18"/>
    </row>
    <row r="7844" spans="2:5" x14ac:dyDescent="0.4">
      <c r="B7844" s="17"/>
      <c r="C7844" s="15"/>
      <c r="D7844" s="15"/>
      <c r="E7844" s="18"/>
    </row>
    <row r="7845" spans="2:5" x14ac:dyDescent="0.4">
      <c r="B7845" s="17"/>
      <c r="C7845" s="15"/>
      <c r="D7845" s="15"/>
      <c r="E7845" s="18"/>
    </row>
    <row r="7846" spans="2:5" x14ac:dyDescent="0.4">
      <c r="B7846" s="17"/>
      <c r="C7846" s="15"/>
      <c r="D7846" s="15"/>
      <c r="E7846" s="18"/>
    </row>
    <row r="7847" spans="2:5" x14ac:dyDescent="0.4">
      <c r="B7847" s="17"/>
      <c r="C7847" s="15"/>
      <c r="D7847" s="15"/>
      <c r="E7847" s="18"/>
    </row>
    <row r="7848" spans="2:5" x14ac:dyDescent="0.4">
      <c r="B7848" s="17"/>
      <c r="C7848" s="15"/>
      <c r="D7848" s="15"/>
      <c r="E7848" s="18"/>
    </row>
    <row r="7849" spans="2:5" x14ac:dyDescent="0.4">
      <c r="B7849" s="17"/>
      <c r="C7849" s="15"/>
      <c r="D7849" s="15"/>
      <c r="E7849" s="18"/>
    </row>
    <row r="7850" spans="2:5" x14ac:dyDescent="0.4">
      <c r="B7850" s="17"/>
      <c r="C7850" s="15"/>
      <c r="D7850" s="15"/>
      <c r="E7850" s="18"/>
    </row>
    <row r="7851" spans="2:5" x14ac:dyDescent="0.4">
      <c r="B7851" s="17"/>
      <c r="C7851" s="15"/>
      <c r="D7851" s="15"/>
      <c r="E7851" s="18"/>
    </row>
    <row r="7852" spans="2:5" x14ac:dyDescent="0.4">
      <c r="B7852" s="17"/>
      <c r="C7852" s="15"/>
      <c r="D7852" s="15"/>
      <c r="E7852" s="18"/>
    </row>
    <row r="7853" spans="2:5" x14ac:dyDescent="0.4">
      <c r="B7853" s="17"/>
      <c r="C7853" s="15"/>
      <c r="D7853" s="15"/>
      <c r="E7853" s="18"/>
    </row>
    <row r="7854" spans="2:5" x14ac:dyDescent="0.4">
      <c r="B7854" s="17"/>
      <c r="C7854" s="15"/>
      <c r="D7854" s="15"/>
      <c r="E7854" s="18"/>
    </row>
    <row r="7855" spans="2:5" x14ac:dyDescent="0.4">
      <c r="B7855" s="17"/>
      <c r="C7855" s="15"/>
      <c r="D7855" s="15"/>
      <c r="E7855" s="18"/>
    </row>
    <row r="7856" spans="2:5" x14ac:dyDescent="0.4">
      <c r="B7856" s="17"/>
      <c r="C7856" s="15"/>
      <c r="D7856" s="15"/>
      <c r="E7856" s="18"/>
    </row>
    <row r="7857" spans="2:5" x14ac:dyDescent="0.4">
      <c r="B7857" s="17"/>
      <c r="C7857" s="15"/>
      <c r="D7857" s="15"/>
      <c r="E7857" s="18"/>
    </row>
    <row r="7858" spans="2:5" x14ac:dyDescent="0.4">
      <c r="B7858" s="17"/>
      <c r="C7858" s="15"/>
      <c r="D7858" s="15"/>
      <c r="E7858" s="18"/>
    </row>
    <row r="7859" spans="2:5" x14ac:dyDescent="0.4">
      <c r="B7859" s="17"/>
      <c r="C7859" s="15"/>
      <c r="D7859" s="15"/>
      <c r="E7859" s="18"/>
    </row>
    <row r="7860" spans="2:5" x14ac:dyDescent="0.4">
      <c r="B7860" s="17"/>
      <c r="C7860" s="15"/>
      <c r="D7860" s="15"/>
      <c r="E7860" s="18"/>
    </row>
    <row r="7861" spans="2:5" x14ac:dyDescent="0.4">
      <c r="B7861" s="17"/>
      <c r="C7861" s="15"/>
      <c r="D7861" s="15"/>
      <c r="E7861" s="18"/>
    </row>
    <row r="7862" spans="2:5" x14ac:dyDescent="0.4">
      <c r="B7862" s="17"/>
      <c r="C7862" s="15"/>
      <c r="D7862" s="15"/>
      <c r="E7862" s="18"/>
    </row>
    <row r="7863" spans="2:5" x14ac:dyDescent="0.4">
      <c r="B7863" s="17"/>
      <c r="C7863" s="15"/>
      <c r="D7863" s="15"/>
      <c r="E7863" s="18"/>
    </row>
    <row r="7864" spans="2:5" x14ac:dyDescent="0.4">
      <c r="B7864" s="17"/>
      <c r="C7864" s="15"/>
      <c r="D7864" s="15"/>
      <c r="E7864" s="18"/>
    </row>
    <row r="7865" spans="2:5" x14ac:dyDescent="0.4">
      <c r="B7865" s="17"/>
      <c r="C7865" s="15"/>
      <c r="D7865" s="15"/>
      <c r="E7865" s="18"/>
    </row>
    <row r="7866" spans="2:5" x14ac:dyDescent="0.4">
      <c r="B7866" s="17"/>
      <c r="C7866" s="15"/>
      <c r="D7866" s="15"/>
      <c r="E7866" s="18"/>
    </row>
    <row r="7867" spans="2:5" x14ac:dyDescent="0.4">
      <c r="B7867" s="17"/>
      <c r="C7867" s="15"/>
      <c r="D7867" s="15"/>
      <c r="E7867" s="18"/>
    </row>
    <row r="7868" spans="2:5" x14ac:dyDescent="0.4">
      <c r="B7868" s="17"/>
      <c r="C7868" s="15"/>
      <c r="D7868" s="15"/>
      <c r="E7868" s="18"/>
    </row>
    <row r="7869" spans="2:5" x14ac:dyDescent="0.4">
      <c r="B7869" s="17"/>
      <c r="C7869" s="15"/>
      <c r="D7869" s="15"/>
      <c r="E7869" s="18"/>
    </row>
    <row r="7870" spans="2:5" x14ac:dyDescent="0.4">
      <c r="B7870" s="17"/>
      <c r="C7870" s="15"/>
      <c r="D7870" s="15"/>
      <c r="E7870" s="18"/>
    </row>
    <row r="7871" spans="2:5" x14ac:dyDescent="0.4">
      <c r="B7871" s="17"/>
      <c r="C7871" s="15"/>
      <c r="D7871" s="15"/>
      <c r="E7871" s="18"/>
    </row>
    <row r="7872" spans="2:5" x14ac:dyDescent="0.4">
      <c r="B7872" s="17"/>
      <c r="C7872" s="15"/>
      <c r="D7872" s="15"/>
      <c r="E7872" s="18"/>
    </row>
    <row r="7873" spans="2:5" x14ac:dyDescent="0.4">
      <c r="B7873" s="17"/>
      <c r="C7873" s="15"/>
      <c r="D7873" s="15"/>
      <c r="E7873" s="18"/>
    </row>
    <row r="7874" spans="2:5" x14ac:dyDescent="0.4">
      <c r="B7874" s="17"/>
      <c r="C7874" s="15"/>
      <c r="D7874" s="15"/>
      <c r="E7874" s="18"/>
    </row>
    <row r="7875" spans="2:5" x14ac:dyDescent="0.4">
      <c r="B7875" s="17"/>
      <c r="C7875" s="15"/>
      <c r="D7875" s="15"/>
      <c r="E7875" s="18"/>
    </row>
    <row r="7876" spans="2:5" x14ac:dyDescent="0.4">
      <c r="B7876" s="17"/>
      <c r="C7876" s="15"/>
      <c r="D7876" s="15"/>
      <c r="E7876" s="18"/>
    </row>
    <row r="7877" spans="2:5" x14ac:dyDescent="0.4">
      <c r="B7877" s="17"/>
      <c r="C7877" s="15"/>
      <c r="D7877" s="15"/>
      <c r="E7877" s="18"/>
    </row>
    <row r="7878" spans="2:5" x14ac:dyDescent="0.4">
      <c r="B7878" s="17"/>
      <c r="C7878" s="15"/>
      <c r="D7878" s="15"/>
      <c r="E7878" s="18"/>
    </row>
    <row r="7879" spans="2:5" x14ac:dyDescent="0.4">
      <c r="B7879" s="17"/>
      <c r="C7879" s="15"/>
      <c r="D7879" s="15"/>
      <c r="E7879" s="18"/>
    </row>
    <row r="7880" spans="2:5" x14ac:dyDescent="0.4">
      <c r="B7880" s="17"/>
      <c r="C7880" s="15"/>
      <c r="D7880" s="15"/>
      <c r="E7880" s="18"/>
    </row>
    <row r="7881" spans="2:5" x14ac:dyDescent="0.4">
      <c r="B7881" s="17"/>
      <c r="C7881" s="15"/>
      <c r="D7881" s="15"/>
      <c r="E7881" s="18"/>
    </row>
    <row r="7882" spans="2:5" x14ac:dyDescent="0.4">
      <c r="B7882" s="17"/>
      <c r="C7882" s="15"/>
      <c r="D7882" s="15"/>
      <c r="E7882" s="18"/>
    </row>
    <row r="7883" spans="2:5" x14ac:dyDescent="0.4">
      <c r="B7883" s="17"/>
      <c r="C7883" s="15"/>
      <c r="D7883" s="15"/>
      <c r="E7883" s="18"/>
    </row>
    <row r="7884" spans="2:5" x14ac:dyDescent="0.4">
      <c r="B7884" s="17"/>
      <c r="C7884" s="15"/>
      <c r="D7884" s="15"/>
      <c r="E7884" s="18"/>
    </row>
    <row r="7885" spans="2:5" x14ac:dyDescent="0.4">
      <c r="B7885" s="17"/>
      <c r="C7885" s="15"/>
      <c r="D7885" s="15"/>
      <c r="E7885" s="18"/>
    </row>
    <row r="7886" spans="2:5" x14ac:dyDescent="0.4">
      <c r="B7886" s="17"/>
      <c r="C7886" s="15"/>
      <c r="D7886" s="15"/>
      <c r="E7886" s="18"/>
    </row>
    <row r="7887" spans="2:5" x14ac:dyDescent="0.4">
      <c r="B7887" s="17"/>
      <c r="C7887" s="15"/>
      <c r="D7887" s="15"/>
      <c r="E7887" s="18"/>
    </row>
    <row r="7888" spans="2:5" x14ac:dyDescent="0.4">
      <c r="B7888" s="17"/>
      <c r="C7888" s="15"/>
      <c r="D7888" s="15"/>
      <c r="E7888" s="18"/>
    </row>
    <row r="7889" spans="2:5" x14ac:dyDescent="0.4">
      <c r="B7889" s="17"/>
      <c r="C7889" s="15"/>
      <c r="D7889" s="15"/>
      <c r="E7889" s="18"/>
    </row>
    <row r="7890" spans="2:5" x14ac:dyDescent="0.4">
      <c r="B7890" s="17"/>
      <c r="C7890" s="15"/>
      <c r="D7890" s="15"/>
      <c r="E7890" s="18"/>
    </row>
    <row r="7891" spans="2:5" x14ac:dyDescent="0.4">
      <c r="B7891" s="17"/>
      <c r="C7891" s="15"/>
      <c r="D7891" s="15"/>
      <c r="E7891" s="18"/>
    </row>
    <row r="7892" spans="2:5" x14ac:dyDescent="0.4">
      <c r="B7892" s="17"/>
      <c r="C7892" s="15"/>
      <c r="D7892" s="15"/>
      <c r="E7892" s="18"/>
    </row>
    <row r="7893" spans="2:5" x14ac:dyDescent="0.4">
      <c r="B7893" s="17"/>
      <c r="C7893" s="15"/>
      <c r="D7893" s="15"/>
      <c r="E7893" s="18"/>
    </row>
    <row r="7894" spans="2:5" x14ac:dyDescent="0.4">
      <c r="B7894" s="17"/>
      <c r="C7894" s="15"/>
      <c r="D7894" s="15"/>
      <c r="E7894" s="18"/>
    </row>
    <row r="7895" spans="2:5" x14ac:dyDescent="0.4">
      <c r="B7895" s="17"/>
      <c r="C7895" s="15"/>
      <c r="D7895" s="15"/>
      <c r="E7895" s="18"/>
    </row>
    <row r="7896" spans="2:5" x14ac:dyDescent="0.4">
      <c r="B7896" s="17"/>
      <c r="C7896" s="15"/>
      <c r="D7896" s="15"/>
      <c r="E7896" s="18"/>
    </row>
    <row r="7897" spans="2:5" x14ac:dyDescent="0.4">
      <c r="B7897" s="17"/>
      <c r="C7897" s="15"/>
      <c r="D7897" s="15"/>
      <c r="E7897" s="18"/>
    </row>
    <row r="7898" spans="2:5" x14ac:dyDescent="0.4">
      <c r="B7898" s="17"/>
      <c r="C7898" s="15"/>
      <c r="D7898" s="15"/>
      <c r="E7898" s="18"/>
    </row>
    <row r="7899" spans="2:5" x14ac:dyDescent="0.4">
      <c r="B7899" s="17"/>
      <c r="C7899" s="15"/>
      <c r="D7899" s="15"/>
      <c r="E7899" s="18"/>
    </row>
    <row r="7900" spans="2:5" x14ac:dyDescent="0.4">
      <c r="B7900" s="17"/>
      <c r="C7900" s="15"/>
      <c r="D7900" s="15"/>
      <c r="E7900" s="18"/>
    </row>
    <row r="7901" spans="2:5" x14ac:dyDescent="0.4">
      <c r="B7901" s="17"/>
      <c r="C7901" s="15"/>
      <c r="D7901" s="15"/>
      <c r="E7901" s="18"/>
    </row>
    <row r="7902" spans="2:5" x14ac:dyDescent="0.4">
      <c r="B7902" s="17"/>
      <c r="C7902" s="15"/>
      <c r="D7902" s="15"/>
      <c r="E7902" s="18"/>
    </row>
    <row r="7903" spans="2:5" x14ac:dyDescent="0.4">
      <c r="B7903" s="17"/>
      <c r="C7903" s="15"/>
      <c r="D7903" s="15"/>
      <c r="E7903" s="18"/>
    </row>
    <row r="7904" spans="2:5" x14ac:dyDescent="0.4">
      <c r="B7904" s="17"/>
      <c r="C7904" s="15"/>
      <c r="D7904" s="15"/>
      <c r="E7904" s="18"/>
    </row>
    <row r="7905" spans="2:5" x14ac:dyDescent="0.4">
      <c r="B7905" s="17"/>
      <c r="C7905" s="15"/>
      <c r="D7905" s="15"/>
      <c r="E7905" s="18"/>
    </row>
    <row r="7906" spans="2:5" x14ac:dyDescent="0.4">
      <c r="B7906" s="17"/>
      <c r="C7906" s="15"/>
      <c r="D7906" s="15"/>
      <c r="E7906" s="18"/>
    </row>
    <row r="7907" spans="2:5" x14ac:dyDescent="0.4">
      <c r="B7907" s="17"/>
      <c r="C7907" s="15"/>
      <c r="D7907" s="15"/>
      <c r="E7907" s="18"/>
    </row>
    <row r="7908" spans="2:5" x14ac:dyDescent="0.4">
      <c r="B7908" s="17"/>
      <c r="C7908" s="15"/>
      <c r="D7908" s="15"/>
      <c r="E7908" s="18"/>
    </row>
    <row r="7909" spans="2:5" x14ac:dyDescent="0.4">
      <c r="B7909" s="17"/>
      <c r="C7909" s="15"/>
      <c r="D7909" s="15"/>
      <c r="E7909" s="18"/>
    </row>
    <row r="7910" spans="2:5" x14ac:dyDescent="0.4">
      <c r="B7910" s="17"/>
      <c r="C7910" s="15"/>
      <c r="D7910" s="15"/>
      <c r="E7910" s="18"/>
    </row>
    <row r="7911" spans="2:5" x14ac:dyDescent="0.4">
      <c r="B7911" s="17"/>
      <c r="C7911" s="15"/>
      <c r="D7911" s="15"/>
      <c r="E7911" s="18"/>
    </row>
    <row r="7912" spans="2:5" x14ac:dyDescent="0.4">
      <c r="B7912" s="17"/>
      <c r="C7912" s="15"/>
      <c r="D7912" s="15"/>
      <c r="E7912" s="18"/>
    </row>
    <row r="7913" spans="2:5" x14ac:dyDescent="0.4">
      <c r="B7913" s="17"/>
      <c r="C7913" s="15"/>
      <c r="D7913" s="15"/>
      <c r="E7913" s="18"/>
    </row>
    <row r="7914" spans="2:5" x14ac:dyDescent="0.4">
      <c r="B7914" s="17"/>
      <c r="C7914" s="15"/>
      <c r="D7914" s="15"/>
      <c r="E7914" s="18"/>
    </row>
    <row r="7915" spans="2:5" x14ac:dyDescent="0.4">
      <c r="B7915" s="17"/>
      <c r="C7915" s="15"/>
      <c r="D7915" s="15"/>
      <c r="E7915" s="18"/>
    </row>
    <row r="7916" spans="2:5" x14ac:dyDescent="0.4">
      <c r="B7916" s="17"/>
      <c r="C7916" s="15"/>
      <c r="D7916" s="15"/>
      <c r="E7916" s="18"/>
    </row>
    <row r="7917" spans="2:5" x14ac:dyDescent="0.4">
      <c r="B7917" s="17"/>
      <c r="C7917" s="15"/>
      <c r="D7917" s="15"/>
      <c r="E7917" s="18"/>
    </row>
    <row r="7918" spans="2:5" x14ac:dyDescent="0.4">
      <c r="B7918" s="17"/>
      <c r="C7918" s="15"/>
      <c r="D7918" s="15"/>
      <c r="E7918" s="18"/>
    </row>
    <row r="7919" spans="2:5" x14ac:dyDescent="0.4">
      <c r="B7919" s="17"/>
      <c r="C7919" s="15"/>
      <c r="D7919" s="15"/>
      <c r="E7919" s="18"/>
    </row>
    <row r="7920" spans="2:5" x14ac:dyDescent="0.4">
      <c r="B7920" s="17"/>
      <c r="C7920" s="15"/>
      <c r="D7920" s="15"/>
      <c r="E7920" s="18"/>
    </row>
    <row r="7921" spans="2:5" x14ac:dyDescent="0.4">
      <c r="B7921" s="17"/>
      <c r="C7921" s="15"/>
      <c r="D7921" s="15"/>
      <c r="E7921" s="18"/>
    </row>
    <row r="7922" spans="2:5" x14ac:dyDescent="0.4">
      <c r="B7922" s="17"/>
      <c r="C7922" s="15"/>
      <c r="D7922" s="15"/>
      <c r="E7922" s="18"/>
    </row>
    <row r="7923" spans="2:5" x14ac:dyDescent="0.4">
      <c r="B7923" s="17"/>
      <c r="C7923" s="15"/>
      <c r="D7923" s="15"/>
      <c r="E7923" s="18"/>
    </row>
    <row r="7924" spans="2:5" x14ac:dyDescent="0.4">
      <c r="B7924" s="17"/>
      <c r="C7924" s="15"/>
      <c r="D7924" s="15"/>
      <c r="E7924" s="18"/>
    </row>
    <row r="7925" spans="2:5" x14ac:dyDescent="0.4">
      <c r="B7925" s="17"/>
      <c r="C7925" s="15"/>
      <c r="D7925" s="15"/>
      <c r="E7925" s="18"/>
    </row>
    <row r="7926" spans="2:5" x14ac:dyDescent="0.4">
      <c r="B7926" s="17"/>
      <c r="C7926" s="15"/>
      <c r="D7926" s="15"/>
      <c r="E7926" s="18"/>
    </row>
    <row r="7927" spans="2:5" x14ac:dyDescent="0.4">
      <c r="B7927" s="17"/>
      <c r="C7927" s="15"/>
      <c r="D7927" s="15"/>
      <c r="E7927" s="18"/>
    </row>
    <row r="7928" spans="2:5" x14ac:dyDescent="0.4">
      <c r="B7928" s="17"/>
      <c r="C7928" s="15"/>
      <c r="D7928" s="15"/>
      <c r="E7928" s="18"/>
    </row>
    <row r="7929" spans="2:5" x14ac:dyDescent="0.4">
      <c r="B7929" s="17"/>
      <c r="C7929" s="15"/>
      <c r="D7929" s="15"/>
      <c r="E7929" s="18"/>
    </row>
    <row r="7930" spans="2:5" x14ac:dyDescent="0.4">
      <c r="B7930" s="17"/>
      <c r="C7930" s="15"/>
      <c r="D7930" s="15"/>
      <c r="E7930" s="18"/>
    </row>
    <row r="7931" spans="2:5" x14ac:dyDescent="0.4">
      <c r="B7931" s="17"/>
      <c r="C7931" s="15"/>
      <c r="D7931" s="15"/>
      <c r="E7931" s="18"/>
    </row>
    <row r="7932" spans="2:5" x14ac:dyDescent="0.4">
      <c r="B7932" s="17"/>
      <c r="C7932" s="15"/>
      <c r="D7932" s="15"/>
      <c r="E7932" s="18"/>
    </row>
    <row r="7933" spans="2:5" x14ac:dyDescent="0.4">
      <c r="B7933" s="17"/>
      <c r="C7933" s="15"/>
      <c r="D7933" s="15"/>
      <c r="E7933" s="18"/>
    </row>
    <row r="7934" spans="2:5" x14ac:dyDescent="0.4">
      <c r="B7934" s="17"/>
      <c r="C7934" s="15"/>
      <c r="D7934" s="15"/>
      <c r="E7934" s="18"/>
    </row>
    <row r="7935" spans="2:5" x14ac:dyDescent="0.4">
      <c r="B7935" s="17"/>
      <c r="C7935" s="15"/>
      <c r="D7935" s="15"/>
      <c r="E7935" s="18"/>
    </row>
    <row r="7936" spans="2:5" x14ac:dyDescent="0.4">
      <c r="B7936" s="17"/>
      <c r="C7936" s="15"/>
      <c r="D7936" s="15"/>
      <c r="E7936" s="18"/>
    </row>
    <row r="7937" spans="2:5" x14ac:dyDescent="0.4">
      <c r="B7937" s="17"/>
      <c r="C7937" s="15"/>
      <c r="D7937" s="15"/>
      <c r="E7937" s="18"/>
    </row>
    <row r="7938" spans="2:5" x14ac:dyDescent="0.4">
      <c r="B7938" s="17"/>
      <c r="C7938" s="15"/>
      <c r="D7938" s="15"/>
      <c r="E7938" s="18"/>
    </row>
    <row r="7939" spans="2:5" x14ac:dyDescent="0.4">
      <c r="B7939" s="17"/>
      <c r="C7939" s="15"/>
      <c r="D7939" s="15"/>
      <c r="E7939" s="18"/>
    </row>
    <row r="7940" spans="2:5" x14ac:dyDescent="0.4">
      <c r="B7940" s="17"/>
      <c r="C7940" s="15"/>
      <c r="D7940" s="15"/>
      <c r="E7940" s="18"/>
    </row>
    <row r="7941" spans="2:5" x14ac:dyDescent="0.4">
      <c r="B7941" s="17"/>
      <c r="C7941" s="15"/>
      <c r="D7941" s="15"/>
      <c r="E7941" s="18"/>
    </row>
    <row r="7942" spans="2:5" x14ac:dyDescent="0.4">
      <c r="B7942" s="17"/>
      <c r="C7942" s="15"/>
      <c r="D7942" s="15"/>
      <c r="E7942" s="18"/>
    </row>
    <row r="7943" spans="2:5" x14ac:dyDescent="0.4">
      <c r="B7943" s="17"/>
      <c r="C7943" s="15"/>
      <c r="D7943" s="15"/>
      <c r="E7943" s="18"/>
    </row>
    <row r="7944" spans="2:5" x14ac:dyDescent="0.4">
      <c r="B7944" s="17"/>
      <c r="C7944" s="15"/>
      <c r="D7944" s="15"/>
      <c r="E7944" s="18"/>
    </row>
    <row r="7945" spans="2:5" x14ac:dyDescent="0.4">
      <c r="B7945" s="17"/>
      <c r="C7945" s="15"/>
      <c r="D7945" s="15"/>
      <c r="E7945" s="18"/>
    </row>
    <row r="7946" spans="2:5" x14ac:dyDescent="0.4">
      <c r="B7946" s="17"/>
      <c r="C7946" s="15"/>
      <c r="D7946" s="15"/>
      <c r="E7946" s="18"/>
    </row>
    <row r="7947" spans="2:5" x14ac:dyDescent="0.4">
      <c r="B7947" s="17"/>
      <c r="C7947" s="15"/>
      <c r="D7947" s="15"/>
      <c r="E7947" s="18"/>
    </row>
    <row r="7948" spans="2:5" x14ac:dyDescent="0.4">
      <c r="B7948" s="17"/>
      <c r="C7948" s="15"/>
      <c r="D7948" s="15"/>
      <c r="E7948" s="18"/>
    </row>
    <row r="7949" spans="2:5" x14ac:dyDescent="0.4">
      <c r="B7949" s="17"/>
      <c r="C7949" s="15"/>
      <c r="D7949" s="15"/>
      <c r="E7949" s="18"/>
    </row>
    <row r="7950" spans="2:5" x14ac:dyDescent="0.4">
      <c r="B7950" s="17"/>
      <c r="C7950" s="15"/>
      <c r="D7950" s="15"/>
      <c r="E7950" s="18"/>
    </row>
    <row r="7951" spans="2:5" x14ac:dyDescent="0.4">
      <c r="B7951" s="17"/>
      <c r="C7951" s="15"/>
      <c r="D7951" s="15"/>
      <c r="E7951" s="18"/>
    </row>
    <row r="7952" spans="2:5" x14ac:dyDescent="0.4">
      <c r="B7952" s="17"/>
      <c r="C7952" s="15"/>
      <c r="D7952" s="15"/>
      <c r="E7952" s="18"/>
    </row>
    <row r="7953" spans="2:5" x14ac:dyDescent="0.4">
      <c r="B7953" s="17"/>
      <c r="C7953" s="15"/>
      <c r="D7953" s="15"/>
      <c r="E7953" s="18"/>
    </row>
    <row r="7954" spans="2:5" x14ac:dyDescent="0.4">
      <c r="B7954" s="17"/>
      <c r="C7954" s="15"/>
      <c r="D7954" s="15"/>
      <c r="E7954" s="18"/>
    </row>
    <row r="7955" spans="2:5" x14ac:dyDescent="0.4">
      <c r="B7955" s="17"/>
      <c r="C7955" s="15"/>
      <c r="D7955" s="15"/>
      <c r="E7955" s="18"/>
    </row>
    <row r="7956" spans="2:5" x14ac:dyDescent="0.4">
      <c r="B7956" s="17"/>
      <c r="C7956" s="15"/>
      <c r="D7956" s="15"/>
      <c r="E7956" s="18"/>
    </row>
    <row r="7957" spans="2:5" x14ac:dyDescent="0.4">
      <c r="B7957" s="17"/>
      <c r="C7957" s="15"/>
      <c r="D7957" s="15"/>
      <c r="E7957" s="18"/>
    </row>
    <row r="7958" spans="2:5" x14ac:dyDescent="0.4">
      <c r="B7958" s="17"/>
      <c r="C7958" s="15"/>
      <c r="D7958" s="15"/>
      <c r="E7958" s="18"/>
    </row>
    <row r="7959" spans="2:5" x14ac:dyDescent="0.4">
      <c r="B7959" s="17"/>
      <c r="C7959" s="15"/>
      <c r="D7959" s="15"/>
      <c r="E7959" s="18"/>
    </row>
    <row r="7960" spans="2:5" x14ac:dyDescent="0.4">
      <c r="B7960" s="17"/>
      <c r="C7960" s="15"/>
      <c r="D7960" s="15"/>
      <c r="E7960" s="18"/>
    </row>
    <row r="7961" spans="2:5" x14ac:dyDescent="0.4">
      <c r="B7961" s="17"/>
      <c r="C7961" s="15"/>
      <c r="D7961" s="15"/>
      <c r="E7961" s="18"/>
    </row>
    <row r="7962" spans="2:5" x14ac:dyDescent="0.4">
      <c r="B7962" s="17"/>
      <c r="C7962" s="15"/>
      <c r="D7962" s="15"/>
      <c r="E7962" s="18"/>
    </row>
    <row r="7963" spans="2:5" x14ac:dyDescent="0.4">
      <c r="B7963" s="17"/>
      <c r="C7963" s="15"/>
      <c r="D7963" s="15"/>
      <c r="E7963" s="18"/>
    </row>
    <row r="7964" spans="2:5" x14ac:dyDescent="0.4">
      <c r="B7964" s="17"/>
      <c r="C7964" s="15"/>
      <c r="D7964" s="15"/>
      <c r="E7964" s="18"/>
    </row>
    <row r="7965" spans="2:5" x14ac:dyDescent="0.4">
      <c r="B7965" s="17"/>
      <c r="C7965" s="15"/>
      <c r="D7965" s="15"/>
      <c r="E7965" s="18"/>
    </row>
    <row r="7966" spans="2:5" x14ac:dyDescent="0.4">
      <c r="B7966" s="17"/>
      <c r="C7966" s="15"/>
      <c r="D7966" s="15"/>
      <c r="E7966" s="18"/>
    </row>
    <row r="7967" spans="2:5" x14ac:dyDescent="0.4">
      <c r="B7967" s="17"/>
      <c r="C7967" s="15"/>
      <c r="D7967" s="15"/>
      <c r="E7967" s="18"/>
    </row>
    <row r="7968" spans="2:5" x14ac:dyDescent="0.4">
      <c r="B7968" s="17"/>
      <c r="C7968" s="15"/>
      <c r="D7968" s="15"/>
      <c r="E7968" s="18"/>
    </row>
    <row r="7969" spans="2:5" x14ac:dyDescent="0.4">
      <c r="B7969" s="17"/>
      <c r="C7969" s="15"/>
      <c r="D7969" s="15"/>
      <c r="E7969" s="18"/>
    </row>
    <row r="7970" spans="2:5" x14ac:dyDescent="0.4">
      <c r="B7970" s="17"/>
      <c r="C7970" s="15"/>
      <c r="D7970" s="15"/>
      <c r="E7970" s="18"/>
    </row>
    <row r="7971" spans="2:5" x14ac:dyDescent="0.4">
      <c r="B7971" s="17"/>
      <c r="C7971" s="15"/>
      <c r="D7971" s="15"/>
      <c r="E7971" s="18"/>
    </row>
    <row r="7972" spans="2:5" x14ac:dyDescent="0.4">
      <c r="B7972" s="17"/>
      <c r="C7972" s="15"/>
      <c r="D7972" s="15"/>
      <c r="E7972" s="18"/>
    </row>
    <row r="7973" spans="2:5" x14ac:dyDescent="0.4">
      <c r="B7973" s="17"/>
      <c r="C7973" s="15"/>
      <c r="D7973" s="15"/>
      <c r="E7973" s="18"/>
    </row>
    <row r="7974" spans="2:5" x14ac:dyDescent="0.4">
      <c r="B7974" s="17"/>
      <c r="C7974" s="15"/>
      <c r="D7974" s="15"/>
      <c r="E7974" s="18"/>
    </row>
    <row r="7975" spans="2:5" x14ac:dyDescent="0.4">
      <c r="B7975" s="17"/>
      <c r="C7975" s="15"/>
      <c r="D7975" s="15"/>
      <c r="E7975" s="18"/>
    </row>
    <row r="7976" spans="2:5" x14ac:dyDescent="0.4">
      <c r="B7976" s="17"/>
      <c r="C7976" s="15"/>
      <c r="D7976" s="15"/>
      <c r="E7976" s="18"/>
    </row>
    <row r="7977" spans="2:5" x14ac:dyDescent="0.4">
      <c r="B7977" s="17"/>
      <c r="C7977" s="15"/>
      <c r="D7977" s="15"/>
      <c r="E7977" s="18"/>
    </row>
    <row r="7978" spans="2:5" x14ac:dyDescent="0.4">
      <c r="B7978" s="17"/>
      <c r="C7978" s="15"/>
      <c r="D7978" s="15"/>
      <c r="E7978" s="18"/>
    </row>
    <row r="7979" spans="2:5" x14ac:dyDescent="0.4">
      <c r="B7979" s="17"/>
      <c r="C7979" s="15"/>
      <c r="D7979" s="15"/>
      <c r="E7979" s="18"/>
    </row>
    <row r="7980" spans="2:5" x14ac:dyDescent="0.4">
      <c r="B7980" s="17"/>
      <c r="C7980" s="15"/>
      <c r="D7980" s="15"/>
      <c r="E7980" s="18"/>
    </row>
    <row r="7981" spans="2:5" x14ac:dyDescent="0.4">
      <c r="B7981" s="17"/>
      <c r="C7981" s="15"/>
      <c r="D7981" s="15"/>
      <c r="E7981" s="18"/>
    </row>
    <row r="7982" spans="2:5" x14ac:dyDescent="0.4">
      <c r="B7982" s="17"/>
      <c r="C7982" s="15"/>
      <c r="D7982" s="15"/>
      <c r="E7982" s="18"/>
    </row>
    <row r="7983" spans="2:5" x14ac:dyDescent="0.4">
      <c r="B7983" s="17"/>
      <c r="C7983" s="15"/>
      <c r="D7983" s="15"/>
      <c r="E7983" s="18"/>
    </row>
    <row r="7984" spans="2:5" x14ac:dyDescent="0.4">
      <c r="B7984" s="17"/>
      <c r="C7984" s="15"/>
      <c r="D7984" s="15"/>
      <c r="E7984" s="18"/>
    </row>
    <row r="7985" spans="2:5" x14ac:dyDescent="0.4">
      <c r="B7985" s="17"/>
      <c r="C7985" s="15"/>
      <c r="D7985" s="15"/>
      <c r="E7985" s="18"/>
    </row>
    <row r="7986" spans="2:5" x14ac:dyDescent="0.4">
      <c r="B7986" s="17"/>
      <c r="C7986" s="15"/>
      <c r="D7986" s="15"/>
      <c r="E7986" s="18"/>
    </row>
    <row r="7987" spans="2:5" x14ac:dyDescent="0.4">
      <c r="B7987" s="17"/>
      <c r="C7987" s="15"/>
      <c r="D7987" s="15"/>
      <c r="E7987" s="18"/>
    </row>
    <row r="7988" spans="2:5" x14ac:dyDescent="0.4">
      <c r="B7988" s="17"/>
      <c r="C7988" s="15"/>
      <c r="D7988" s="15"/>
      <c r="E7988" s="18"/>
    </row>
    <row r="7989" spans="2:5" x14ac:dyDescent="0.4">
      <c r="B7989" s="17"/>
      <c r="C7989" s="15"/>
      <c r="D7989" s="15"/>
      <c r="E7989" s="18"/>
    </row>
    <row r="7990" spans="2:5" x14ac:dyDescent="0.4">
      <c r="B7990" s="17"/>
      <c r="C7990" s="15"/>
      <c r="D7990" s="15"/>
      <c r="E7990" s="18"/>
    </row>
    <row r="7991" spans="2:5" x14ac:dyDescent="0.4">
      <c r="B7991" s="17"/>
      <c r="C7991" s="15"/>
      <c r="D7991" s="15"/>
      <c r="E7991" s="18"/>
    </row>
    <row r="7992" spans="2:5" x14ac:dyDescent="0.4">
      <c r="B7992" s="17"/>
      <c r="C7992" s="15"/>
      <c r="D7992" s="15"/>
      <c r="E7992" s="18"/>
    </row>
    <row r="7993" spans="2:5" x14ac:dyDescent="0.4">
      <c r="B7993" s="17"/>
      <c r="C7993" s="15"/>
      <c r="D7993" s="15"/>
      <c r="E7993" s="18"/>
    </row>
    <row r="7994" spans="2:5" x14ac:dyDescent="0.4">
      <c r="B7994" s="17"/>
      <c r="C7994" s="15"/>
      <c r="D7994" s="15"/>
      <c r="E7994" s="18"/>
    </row>
    <row r="7995" spans="2:5" x14ac:dyDescent="0.4">
      <c r="B7995" s="17"/>
      <c r="C7995" s="15"/>
      <c r="D7995" s="15"/>
      <c r="E7995" s="18"/>
    </row>
    <row r="7996" spans="2:5" x14ac:dyDescent="0.4">
      <c r="B7996" s="17"/>
      <c r="C7996" s="15"/>
      <c r="D7996" s="15"/>
      <c r="E7996" s="18"/>
    </row>
    <row r="7997" spans="2:5" x14ac:dyDescent="0.4">
      <c r="B7997" s="17"/>
      <c r="C7997" s="15"/>
      <c r="D7997" s="15"/>
      <c r="E7997" s="18"/>
    </row>
    <row r="7998" spans="2:5" x14ac:dyDescent="0.4">
      <c r="B7998" s="17"/>
      <c r="C7998" s="15"/>
      <c r="D7998" s="15"/>
      <c r="E7998" s="18"/>
    </row>
    <row r="7999" spans="2:5" x14ac:dyDescent="0.4">
      <c r="B7999" s="17"/>
      <c r="C7999" s="15"/>
      <c r="D7999" s="15"/>
      <c r="E7999" s="18"/>
    </row>
    <row r="8000" spans="2:5" x14ac:dyDescent="0.4">
      <c r="B8000" s="17"/>
      <c r="C8000" s="15"/>
      <c r="D8000" s="15"/>
      <c r="E8000" s="18"/>
    </row>
    <row r="8001" spans="2:5" x14ac:dyDescent="0.4">
      <c r="B8001" s="17"/>
      <c r="C8001" s="15"/>
      <c r="D8001" s="15"/>
      <c r="E8001" s="18"/>
    </row>
    <row r="8002" spans="2:5" x14ac:dyDescent="0.4">
      <c r="B8002" s="17"/>
      <c r="C8002" s="15"/>
      <c r="D8002" s="15"/>
      <c r="E8002" s="18"/>
    </row>
    <row r="8003" spans="2:5" x14ac:dyDescent="0.4">
      <c r="B8003" s="17"/>
      <c r="C8003" s="15"/>
      <c r="D8003" s="15"/>
      <c r="E8003" s="18"/>
    </row>
    <row r="8004" spans="2:5" x14ac:dyDescent="0.4">
      <c r="B8004" s="17"/>
      <c r="C8004" s="15"/>
      <c r="D8004" s="15"/>
      <c r="E8004" s="18"/>
    </row>
    <row r="8005" spans="2:5" x14ac:dyDescent="0.4">
      <c r="B8005" s="17"/>
      <c r="C8005" s="15"/>
      <c r="D8005" s="15"/>
      <c r="E8005" s="18"/>
    </row>
    <row r="8006" spans="2:5" x14ac:dyDescent="0.4">
      <c r="B8006" s="17"/>
      <c r="C8006" s="15"/>
      <c r="D8006" s="15"/>
      <c r="E8006" s="18"/>
    </row>
    <row r="8007" spans="2:5" x14ac:dyDescent="0.4">
      <c r="B8007" s="17"/>
      <c r="C8007" s="15"/>
      <c r="D8007" s="15"/>
      <c r="E8007" s="18"/>
    </row>
    <row r="8008" spans="2:5" x14ac:dyDescent="0.4">
      <c r="B8008" s="17"/>
      <c r="C8008" s="15"/>
      <c r="D8008" s="15"/>
      <c r="E8008" s="18"/>
    </row>
    <row r="8009" spans="2:5" x14ac:dyDescent="0.4">
      <c r="B8009" s="17"/>
      <c r="C8009" s="15"/>
      <c r="D8009" s="15"/>
      <c r="E8009" s="18"/>
    </row>
    <row r="8010" spans="2:5" x14ac:dyDescent="0.4">
      <c r="B8010" s="17"/>
      <c r="C8010" s="15"/>
      <c r="D8010" s="15"/>
      <c r="E8010" s="18"/>
    </row>
    <row r="8011" spans="2:5" x14ac:dyDescent="0.4">
      <c r="B8011" s="17"/>
      <c r="C8011" s="15"/>
      <c r="D8011" s="15"/>
      <c r="E8011" s="18"/>
    </row>
    <row r="8012" spans="2:5" x14ac:dyDescent="0.4">
      <c r="B8012" s="17"/>
      <c r="C8012" s="15"/>
      <c r="D8012" s="15"/>
      <c r="E8012" s="18"/>
    </row>
    <row r="8013" spans="2:5" x14ac:dyDescent="0.4">
      <c r="B8013" s="17"/>
      <c r="C8013" s="15"/>
      <c r="D8013" s="15"/>
      <c r="E8013" s="18"/>
    </row>
    <row r="8014" spans="2:5" x14ac:dyDescent="0.4">
      <c r="B8014" s="17"/>
      <c r="C8014" s="15"/>
      <c r="D8014" s="15"/>
      <c r="E8014" s="18"/>
    </row>
    <row r="8015" spans="2:5" x14ac:dyDescent="0.4">
      <c r="B8015" s="17"/>
      <c r="C8015" s="15"/>
      <c r="D8015" s="15"/>
      <c r="E8015" s="18"/>
    </row>
    <row r="8016" spans="2:5" x14ac:dyDescent="0.4">
      <c r="B8016" s="17"/>
      <c r="C8016" s="15"/>
      <c r="D8016" s="15"/>
      <c r="E8016" s="18"/>
    </row>
    <row r="8017" spans="2:5" x14ac:dyDescent="0.4">
      <c r="B8017" s="17"/>
      <c r="C8017" s="15"/>
      <c r="D8017" s="15"/>
      <c r="E8017" s="18"/>
    </row>
    <row r="8018" spans="2:5" x14ac:dyDescent="0.4">
      <c r="B8018" s="17"/>
      <c r="C8018" s="15"/>
      <c r="D8018" s="15"/>
      <c r="E8018" s="18"/>
    </row>
    <row r="8019" spans="2:5" x14ac:dyDescent="0.4">
      <c r="B8019" s="17"/>
      <c r="C8019" s="15"/>
      <c r="D8019" s="15"/>
      <c r="E8019" s="18"/>
    </row>
    <row r="8020" spans="2:5" x14ac:dyDescent="0.4">
      <c r="B8020" s="17"/>
      <c r="C8020" s="15"/>
      <c r="D8020" s="15"/>
      <c r="E8020" s="18"/>
    </row>
    <row r="8021" spans="2:5" x14ac:dyDescent="0.4">
      <c r="B8021" s="17"/>
      <c r="C8021" s="15"/>
      <c r="D8021" s="15"/>
      <c r="E8021" s="18"/>
    </row>
    <row r="8022" spans="2:5" x14ac:dyDescent="0.4">
      <c r="B8022" s="17"/>
      <c r="C8022" s="15"/>
      <c r="D8022" s="15"/>
      <c r="E8022" s="18"/>
    </row>
    <row r="8023" spans="2:5" x14ac:dyDescent="0.4">
      <c r="B8023" s="17"/>
      <c r="C8023" s="15"/>
      <c r="D8023" s="15"/>
      <c r="E8023" s="18"/>
    </row>
    <row r="8024" spans="2:5" x14ac:dyDescent="0.4">
      <c r="B8024" s="17"/>
      <c r="C8024" s="15"/>
      <c r="D8024" s="15"/>
      <c r="E8024" s="18"/>
    </row>
    <row r="8025" spans="2:5" x14ac:dyDescent="0.4">
      <c r="B8025" s="17"/>
      <c r="C8025" s="15"/>
      <c r="D8025" s="15"/>
      <c r="E8025" s="18"/>
    </row>
    <row r="8026" spans="2:5" x14ac:dyDescent="0.4">
      <c r="B8026" s="17"/>
      <c r="C8026" s="15"/>
      <c r="D8026" s="15"/>
      <c r="E8026" s="18"/>
    </row>
    <row r="8027" spans="2:5" x14ac:dyDescent="0.4">
      <c r="B8027" s="17"/>
      <c r="C8027" s="15"/>
      <c r="D8027" s="15"/>
      <c r="E8027" s="18"/>
    </row>
    <row r="8028" spans="2:5" x14ac:dyDescent="0.4">
      <c r="B8028" s="17"/>
      <c r="C8028" s="15"/>
      <c r="D8028" s="15"/>
      <c r="E8028" s="18"/>
    </row>
    <row r="8029" spans="2:5" x14ac:dyDescent="0.4">
      <c r="B8029" s="17"/>
      <c r="C8029" s="15"/>
      <c r="D8029" s="15"/>
      <c r="E8029" s="18"/>
    </row>
    <row r="8030" spans="2:5" x14ac:dyDescent="0.4">
      <c r="B8030" s="17"/>
      <c r="C8030" s="15"/>
      <c r="D8030" s="15"/>
      <c r="E8030" s="18"/>
    </row>
    <row r="8031" spans="2:5" x14ac:dyDescent="0.4">
      <c r="B8031" s="17"/>
      <c r="C8031" s="15"/>
      <c r="D8031" s="15"/>
      <c r="E8031" s="18"/>
    </row>
    <row r="8032" spans="2:5" x14ac:dyDescent="0.4">
      <c r="B8032" s="17"/>
      <c r="C8032" s="15"/>
      <c r="D8032" s="15"/>
      <c r="E8032" s="18"/>
    </row>
    <row r="8033" spans="2:5" x14ac:dyDescent="0.4">
      <c r="B8033" s="17"/>
      <c r="C8033" s="15"/>
      <c r="D8033" s="15"/>
      <c r="E8033" s="18"/>
    </row>
    <row r="8034" spans="2:5" x14ac:dyDescent="0.4">
      <c r="B8034" s="17"/>
      <c r="C8034" s="15"/>
      <c r="D8034" s="15"/>
      <c r="E8034" s="18"/>
    </row>
    <row r="8035" spans="2:5" x14ac:dyDescent="0.4">
      <c r="B8035" s="17"/>
      <c r="C8035" s="15"/>
      <c r="D8035" s="15"/>
      <c r="E8035" s="18"/>
    </row>
    <row r="8036" spans="2:5" x14ac:dyDescent="0.4">
      <c r="B8036" s="17"/>
      <c r="C8036" s="15"/>
      <c r="D8036" s="15"/>
      <c r="E8036" s="18"/>
    </row>
    <row r="8037" spans="2:5" x14ac:dyDescent="0.4">
      <c r="B8037" s="17"/>
      <c r="C8037" s="15"/>
      <c r="D8037" s="15"/>
      <c r="E8037" s="18"/>
    </row>
    <row r="8038" spans="2:5" x14ac:dyDescent="0.4">
      <c r="B8038" s="17"/>
      <c r="C8038" s="15"/>
      <c r="D8038" s="15"/>
      <c r="E8038" s="18"/>
    </row>
    <row r="8039" spans="2:5" x14ac:dyDescent="0.4">
      <c r="B8039" s="17"/>
      <c r="C8039" s="15"/>
      <c r="D8039" s="15"/>
      <c r="E8039" s="18"/>
    </row>
    <row r="8040" spans="2:5" x14ac:dyDescent="0.4">
      <c r="B8040" s="17"/>
      <c r="C8040" s="15"/>
      <c r="D8040" s="15"/>
      <c r="E8040" s="18"/>
    </row>
    <row r="8041" spans="2:5" x14ac:dyDescent="0.4">
      <c r="B8041" s="17"/>
      <c r="C8041" s="15"/>
      <c r="D8041" s="15"/>
      <c r="E8041" s="18"/>
    </row>
    <row r="8042" spans="2:5" x14ac:dyDescent="0.4">
      <c r="B8042" s="17"/>
      <c r="C8042" s="15"/>
      <c r="D8042" s="15"/>
      <c r="E8042" s="18"/>
    </row>
    <row r="8043" spans="2:5" x14ac:dyDescent="0.4">
      <c r="B8043" s="17"/>
      <c r="C8043" s="15"/>
      <c r="D8043" s="15"/>
      <c r="E8043" s="18"/>
    </row>
    <row r="8044" spans="2:5" x14ac:dyDescent="0.4">
      <c r="B8044" s="17"/>
      <c r="C8044" s="15"/>
      <c r="D8044" s="15"/>
      <c r="E8044" s="18"/>
    </row>
    <row r="8045" spans="2:5" x14ac:dyDescent="0.4">
      <c r="B8045" s="17"/>
      <c r="C8045" s="15"/>
      <c r="D8045" s="15"/>
      <c r="E8045" s="18"/>
    </row>
    <row r="8046" spans="2:5" x14ac:dyDescent="0.4">
      <c r="B8046" s="17"/>
      <c r="C8046" s="15"/>
      <c r="D8046" s="15"/>
      <c r="E8046" s="18"/>
    </row>
    <row r="8047" spans="2:5" x14ac:dyDescent="0.4">
      <c r="B8047" s="17"/>
      <c r="C8047" s="15"/>
      <c r="D8047" s="15"/>
      <c r="E8047" s="18"/>
    </row>
    <row r="8048" spans="2:5" x14ac:dyDescent="0.4">
      <c r="B8048" s="17"/>
      <c r="C8048" s="15"/>
      <c r="D8048" s="15"/>
      <c r="E8048" s="18"/>
    </row>
    <row r="8049" spans="2:5" x14ac:dyDescent="0.4">
      <c r="B8049" s="17"/>
      <c r="C8049" s="15"/>
      <c r="D8049" s="15"/>
      <c r="E8049" s="18"/>
    </row>
    <row r="8050" spans="2:5" x14ac:dyDescent="0.4">
      <c r="B8050" s="17"/>
      <c r="C8050" s="15"/>
      <c r="D8050" s="15"/>
      <c r="E8050" s="18"/>
    </row>
    <row r="8051" spans="2:5" x14ac:dyDescent="0.4">
      <c r="B8051" s="17"/>
      <c r="C8051" s="15"/>
      <c r="D8051" s="15"/>
      <c r="E8051" s="18"/>
    </row>
    <row r="8052" spans="2:5" x14ac:dyDescent="0.4">
      <c r="B8052" s="17"/>
      <c r="C8052" s="15"/>
      <c r="D8052" s="15"/>
      <c r="E8052" s="18"/>
    </row>
    <row r="8053" spans="2:5" x14ac:dyDescent="0.4">
      <c r="B8053" s="17"/>
      <c r="C8053" s="15"/>
      <c r="D8053" s="15"/>
      <c r="E8053" s="18"/>
    </row>
    <row r="8054" spans="2:5" x14ac:dyDescent="0.4">
      <c r="B8054" s="17"/>
      <c r="C8054" s="15"/>
      <c r="D8054" s="15"/>
      <c r="E8054" s="18"/>
    </row>
    <row r="8055" spans="2:5" x14ac:dyDescent="0.4">
      <c r="B8055" s="17"/>
      <c r="C8055" s="15"/>
      <c r="D8055" s="15"/>
      <c r="E8055" s="18"/>
    </row>
    <row r="8056" spans="2:5" x14ac:dyDescent="0.4">
      <c r="B8056" s="17"/>
      <c r="C8056" s="15"/>
      <c r="D8056" s="15"/>
      <c r="E8056" s="18"/>
    </row>
    <row r="8057" spans="2:5" x14ac:dyDescent="0.4">
      <c r="B8057" s="17"/>
      <c r="C8057" s="15"/>
      <c r="D8057" s="15"/>
      <c r="E8057" s="18"/>
    </row>
    <row r="8058" spans="2:5" x14ac:dyDescent="0.4">
      <c r="B8058" s="17"/>
      <c r="C8058" s="15"/>
      <c r="D8058" s="15"/>
      <c r="E8058" s="18"/>
    </row>
    <row r="8059" spans="2:5" x14ac:dyDescent="0.4">
      <c r="B8059" s="17"/>
      <c r="C8059" s="15"/>
      <c r="D8059" s="15"/>
      <c r="E8059" s="18"/>
    </row>
    <row r="8060" spans="2:5" x14ac:dyDescent="0.4">
      <c r="B8060" s="17"/>
      <c r="C8060" s="15"/>
      <c r="D8060" s="15"/>
      <c r="E8060" s="18"/>
    </row>
    <row r="8061" spans="2:5" x14ac:dyDescent="0.4">
      <c r="B8061" s="17"/>
      <c r="C8061" s="15"/>
      <c r="D8061" s="15"/>
      <c r="E8061" s="18"/>
    </row>
    <row r="8062" spans="2:5" x14ac:dyDescent="0.4">
      <c r="B8062" s="17"/>
      <c r="C8062" s="15"/>
      <c r="D8062" s="15"/>
      <c r="E8062" s="18"/>
    </row>
    <row r="8063" spans="2:5" x14ac:dyDescent="0.4">
      <c r="B8063" s="17"/>
      <c r="C8063" s="15"/>
      <c r="D8063" s="15"/>
      <c r="E8063" s="18"/>
    </row>
    <row r="8064" spans="2:5" x14ac:dyDescent="0.4">
      <c r="B8064" s="17"/>
      <c r="C8064" s="15"/>
      <c r="D8064" s="15"/>
      <c r="E8064" s="18"/>
    </row>
    <row r="8065" spans="2:5" x14ac:dyDescent="0.4">
      <c r="B8065" s="17"/>
      <c r="C8065" s="15"/>
      <c r="D8065" s="15"/>
      <c r="E8065" s="18"/>
    </row>
    <row r="8066" spans="2:5" x14ac:dyDescent="0.4">
      <c r="B8066" s="17"/>
      <c r="C8066" s="15"/>
      <c r="D8066" s="15"/>
      <c r="E8066" s="18"/>
    </row>
    <row r="8067" spans="2:5" x14ac:dyDescent="0.4">
      <c r="B8067" s="17"/>
      <c r="C8067" s="15"/>
      <c r="D8067" s="15"/>
      <c r="E8067" s="18"/>
    </row>
    <row r="8068" spans="2:5" x14ac:dyDescent="0.4">
      <c r="B8068" s="17"/>
      <c r="C8068" s="15"/>
      <c r="D8068" s="15"/>
      <c r="E8068" s="18"/>
    </row>
    <row r="8069" spans="2:5" x14ac:dyDescent="0.4">
      <c r="B8069" s="17"/>
      <c r="C8069" s="15"/>
      <c r="D8069" s="15"/>
      <c r="E8069" s="18"/>
    </row>
    <row r="8070" spans="2:5" x14ac:dyDescent="0.4">
      <c r="B8070" s="17"/>
      <c r="C8070" s="15"/>
      <c r="D8070" s="15"/>
      <c r="E8070" s="18"/>
    </row>
    <row r="8071" spans="2:5" x14ac:dyDescent="0.4">
      <c r="B8071" s="17"/>
      <c r="C8071" s="15"/>
      <c r="D8071" s="15"/>
      <c r="E8071" s="18"/>
    </row>
    <row r="8072" spans="2:5" x14ac:dyDescent="0.4">
      <c r="B8072" s="17"/>
      <c r="C8072" s="15"/>
      <c r="D8072" s="15"/>
      <c r="E8072" s="18"/>
    </row>
    <row r="8073" spans="2:5" x14ac:dyDescent="0.4">
      <c r="B8073" s="17"/>
      <c r="C8073" s="15"/>
      <c r="D8073" s="15"/>
      <c r="E8073" s="18"/>
    </row>
    <row r="8074" spans="2:5" x14ac:dyDescent="0.4">
      <c r="B8074" s="17"/>
      <c r="C8074" s="15"/>
      <c r="D8074" s="15"/>
      <c r="E8074" s="18"/>
    </row>
    <row r="8075" spans="2:5" x14ac:dyDescent="0.4">
      <c r="B8075" s="17"/>
      <c r="C8075" s="15"/>
      <c r="D8075" s="15"/>
      <c r="E8075" s="18"/>
    </row>
    <row r="8076" spans="2:5" x14ac:dyDescent="0.4">
      <c r="B8076" s="17"/>
      <c r="C8076" s="15"/>
      <c r="D8076" s="15"/>
      <c r="E8076" s="18"/>
    </row>
    <row r="8077" spans="2:5" x14ac:dyDescent="0.4">
      <c r="B8077" s="17"/>
      <c r="C8077" s="15"/>
      <c r="D8077" s="15"/>
      <c r="E8077" s="18"/>
    </row>
    <row r="8078" spans="2:5" x14ac:dyDescent="0.4">
      <c r="B8078" s="17"/>
      <c r="C8078" s="15"/>
      <c r="D8078" s="15"/>
      <c r="E8078" s="18"/>
    </row>
    <row r="8079" spans="2:5" x14ac:dyDescent="0.4">
      <c r="B8079" s="17"/>
      <c r="C8079" s="15"/>
      <c r="D8079" s="15"/>
      <c r="E8079" s="18"/>
    </row>
    <row r="8080" spans="2:5" x14ac:dyDescent="0.4">
      <c r="B8080" s="17"/>
      <c r="C8080" s="15"/>
      <c r="D8080" s="15"/>
      <c r="E8080" s="18"/>
    </row>
    <row r="8081" spans="2:5" x14ac:dyDescent="0.4">
      <c r="B8081" s="17"/>
      <c r="C8081" s="15"/>
      <c r="D8081" s="15"/>
      <c r="E8081" s="18"/>
    </row>
    <row r="8082" spans="2:5" x14ac:dyDescent="0.4">
      <c r="B8082" s="17"/>
      <c r="C8082" s="15"/>
      <c r="D8082" s="15"/>
      <c r="E8082" s="18"/>
    </row>
    <row r="8083" spans="2:5" x14ac:dyDescent="0.4">
      <c r="B8083" s="17"/>
      <c r="C8083" s="15"/>
      <c r="D8083" s="15"/>
      <c r="E8083" s="18"/>
    </row>
    <row r="8084" spans="2:5" x14ac:dyDescent="0.4">
      <c r="B8084" s="17"/>
      <c r="C8084" s="15"/>
      <c r="D8084" s="15"/>
      <c r="E8084" s="18"/>
    </row>
    <row r="8085" spans="2:5" x14ac:dyDescent="0.4">
      <c r="B8085" s="17"/>
      <c r="C8085" s="15"/>
      <c r="D8085" s="15"/>
      <c r="E8085" s="18"/>
    </row>
    <row r="8086" spans="2:5" x14ac:dyDescent="0.4">
      <c r="B8086" s="17"/>
      <c r="C8086" s="15"/>
      <c r="D8086" s="15"/>
      <c r="E8086" s="18"/>
    </row>
    <row r="8087" spans="2:5" x14ac:dyDescent="0.4">
      <c r="B8087" s="17"/>
      <c r="C8087" s="15"/>
      <c r="D8087" s="15"/>
      <c r="E8087" s="18"/>
    </row>
    <row r="8088" spans="2:5" x14ac:dyDescent="0.4">
      <c r="B8088" s="17"/>
      <c r="C8088" s="15"/>
      <c r="D8088" s="15"/>
      <c r="E8088" s="18"/>
    </row>
    <row r="8089" spans="2:5" x14ac:dyDescent="0.4">
      <c r="B8089" s="17"/>
      <c r="C8089" s="15"/>
      <c r="D8089" s="15"/>
      <c r="E8089" s="18"/>
    </row>
    <row r="8090" spans="2:5" x14ac:dyDescent="0.4">
      <c r="B8090" s="17"/>
      <c r="C8090" s="15"/>
      <c r="D8090" s="15"/>
      <c r="E8090" s="18"/>
    </row>
    <row r="8091" spans="2:5" x14ac:dyDescent="0.4">
      <c r="B8091" s="17"/>
      <c r="C8091" s="15"/>
      <c r="D8091" s="15"/>
      <c r="E8091" s="18"/>
    </row>
    <row r="8092" spans="2:5" x14ac:dyDescent="0.4">
      <c r="B8092" s="17"/>
      <c r="C8092" s="15"/>
      <c r="D8092" s="15"/>
      <c r="E8092" s="18"/>
    </row>
    <row r="8093" spans="2:5" x14ac:dyDescent="0.4">
      <c r="B8093" s="17"/>
      <c r="C8093" s="15"/>
      <c r="D8093" s="15"/>
      <c r="E8093" s="18"/>
    </row>
    <row r="8094" spans="2:5" x14ac:dyDescent="0.4">
      <c r="B8094" s="17"/>
      <c r="C8094" s="15"/>
      <c r="D8094" s="15"/>
      <c r="E8094" s="18"/>
    </row>
    <row r="8095" spans="2:5" x14ac:dyDescent="0.4">
      <c r="B8095" s="17"/>
      <c r="C8095" s="15"/>
      <c r="D8095" s="15"/>
      <c r="E8095" s="18"/>
    </row>
    <row r="8096" spans="2:5" x14ac:dyDescent="0.4">
      <c r="B8096" s="17"/>
      <c r="C8096" s="15"/>
      <c r="D8096" s="15"/>
      <c r="E8096" s="18"/>
    </row>
    <row r="8097" spans="2:5" x14ac:dyDescent="0.4">
      <c r="B8097" s="17"/>
      <c r="C8097" s="15"/>
      <c r="D8097" s="15"/>
      <c r="E8097" s="18"/>
    </row>
    <row r="8098" spans="2:5" x14ac:dyDescent="0.4">
      <c r="B8098" s="17"/>
      <c r="C8098" s="15"/>
      <c r="D8098" s="15"/>
      <c r="E8098" s="18"/>
    </row>
    <row r="8099" spans="2:5" x14ac:dyDescent="0.4">
      <c r="B8099" s="17"/>
      <c r="C8099" s="15"/>
      <c r="D8099" s="15"/>
      <c r="E8099" s="18"/>
    </row>
    <row r="8100" spans="2:5" x14ac:dyDescent="0.4">
      <c r="B8100" s="17"/>
      <c r="C8100" s="15"/>
      <c r="D8100" s="15"/>
      <c r="E8100" s="18"/>
    </row>
    <row r="8101" spans="2:5" x14ac:dyDescent="0.4">
      <c r="B8101" s="17"/>
      <c r="C8101" s="15"/>
      <c r="D8101" s="15"/>
      <c r="E8101" s="18"/>
    </row>
    <row r="8102" spans="2:5" x14ac:dyDescent="0.4">
      <c r="B8102" s="17"/>
      <c r="C8102" s="15"/>
      <c r="D8102" s="15"/>
      <c r="E8102" s="18"/>
    </row>
    <row r="8103" spans="2:5" x14ac:dyDescent="0.4">
      <c r="B8103" s="17"/>
      <c r="C8103" s="15"/>
      <c r="D8103" s="15"/>
      <c r="E8103" s="18"/>
    </row>
    <row r="8104" spans="2:5" x14ac:dyDescent="0.4">
      <c r="B8104" s="17"/>
      <c r="C8104" s="15"/>
      <c r="D8104" s="15"/>
      <c r="E8104" s="18"/>
    </row>
    <row r="8105" spans="2:5" x14ac:dyDescent="0.4">
      <c r="B8105" s="17"/>
      <c r="C8105" s="15"/>
      <c r="D8105" s="15"/>
      <c r="E8105" s="18"/>
    </row>
    <row r="8106" spans="2:5" x14ac:dyDescent="0.4">
      <c r="B8106" s="17"/>
      <c r="C8106" s="15"/>
      <c r="D8106" s="15"/>
      <c r="E8106" s="18"/>
    </row>
    <row r="8107" spans="2:5" x14ac:dyDescent="0.4">
      <c r="B8107" s="17"/>
      <c r="C8107" s="15"/>
      <c r="D8107" s="15"/>
      <c r="E8107" s="18"/>
    </row>
    <row r="8108" spans="2:5" x14ac:dyDescent="0.4">
      <c r="B8108" s="17"/>
      <c r="C8108" s="15"/>
      <c r="D8108" s="15"/>
      <c r="E8108" s="18"/>
    </row>
    <row r="8109" spans="2:5" x14ac:dyDescent="0.4">
      <c r="B8109" s="17"/>
      <c r="C8109" s="15"/>
      <c r="D8109" s="15"/>
      <c r="E8109" s="18"/>
    </row>
    <row r="8110" spans="2:5" x14ac:dyDescent="0.4">
      <c r="B8110" s="17"/>
      <c r="C8110" s="15"/>
      <c r="D8110" s="15"/>
      <c r="E8110" s="18"/>
    </row>
    <row r="8111" spans="2:5" x14ac:dyDescent="0.4">
      <c r="B8111" s="17"/>
      <c r="C8111" s="15"/>
      <c r="D8111" s="15"/>
      <c r="E8111" s="18"/>
    </row>
    <row r="8112" spans="2:5" x14ac:dyDescent="0.4">
      <c r="B8112" s="17"/>
      <c r="C8112" s="15"/>
      <c r="D8112" s="15"/>
      <c r="E8112" s="18"/>
    </row>
    <row r="8113" spans="2:5" x14ac:dyDescent="0.4">
      <c r="B8113" s="17"/>
      <c r="C8113" s="15"/>
      <c r="D8113" s="15"/>
      <c r="E8113" s="18"/>
    </row>
    <row r="8114" spans="2:5" x14ac:dyDescent="0.4">
      <c r="B8114" s="17"/>
      <c r="C8114" s="15"/>
      <c r="D8114" s="15"/>
      <c r="E8114" s="18"/>
    </row>
    <row r="8115" spans="2:5" x14ac:dyDescent="0.4">
      <c r="B8115" s="17"/>
      <c r="C8115" s="15"/>
      <c r="D8115" s="15"/>
      <c r="E8115" s="18"/>
    </row>
    <row r="8116" spans="2:5" x14ac:dyDescent="0.4">
      <c r="B8116" s="17"/>
      <c r="C8116" s="15"/>
      <c r="D8116" s="15"/>
      <c r="E8116" s="18"/>
    </row>
    <row r="8117" spans="2:5" x14ac:dyDescent="0.4">
      <c r="B8117" s="17"/>
      <c r="C8117" s="15"/>
      <c r="D8117" s="15"/>
      <c r="E8117" s="18"/>
    </row>
    <row r="8118" spans="2:5" x14ac:dyDescent="0.4">
      <c r="B8118" s="17"/>
      <c r="C8118" s="15"/>
      <c r="D8118" s="15"/>
      <c r="E8118" s="18"/>
    </row>
    <row r="8119" spans="2:5" x14ac:dyDescent="0.4">
      <c r="B8119" s="17"/>
      <c r="C8119" s="15"/>
      <c r="D8119" s="15"/>
      <c r="E8119" s="18"/>
    </row>
    <row r="8120" spans="2:5" x14ac:dyDescent="0.4">
      <c r="B8120" s="17"/>
      <c r="C8120" s="15"/>
      <c r="D8120" s="15"/>
      <c r="E8120" s="18"/>
    </row>
    <row r="8121" spans="2:5" x14ac:dyDescent="0.4">
      <c r="B8121" s="17"/>
      <c r="C8121" s="15"/>
      <c r="D8121" s="15"/>
      <c r="E8121" s="18"/>
    </row>
    <row r="8122" spans="2:5" x14ac:dyDescent="0.4">
      <c r="B8122" s="17"/>
      <c r="C8122" s="15"/>
      <c r="D8122" s="15"/>
      <c r="E8122" s="18"/>
    </row>
    <row r="8123" spans="2:5" x14ac:dyDescent="0.4">
      <c r="B8123" s="17"/>
      <c r="C8123" s="15"/>
      <c r="D8123" s="15"/>
      <c r="E8123" s="18"/>
    </row>
    <row r="8124" spans="2:5" x14ac:dyDescent="0.4">
      <c r="B8124" s="17"/>
      <c r="C8124" s="15"/>
      <c r="D8124" s="15"/>
      <c r="E8124" s="18"/>
    </row>
    <row r="8125" spans="2:5" x14ac:dyDescent="0.4">
      <c r="B8125" s="17"/>
      <c r="C8125" s="15"/>
      <c r="D8125" s="15"/>
      <c r="E8125" s="18"/>
    </row>
    <row r="8126" spans="2:5" x14ac:dyDescent="0.4">
      <c r="B8126" s="17"/>
      <c r="C8126" s="15"/>
      <c r="D8126" s="15"/>
      <c r="E8126" s="18"/>
    </row>
    <row r="8127" spans="2:5" x14ac:dyDescent="0.4">
      <c r="B8127" s="17"/>
      <c r="C8127" s="15"/>
      <c r="D8127" s="15"/>
      <c r="E8127" s="18"/>
    </row>
    <row r="8128" spans="2:5" x14ac:dyDescent="0.4">
      <c r="B8128" s="17"/>
      <c r="C8128" s="15"/>
      <c r="D8128" s="15"/>
      <c r="E8128" s="18"/>
    </row>
    <row r="8129" spans="2:5" x14ac:dyDescent="0.4">
      <c r="B8129" s="17"/>
      <c r="C8129" s="15"/>
      <c r="D8129" s="15"/>
      <c r="E8129" s="18"/>
    </row>
    <row r="8130" spans="2:5" x14ac:dyDescent="0.4">
      <c r="B8130" s="17"/>
      <c r="C8130" s="15"/>
      <c r="D8130" s="15"/>
      <c r="E8130" s="18"/>
    </row>
    <row r="8131" spans="2:5" x14ac:dyDescent="0.4">
      <c r="B8131" s="17"/>
      <c r="C8131" s="15"/>
      <c r="D8131" s="15"/>
      <c r="E8131" s="18"/>
    </row>
    <row r="8132" spans="2:5" x14ac:dyDescent="0.4">
      <c r="B8132" s="17"/>
      <c r="C8132" s="15"/>
      <c r="D8132" s="15"/>
      <c r="E8132" s="18"/>
    </row>
    <row r="8133" spans="2:5" x14ac:dyDescent="0.4">
      <c r="B8133" s="17"/>
      <c r="C8133" s="15"/>
      <c r="D8133" s="15"/>
      <c r="E8133" s="18"/>
    </row>
    <row r="8134" spans="2:5" x14ac:dyDescent="0.4">
      <c r="B8134" s="17"/>
      <c r="C8134" s="15"/>
      <c r="D8134" s="15"/>
      <c r="E8134" s="18"/>
    </row>
    <row r="8135" spans="2:5" x14ac:dyDescent="0.4">
      <c r="B8135" s="17"/>
      <c r="C8135" s="15"/>
      <c r="D8135" s="15"/>
      <c r="E8135" s="18"/>
    </row>
    <row r="8136" spans="2:5" x14ac:dyDescent="0.4">
      <c r="B8136" s="17"/>
      <c r="C8136" s="15"/>
      <c r="D8136" s="15"/>
      <c r="E8136" s="18"/>
    </row>
    <row r="8137" spans="2:5" x14ac:dyDescent="0.4">
      <c r="B8137" s="17"/>
      <c r="C8137" s="15"/>
      <c r="D8137" s="15"/>
      <c r="E8137" s="18"/>
    </row>
    <row r="8138" spans="2:5" x14ac:dyDescent="0.4">
      <c r="B8138" s="17"/>
      <c r="C8138" s="15"/>
      <c r="D8138" s="15"/>
      <c r="E8138" s="18"/>
    </row>
    <row r="8139" spans="2:5" x14ac:dyDescent="0.4">
      <c r="B8139" s="17"/>
      <c r="C8139" s="15"/>
      <c r="D8139" s="15"/>
      <c r="E8139" s="18"/>
    </row>
    <row r="8140" spans="2:5" x14ac:dyDescent="0.4">
      <c r="B8140" s="17"/>
      <c r="C8140" s="15"/>
      <c r="D8140" s="15"/>
      <c r="E8140" s="18"/>
    </row>
    <row r="8141" spans="2:5" x14ac:dyDescent="0.4">
      <c r="B8141" s="17"/>
      <c r="C8141" s="15"/>
      <c r="D8141" s="15"/>
      <c r="E8141" s="18"/>
    </row>
    <row r="8142" spans="2:5" x14ac:dyDescent="0.4">
      <c r="B8142" s="17"/>
      <c r="C8142" s="15"/>
      <c r="D8142" s="15"/>
      <c r="E8142" s="18"/>
    </row>
    <row r="8143" spans="2:5" x14ac:dyDescent="0.4">
      <c r="B8143" s="17"/>
      <c r="C8143" s="15"/>
      <c r="D8143" s="15"/>
      <c r="E8143" s="18"/>
    </row>
    <row r="8144" spans="2:5" x14ac:dyDescent="0.4">
      <c r="B8144" s="17"/>
      <c r="C8144" s="15"/>
      <c r="D8144" s="15"/>
      <c r="E8144" s="18"/>
    </row>
    <row r="8145" spans="2:5" x14ac:dyDescent="0.4">
      <c r="B8145" s="17"/>
      <c r="C8145" s="15"/>
      <c r="D8145" s="15"/>
      <c r="E8145" s="18"/>
    </row>
    <row r="8146" spans="2:5" x14ac:dyDescent="0.4">
      <c r="B8146" s="17"/>
      <c r="C8146" s="15"/>
      <c r="D8146" s="15"/>
      <c r="E8146" s="18"/>
    </row>
    <row r="8147" spans="2:5" x14ac:dyDescent="0.4">
      <c r="B8147" s="17"/>
      <c r="C8147" s="15"/>
      <c r="D8147" s="15"/>
      <c r="E8147" s="18"/>
    </row>
    <row r="8148" spans="2:5" x14ac:dyDescent="0.4">
      <c r="B8148" s="17"/>
      <c r="C8148" s="15"/>
      <c r="D8148" s="15"/>
      <c r="E8148" s="18"/>
    </row>
    <row r="8149" spans="2:5" x14ac:dyDescent="0.4">
      <c r="B8149" s="17"/>
      <c r="C8149" s="15"/>
      <c r="D8149" s="15"/>
      <c r="E8149" s="18"/>
    </row>
    <row r="8150" spans="2:5" x14ac:dyDescent="0.4">
      <c r="B8150" s="17"/>
      <c r="C8150" s="15"/>
      <c r="D8150" s="15"/>
      <c r="E8150" s="18"/>
    </row>
    <row r="8151" spans="2:5" x14ac:dyDescent="0.4">
      <c r="B8151" s="17"/>
      <c r="C8151" s="15"/>
      <c r="D8151" s="15"/>
      <c r="E8151" s="18"/>
    </row>
    <row r="8152" spans="2:5" x14ac:dyDescent="0.4">
      <c r="B8152" s="17"/>
      <c r="C8152" s="15"/>
      <c r="D8152" s="15"/>
      <c r="E8152" s="18"/>
    </row>
    <row r="8153" spans="2:5" x14ac:dyDescent="0.4">
      <c r="B8153" s="17"/>
      <c r="C8153" s="15"/>
      <c r="D8153" s="15"/>
      <c r="E8153" s="18"/>
    </row>
    <row r="8154" spans="2:5" x14ac:dyDescent="0.4">
      <c r="B8154" s="17"/>
      <c r="C8154" s="15"/>
      <c r="D8154" s="15"/>
      <c r="E8154" s="18"/>
    </row>
    <row r="8155" spans="2:5" x14ac:dyDescent="0.4">
      <c r="B8155" s="17"/>
      <c r="C8155" s="15"/>
      <c r="D8155" s="15"/>
      <c r="E8155" s="18"/>
    </row>
    <row r="8156" spans="2:5" x14ac:dyDescent="0.4">
      <c r="B8156" s="17"/>
      <c r="C8156" s="15"/>
      <c r="D8156" s="15"/>
      <c r="E8156" s="18"/>
    </row>
    <row r="8157" spans="2:5" x14ac:dyDescent="0.4">
      <c r="B8157" s="17"/>
      <c r="C8157" s="15"/>
      <c r="D8157" s="15"/>
      <c r="E8157" s="18"/>
    </row>
    <row r="8158" spans="2:5" x14ac:dyDescent="0.4">
      <c r="B8158" s="17"/>
      <c r="C8158" s="15"/>
      <c r="D8158" s="15"/>
      <c r="E8158" s="18"/>
    </row>
    <row r="8159" spans="2:5" x14ac:dyDescent="0.4">
      <c r="B8159" s="17"/>
      <c r="C8159" s="15"/>
      <c r="D8159" s="15"/>
      <c r="E8159" s="18"/>
    </row>
    <row r="8160" spans="2:5" x14ac:dyDescent="0.4">
      <c r="B8160" s="17"/>
      <c r="C8160" s="15"/>
      <c r="D8160" s="15"/>
      <c r="E8160" s="18"/>
    </row>
    <row r="8161" spans="2:5" x14ac:dyDescent="0.4">
      <c r="B8161" s="17"/>
      <c r="C8161" s="15"/>
      <c r="D8161" s="15"/>
      <c r="E8161" s="18"/>
    </row>
    <row r="8162" spans="2:5" x14ac:dyDescent="0.4">
      <c r="B8162" s="17"/>
      <c r="C8162" s="15"/>
      <c r="D8162" s="15"/>
      <c r="E8162" s="18"/>
    </row>
    <row r="8163" spans="2:5" x14ac:dyDescent="0.4">
      <c r="B8163" s="17"/>
      <c r="C8163" s="15"/>
      <c r="D8163" s="15"/>
      <c r="E8163" s="18"/>
    </row>
    <row r="8164" spans="2:5" x14ac:dyDescent="0.4">
      <c r="B8164" s="17"/>
      <c r="C8164" s="15"/>
      <c r="D8164" s="15"/>
      <c r="E8164" s="18"/>
    </row>
    <row r="8165" spans="2:5" x14ac:dyDescent="0.4">
      <c r="B8165" s="17"/>
      <c r="C8165" s="15"/>
      <c r="D8165" s="15"/>
      <c r="E8165" s="18"/>
    </row>
    <row r="8166" spans="2:5" x14ac:dyDescent="0.4">
      <c r="B8166" s="17"/>
      <c r="C8166" s="15"/>
      <c r="D8166" s="15"/>
      <c r="E8166" s="18"/>
    </row>
    <row r="8167" spans="2:5" x14ac:dyDescent="0.4">
      <c r="B8167" s="17"/>
      <c r="C8167" s="15"/>
      <c r="D8167" s="15"/>
      <c r="E8167" s="18"/>
    </row>
    <row r="8168" spans="2:5" x14ac:dyDescent="0.4">
      <c r="B8168" s="17"/>
      <c r="C8168" s="15"/>
      <c r="D8168" s="15"/>
      <c r="E8168" s="18"/>
    </row>
    <row r="8169" spans="2:5" x14ac:dyDescent="0.4">
      <c r="B8169" s="17"/>
      <c r="C8169" s="15"/>
      <c r="D8169" s="15"/>
      <c r="E8169" s="18"/>
    </row>
    <row r="8170" spans="2:5" x14ac:dyDescent="0.4">
      <c r="B8170" s="17"/>
      <c r="C8170" s="15"/>
      <c r="D8170" s="15"/>
      <c r="E8170" s="18"/>
    </row>
    <row r="8171" spans="2:5" x14ac:dyDescent="0.4">
      <c r="B8171" s="17"/>
      <c r="C8171" s="15"/>
      <c r="D8171" s="15"/>
      <c r="E8171" s="18"/>
    </row>
    <row r="8172" spans="2:5" x14ac:dyDescent="0.4">
      <c r="B8172" s="17"/>
      <c r="C8172" s="15"/>
      <c r="D8172" s="15"/>
      <c r="E8172" s="18"/>
    </row>
    <row r="8173" spans="2:5" x14ac:dyDescent="0.4">
      <c r="B8173" s="17"/>
      <c r="C8173" s="15"/>
      <c r="D8173" s="15"/>
      <c r="E8173" s="18"/>
    </row>
    <row r="8174" spans="2:5" x14ac:dyDescent="0.4">
      <c r="B8174" s="17"/>
      <c r="C8174" s="15"/>
      <c r="D8174" s="15"/>
      <c r="E8174" s="18"/>
    </row>
    <row r="8175" spans="2:5" x14ac:dyDescent="0.4">
      <c r="B8175" s="17"/>
      <c r="C8175" s="15"/>
      <c r="D8175" s="15"/>
      <c r="E8175" s="18"/>
    </row>
    <row r="8176" spans="2:5" x14ac:dyDescent="0.4">
      <c r="B8176" s="17"/>
      <c r="C8176" s="15"/>
      <c r="D8176" s="15"/>
      <c r="E8176" s="18"/>
    </row>
    <row r="8177" spans="2:5" x14ac:dyDescent="0.4">
      <c r="B8177" s="17"/>
      <c r="C8177" s="15"/>
      <c r="D8177" s="15"/>
      <c r="E8177" s="18"/>
    </row>
    <row r="8178" spans="2:5" x14ac:dyDescent="0.4">
      <c r="B8178" s="17"/>
      <c r="C8178" s="15"/>
      <c r="D8178" s="15"/>
      <c r="E8178" s="18"/>
    </row>
    <row r="8179" spans="2:5" x14ac:dyDescent="0.4">
      <c r="B8179" s="17"/>
      <c r="C8179" s="15"/>
      <c r="D8179" s="15"/>
      <c r="E8179" s="18"/>
    </row>
    <row r="8180" spans="2:5" x14ac:dyDescent="0.4">
      <c r="B8180" s="17"/>
      <c r="C8180" s="15"/>
      <c r="D8180" s="15"/>
      <c r="E8180" s="18"/>
    </row>
    <row r="8181" spans="2:5" x14ac:dyDescent="0.4">
      <c r="B8181" s="17"/>
      <c r="C8181" s="15"/>
      <c r="D8181" s="15"/>
      <c r="E8181" s="18"/>
    </row>
    <row r="8182" spans="2:5" x14ac:dyDescent="0.4">
      <c r="B8182" s="17"/>
      <c r="C8182" s="15"/>
      <c r="D8182" s="15"/>
      <c r="E8182" s="18"/>
    </row>
    <row r="8183" spans="2:5" x14ac:dyDescent="0.4">
      <c r="B8183" s="17"/>
      <c r="C8183" s="15"/>
      <c r="D8183" s="15"/>
      <c r="E8183" s="18"/>
    </row>
    <row r="8184" spans="2:5" x14ac:dyDescent="0.4">
      <c r="B8184" s="17"/>
      <c r="C8184" s="15"/>
      <c r="D8184" s="15"/>
      <c r="E8184" s="18"/>
    </row>
    <row r="8185" spans="2:5" x14ac:dyDescent="0.4">
      <c r="B8185" s="17"/>
      <c r="C8185" s="15"/>
      <c r="D8185" s="15"/>
      <c r="E8185" s="18"/>
    </row>
    <row r="8186" spans="2:5" x14ac:dyDescent="0.4">
      <c r="B8186" s="17"/>
      <c r="C8186" s="15"/>
      <c r="D8186" s="15"/>
      <c r="E8186" s="18"/>
    </row>
    <row r="8187" spans="2:5" x14ac:dyDescent="0.4">
      <c r="B8187" s="17"/>
      <c r="C8187" s="15"/>
      <c r="D8187" s="15"/>
      <c r="E8187" s="18"/>
    </row>
    <row r="8188" spans="2:5" x14ac:dyDescent="0.4">
      <c r="B8188" s="17"/>
      <c r="C8188" s="15"/>
      <c r="D8188" s="15"/>
      <c r="E8188" s="18"/>
    </row>
    <row r="8189" spans="2:5" x14ac:dyDescent="0.4">
      <c r="B8189" s="17"/>
      <c r="C8189" s="15"/>
      <c r="D8189" s="15"/>
      <c r="E8189" s="18"/>
    </row>
    <row r="8190" spans="2:5" x14ac:dyDescent="0.4">
      <c r="B8190" s="17"/>
      <c r="C8190" s="15"/>
      <c r="D8190" s="15"/>
      <c r="E8190" s="18"/>
    </row>
    <row r="8191" spans="2:5" x14ac:dyDescent="0.4">
      <c r="B8191" s="17"/>
      <c r="C8191" s="15"/>
      <c r="D8191" s="15"/>
      <c r="E8191" s="18"/>
    </row>
    <row r="8192" spans="2:5" x14ac:dyDescent="0.4">
      <c r="B8192" s="17"/>
      <c r="C8192" s="15"/>
      <c r="D8192" s="15"/>
      <c r="E8192" s="18"/>
    </row>
    <row r="8193" spans="2:5" x14ac:dyDescent="0.4">
      <c r="B8193" s="17"/>
      <c r="C8193" s="15"/>
      <c r="D8193" s="15"/>
      <c r="E8193" s="18"/>
    </row>
    <row r="8194" spans="2:5" x14ac:dyDescent="0.4">
      <c r="B8194" s="17"/>
      <c r="C8194" s="15"/>
      <c r="D8194" s="15"/>
      <c r="E8194" s="18"/>
    </row>
    <row r="8195" spans="2:5" x14ac:dyDescent="0.4">
      <c r="B8195" s="17"/>
      <c r="C8195" s="15"/>
      <c r="D8195" s="15"/>
      <c r="E8195" s="18"/>
    </row>
    <row r="8196" spans="2:5" x14ac:dyDescent="0.4">
      <c r="B8196" s="17"/>
      <c r="C8196" s="15"/>
      <c r="D8196" s="15"/>
      <c r="E8196" s="18"/>
    </row>
    <row r="8197" spans="2:5" x14ac:dyDescent="0.4">
      <c r="B8197" s="17"/>
      <c r="C8197" s="15"/>
      <c r="D8197" s="15"/>
      <c r="E8197" s="18"/>
    </row>
    <row r="8198" spans="2:5" x14ac:dyDescent="0.4">
      <c r="B8198" s="17"/>
      <c r="C8198" s="15"/>
      <c r="D8198" s="15"/>
      <c r="E8198" s="18"/>
    </row>
    <row r="8199" spans="2:5" x14ac:dyDescent="0.4">
      <c r="B8199" s="17"/>
      <c r="C8199" s="15"/>
      <c r="D8199" s="15"/>
      <c r="E8199" s="18"/>
    </row>
    <row r="8200" spans="2:5" x14ac:dyDescent="0.4">
      <c r="B8200" s="17"/>
      <c r="C8200" s="15"/>
      <c r="D8200" s="15"/>
      <c r="E8200" s="18"/>
    </row>
    <row r="8201" spans="2:5" x14ac:dyDescent="0.4">
      <c r="B8201" s="17"/>
      <c r="C8201" s="15"/>
      <c r="D8201" s="15"/>
      <c r="E8201" s="18"/>
    </row>
    <row r="8202" spans="2:5" x14ac:dyDescent="0.4">
      <c r="B8202" s="17"/>
      <c r="C8202" s="15"/>
      <c r="D8202" s="15"/>
      <c r="E8202" s="18"/>
    </row>
    <row r="8203" spans="2:5" x14ac:dyDescent="0.4">
      <c r="B8203" s="17"/>
      <c r="C8203" s="15"/>
      <c r="D8203" s="15"/>
      <c r="E8203" s="18"/>
    </row>
    <row r="8204" spans="2:5" x14ac:dyDescent="0.4">
      <c r="B8204" s="17"/>
      <c r="C8204" s="15"/>
      <c r="D8204" s="15"/>
      <c r="E8204" s="18"/>
    </row>
    <row r="8205" spans="2:5" x14ac:dyDescent="0.4">
      <c r="B8205" s="17"/>
      <c r="C8205" s="15"/>
      <c r="D8205" s="15"/>
      <c r="E8205" s="18"/>
    </row>
    <row r="8206" spans="2:5" x14ac:dyDescent="0.4">
      <c r="B8206" s="17"/>
      <c r="C8206" s="15"/>
      <c r="D8206" s="15"/>
      <c r="E8206" s="18"/>
    </row>
    <row r="8207" spans="2:5" x14ac:dyDescent="0.4">
      <c r="B8207" s="17"/>
      <c r="C8207" s="15"/>
      <c r="D8207" s="15"/>
      <c r="E8207" s="18"/>
    </row>
    <row r="8208" spans="2:5" x14ac:dyDescent="0.4">
      <c r="B8208" s="17"/>
      <c r="C8208" s="15"/>
      <c r="D8208" s="15"/>
      <c r="E8208" s="18"/>
    </row>
    <row r="8209" spans="2:5" x14ac:dyDescent="0.4">
      <c r="B8209" s="17"/>
      <c r="C8209" s="15"/>
      <c r="D8209" s="15"/>
      <c r="E8209" s="18"/>
    </row>
    <row r="8210" spans="2:5" x14ac:dyDescent="0.4">
      <c r="B8210" s="17"/>
      <c r="C8210" s="15"/>
      <c r="D8210" s="15"/>
      <c r="E8210" s="18"/>
    </row>
    <row r="8211" spans="2:5" x14ac:dyDescent="0.4">
      <c r="B8211" s="17"/>
      <c r="C8211" s="15"/>
      <c r="D8211" s="15"/>
      <c r="E8211" s="18"/>
    </row>
    <row r="8212" spans="2:5" x14ac:dyDescent="0.4">
      <c r="B8212" s="17"/>
      <c r="C8212" s="15"/>
      <c r="D8212" s="15"/>
      <c r="E8212" s="18"/>
    </row>
    <row r="8213" spans="2:5" x14ac:dyDescent="0.4">
      <c r="B8213" s="17"/>
      <c r="C8213" s="15"/>
      <c r="D8213" s="15"/>
      <c r="E8213" s="18"/>
    </row>
    <row r="8214" spans="2:5" x14ac:dyDescent="0.4">
      <c r="B8214" s="17"/>
      <c r="C8214" s="15"/>
      <c r="D8214" s="15"/>
      <c r="E8214" s="18"/>
    </row>
    <row r="8215" spans="2:5" x14ac:dyDescent="0.4">
      <c r="B8215" s="17"/>
      <c r="C8215" s="15"/>
      <c r="D8215" s="15"/>
      <c r="E8215" s="18"/>
    </row>
    <row r="8216" spans="2:5" x14ac:dyDescent="0.4">
      <c r="B8216" s="17"/>
      <c r="C8216" s="15"/>
      <c r="D8216" s="15"/>
      <c r="E8216" s="18"/>
    </row>
    <row r="8217" spans="2:5" x14ac:dyDescent="0.4">
      <c r="B8217" s="17"/>
      <c r="C8217" s="15"/>
      <c r="D8217" s="15"/>
      <c r="E8217" s="18"/>
    </row>
    <row r="8218" spans="2:5" x14ac:dyDescent="0.4">
      <c r="B8218" s="17"/>
      <c r="C8218" s="15"/>
      <c r="D8218" s="15"/>
      <c r="E8218" s="18"/>
    </row>
    <row r="8219" spans="2:5" x14ac:dyDescent="0.4">
      <c r="B8219" s="17"/>
      <c r="C8219" s="15"/>
      <c r="D8219" s="15"/>
      <c r="E8219" s="18"/>
    </row>
    <row r="8220" spans="2:5" x14ac:dyDescent="0.4">
      <c r="B8220" s="17"/>
      <c r="C8220" s="15"/>
      <c r="D8220" s="15"/>
      <c r="E8220" s="18"/>
    </row>
    <row r="8221" spans="2:5" x14ac:dyDescent="0.4">
      <c r="B8221" s="17"/>
      <c r="C8221" s="15"/>
      <c r="D8221" s="15"/>
      <c r="E8221" s="18"/>
    </row>
    <row r="8222" spans="2:5" x14ac:dyDescent="0.4">
      <c r="B8222" s="17"/>
      <c r="C8222" s="15"/>
      <c r="D8222" s="15"/>
      <c r="E8222" s="18"/>
    </row>
    <row r="8223" spans="2:5" x14ac:dyDescent="0.4">
      <c r="B8223" s="17"/>
      <c r="C8223" s="15"/>
      <c r="D8223" s="15"/>
      <c r="E8223" s="18"/>
    </row>
    <row r="8224" spans="2:5" x14ac:dyDescent="0.4">
      <c r="B8224" s="17"/>
      <c r="C8224" s="15"/>
      <c r="D8224" s="15"/>
      <c r="E8224" s="18"/>
    </row>
    <row r="8225" spans="2:5" x14ac:dyDescent="0.4">
      <c r="B8225" s="17"/>
      <c r="C8225" s="15"/>
      <c r="D8225" s="15"/>
      <c r="E8225" s="18"/>
    </row>
    <row r="8226" spans="2:5" x14ac:dyDescent="0.4">
      <c r="B8226" s="17"/>
      <c r="C8226" s="15"/>
      <c r="D8226" s="15"/>
      <c r="E8226" s="18"/>
    </row>
    <row r="8227" spans="2:5" x14ac:dyDescent="0.4">
      <c r="B8227" s="17"/>
      <c r="C8227" s="15"/>
      <c r="D8227" s="15"/>
      <c r="E8227" s="18"/>
    </row>
    <row r="8228" spans="2:5" x14ac:dyDescent="0.4">
      <c r="B8228" s="17"/>
      <c r="C8228" s="15"/>
      <c r="D8228" s="15"/>
      <c r="E8228" s="18"/>
    </row>
    <row r="8229" spans="2:5" x14ac:dyDescent="0.4">
      <c r="B8229" s="17"/>
      <c r="C8229" s="15"/>
      <c r="D8229" s="15"/>
      <c r="E8229" s="18"/>
    </row>
    <row r="8230" spans="2:5" x14ac:dyDescent="0.4">
      <c r="B8230" s="17"/>
      <c r="C8230" s="15"/>
      <c r="D8230" s="15"/>
      <c r="E8230" s="18"/>
    </row>
    <row r="8231" spans="2:5" x14ac:dyDescent="0.4">
      <c r="B8231" s="17"/>
      <c r="C8231" s="15"/>
      <c r="D8231" s="15"/>
      <c r="E8231" s="18"/>
    </row>
    <row r="8232" spans="2:5" x14ac:dyDescent="0.4">
      <c r="B8232" s="17"/>
      <c r="C8232" s="15"/>
      <c r="D8232" s="15"/>
      <c r="E8232" s="18"/>
    </row>
    <row r="8233" spans="2:5" x14ac:dyDescent="0.4">
      <c r="B8233" s="17"/>
      <c r="C8233" s="15"/>
      <c r="D8233" s="15"/>
      <c r="E8233" s="18"/>
    </row>
    <row r="8234" spans="2:5" x14ac:dyDescent="0.4">
      <c r="B8234" s="17"/>
      <c r="C8234" s="15"/>
      <c r="D8234" s="15"/>
      <c r="E8234" s="18"/>
    </row>
    <row r="8235" spans="2:5" x14ac:dyDescent="0.4">
      <c r="B8235" s="17"/>
      <c r="C8235" s="15"/>
      <c r="D8235" s="15"/>
      <c r="E8235" s="18"/>
    </row>
    <row r="8236" spans="2:5" x14ac:dyDescent="0.4">
      <c r="B8236" s="17"/>
      <c r="C8236" s="15"/>
      <c r="D8236" s="15"/>
      <c r="E8236" s="18"/>
    </row>
    <row r="8237" spans="2:5" x14ac:dyDescent="0.4">
      <c r="B8237" s="17"/>
      <c r="C8237" s="15"/>
      <c r="D8237" s="15"/>
      <c r="E8237" s="18"/>
    </row>
    <row r="8238" spans="2:5" x14ac:dyDescent="0.4">
      <c r="B8238" s="17"/>
      <c r="C8238" s="15"/>
      <c r="D8238" s="15"/>
      <c r="E8238" s="18"/>
    </row>
    <row r="8239" spans="2:5" x14ac:dyDescent="0.4">
      <c r="B8239" s="17"/>
      <c r="C8239" s="15"/>
      <c r="D8239" s="15"/>
      <c r="E8239" s="18"/>
    </row>
    <row r="8240" spans="2:5" x14ac:dyDescent="0.4">
      <c r="B8240" s="17"/>
      <c r="C8240" s="15"/>
      <c r="D8240" s="15"/>
      <c r="E8240" s="18"/>
    </row>
    <row r="8241" spans="2:5" x14ac:dyDescent="0.4">
      <c r="B8241" s="17"/>
      <c r="C8241" s="15"/>
      <c r="D8241" s="15"/>
      <c r="E8241" s="18"/>
    </row>
    <row r="8242" spans="2:5" x14ac:dyDescent="0.4">
      <c r="B8242" s="17"/>
      <c r="C8242" s="15"/>
      <c r="D8242" s="15"/>
      <c r="E8242" s="18"/>
    </row>
    <row r="8243" spans="2:5" x14ac:dyDescent="0.4">
      <c r="B8243" s="17"/>
      <c r="C8243" s="15"/>
      <c r="D8243" s="15"/>
      <c r="E8243" s="18"/>
    </row>
    <row r="8244" spans="2:5" x14ac:dyDescent="0.4">
      <c r="B8244" s="17"/>
      <c r="C8244" s="15"/>
      <c r="D8244" s="15"/>
      <c r="E8244" s="18"/>
    </row>
    <row r="8245" spans="2:5" x14ac:dyDescent="0.4">
      <c r="B8245" s="17"/>
      <c r="C8245" s="15"/>
      <c r="D8245" s="15"/>
      <c r="E8245" s="18"/>
    </row>
    <row r="8246" spans="2:5" x14ac:dyDescent="0.4">
      <c r="B8246" s="17"/>
      <c r="C8246" s="15"/>
      <c r="D8246" s="15"/>
      <c r="E8246" s="18"/>
    </row>
    <row r="8247" spans="2:5" x14ac:dyDescent="0.4">
      <c r="B8247" s="17"/>
      <c r="C8247" s="15"/>
      <c r="D8247" s="15"/>
      <c r="E8247" s="18"/>
    </row>
    <row r="8248" spans="2:5" x14ac:dyDescent="0.4">
      <c r="B8248" s="17"/>
      <c r="C8248" s="15"/>
      <c r="D8248" s="15"/>
      <c r="E8248" s="18"/>
    </row>
    <row r="8249" spans="2:5" x14ac:dyDescent="0.4">
      <c r="B8249" s="17"/>
      <c r="C8249" s="15"/>
      <c r="D8249" s="15"/>
      <c r="E8249" s="18"/>
    </row>
    <row r="8250" spans="2:5" x14ac:dyDescent="0.4">
      <c r="B8250" s="17"/>
      <c r="C8250" s="15"/>
      <c r="D8250" s="15"/>
      <c r="E8250" s="18"/>
    </row>
    <row r="8251" spans="2:5" x14ac:dyDescent="0.4">
      <c r="B8251" s="17"/>
      <c r="C8251" s="15"/>
      <c r="D8251" s="15"/>
      <c r="E8251" s="18"/>
    </row>
    <row r="8252" spans="2:5" x14ac:dyDescent="0.4">
      <c r="B8252" s="17"/>
      <c r="C8252" s="15"/>
      <c r="D8252" s="15"/>
      <c r="E8252" s="18"/>
    </row>
    <row r="8253" spans="2:5" x14ac:dyDescent="0.4">
      <c r="B8253" s="17"/>
      <c r="C8253" s="15"/>
      <c r="D8253" s="15"/>
      <c r="E8253" s="18"/>
    </row>
    <row r="8254" spans="2:5" x14ac:dyDescent="0.4">
      <c r="B8254" s="17"/>
      <c r="C8254" s="15"/>
      <c r="D8254" s="15"/>
      <c r="E8254" s="18"/>
    </row>
    <row r="8255" spans="2:5" x14ac:dyDescent="0.4">
      <c r="B8255" s="17"/>
      <c r="C8255" s="15"/>
      <c r="D8255" s="15"/>
      <c r="E8255" s="18"/>
    </row>
    <row r="8256" spans="2:5" x14ac:dyDescent="0.4">
      <c r="B8256" s="17"/>
      <c r="C8256" s="15"/>
      <c r="D8256" s="15"/>
      <c r="E8256" s="18"/>
    </row>
    <row r="8257" spans="2:5" x14ac:dyDescent="0.4">
      <c r="B8257" s="17"/>
      <c r="C8257" s="15"/>
      <c r="D8257" s="15"/>
      <c r="E8257" s="18"/>
    </row>
    <row r="8258" spans="2:5" x14ac:dyDescent="0.4">
      <c r="B8258" s="17"/>
      <c r="C8258" s="15"/>
      <c r="D8258" s="15"/>
      <c r="E8258" s="18"/>
    </row>
    <row r="8259" spans="2:5" x14ac:dyDescent="0.4">
      <c r="B8259" s="17"/>
      <c r="C8259" s="15"/>
      <c r="D8259" s="15"/>
      <c r="E8259" s="18"/>
    </row>
    <row r="8260" spans="2:5" x14ac:dyDescent="0.4">
      <c r="B8260" s="17"/>
      <c r="C8260" s="15"/>
      <c r="D8260" s="15"/>
      <c r="E8260" s="18"/>
    </row>
    <row r="8261" spans="2:5" x14ac:dyDescent="0.4">
      <c r="B8261" s="17"/>
      <c r="C8261" s="15"/>
      <c r="D8261" s="15"/>
      <c r="E8261" s="18"/>
    </row>
    <row r="8262" spans="2:5" x14ac:dyDescent="0.4">
      <c r="B8262" s="17"/>
      <c r="C8262" s="15"/>
      <c r="D8262" s="15"/>
      <c r="E8262" s="18"/>
    </row>
    <row r="8263" spans="2:5" x14ac:dyDescent="0.4">
      <c r="B8263" s="17"/>
      <c r="C8263" s="15"/>
      <c r="D8263" s="15"/>
      <c r="E8263" s="18"/>
    </row>
    <row r="8264" spans="2:5" x14ac:dyDescent="0.4">
      <c r="B8264" s="17"/>
      <c r="C8264" s="15"/>
      <c r="D8264" s="15"/>
      <c r="E8264" s="18"/>
    </row>
    <row r="8265" spans="2:5" x14ac:dyDescent="0.4">
      <c r="B8265" s="17"/>
      <c r="C8265" s="15"/>
      <c r="D8265" s="15"/>
      <c r="E8265" s="18"/>
    </row>
    <row r="8266" spans="2:5" x14ac:dyDescent="0.4">
      <c r="B8266" s="17"/>
      <c r="C8266" s="15"/>
      <c r="D8266" s="15"/>
      <c r="E8266" s="18"/>
    </row>
    <row r="8267" spans="2:5" x14ac:dyDescent="0.4">
      <c r="B8267" s="17"/>
      <c r="C8267" s="15"/>
      <c r="D8267" s="15"/>
      <c r="E8267" s="18"/>
    </row>
    <row r="8268" spans="2:5" x14ac:dyDescent="0.4">
      <c r="B8268" s="17"/>
      <c r="C8268" s="15"/>
      <c r="D8268" s="15"/>
      <c r="E8268" s="18"/>
    </row>
    <row r="8269" spans="2:5" x14ac:dyDescent="0.4">
      <c r="B8269" s="17"/>
      <c r="C8269" s="15"/>
      <c r="D8269" s="15"/>
      <c r="E8269" s="18"/>
    </row>
    <row r="8270" spans="2:5" x14ac:dyDescent="0.4">
      <c r="B8270" s="17"/>
      <c r="C8270" s="15"/>
      <c r="D8270" s="15"/>
      <c r="E8270" s="18"/>
    </row>
    <row r="8271" spans="2:5" x14ac:dyDescent="0.4">
      <c r="B8271" s="17"/>
      <c r="C8271" s="15"/>
      <c r="D8271" s="15"/>
      <c r="E8271" s="18"/>
    </row>
    <row r="8272" spans="2:5" x14ac:dyDescent="0.4">
      <c r="B8272" s="17"/>
      <c r="C8272" s="15"/>
      <c r="D8272" s="15"/>
      <c r="E8272" s="18"/>
    </row>
    <row r="8273" spans="2:5" x14ac:dyDescent="0.4">
      <c r="B8273" s="17"/>
      <c r="C8273" s="15"/>
      <c r="D8273" s="15"/>
      <c r="E8273" s="18"/>
    </row>
    <row r="8274" spans="2:5" x14ac:dyDescent="0.4">
      <c r="B8274" s="17"/>
      <c r="C8274" s="15"/>
      <c r="D8274" s="15"/>
      <c r="E8274" s="18"/>
    </row>
    <row r="8275" spans="2:5" x14ac:dyDescent="0.4">
      <c r="B8275" s="17"/>
      <c r="C8275" s="15"/>
      <c r="D8275" s="15"/>
      <c r="E8275" s="18"/>
    </row>
    <row r="8276" spans="2:5" x14ac:dyDescent="0.4">
      <c r="B8276" s="17"/>
      <c r="C8276" s="15"/>
      <c r="D8276" s="15"/>
      <c r="E8276" s="18"/>
    </row>
    <row r="8277" spans="2:5" x14ac:dyDescent="0.4">
      <c r="B8277" s="17"/>
      <c r="C8277" s="15"/>
      <c r="D8277" s="15"/>
      <c r="E8277" s="18"/>
    </row>
    <row r="8278" spans="2:5" x14ac:dyDescent="0.4">
      <c r="B8278" s="17"/>
      <c r="C8278" s="15"/>
      <c r="D8278" s="15"/>
      <c r="E8278" s="18"/>
    </row>
    <row r="8279" spans="2:5" x14ac:dyDescent="0.4">
      <c r="B8279" s="17"/>
      <c r="C8279" s="15"/>
      <c r="D8279" s="15"/>
      <c r="E8279" s="18"/>
    </row>
    <row r="8280" spans="2:5" x14ac:dyDescent="0.4">
      <c r="B8280" s="17"/>
      <c r="C8280" s="15"/>
      <c r="D8280" s="15"/>
      <c r="E8280" s="18"/>
    </row>
    <row r="8281" spans="2:5" x14ac:dyDescent="0.4">
      <c r="B8281" s="17"/>
      <c r="C8281" s="15"/>
      <c r="D8281" s="15"/>
      <c r="E8281" s="18"/>
    </row>
    <row r="8282" spans="2:5" x14ac:dyDescent="0.4">
      <c r="B8282" s="17"/>
      <c r="C8282" s="15"/>
      <c r="D8282" s="15"/>
      <c r="E8282" s="18"/>
    </row>
    <row r="8283" spans="2:5" x14ac:dyDescent="0.4">
      <c r="B8283" s="17"/>
      <c r="C8283" s="15"/>
      <c r="D8283" s="15"/>
      <c r="E8283" s="18"/>
    </row>
    <row r="8284" spans="2:5" x14ac:dyDescent="0.4">
      <c r="B8284" s="17"/>
      <c r="C8284" s="15"/>
      <c r="D8284" s="15"/>
      <c r="E8284" s="18"/>
    </row>
    <row r="8285" spans="2:5" x14ac:dyDescent="0.4">
      <c r="B8285" s="17"/>
      <c r="C8285" s="15"/>
      <c r="D8285" s="15"/>
      <c r="E8285" s="18"/>
    </row>
    <row r="8286" spans="2:5" x14ac:dyDescent="0.4">
      <c r="B8286" s="17"/>
      <c r="C8286" s="15"/>
      <c r="D8286" s="15"/>
      <c r="E8286" s="18"/>
    </row>
    <row r="8287" spans="2:5" x14ac:dyDescent="0.4">
      <c r="B8287" s="17"/>
      <c r="C8287" s="15"/>
      <c r="D8287" s="15"/>
      <c r="E8287" s="18"/>
    </row>
    <row r="8288" spans="2:5" x14ac:dyDescent="0.4">
      <c r="B8288" s="17"/>
      <c r="C8288" s="15"/>
      <c r="D8288" s="15"/>
      <c r="E8288" s="18"/>
    </row>
    <row r="8289" spans="2:5" x14ac:dyDescent="0.4">
      <c r="B8289" s="17"/>
      <c r="C8289" s="15"/>
      <c r="D8289" s="15"/>
      <c r="E8289" s="18"/>
    </row>
    <row r="8290" spans="2:5" x14ac:dyDescent="0.4">
      <c r="B8290" s="17"/>
      <c r="C8290" s="15"/>
      <c r="D8290" s="15"/>
      <c r="E8290" s="18"/>
    </row>
    <row r="8291" spans="2:5" x14ac:dyDescent="0.4">
      <c r="B8291" s="17"/>
      <c r="C8291" s="15"/>
      <c r="D8291" s="15"/>
      <c r="E8291" s="18"/>
    </row>
    <row r="8292" spans="2:5" x14ac:dyDescent="0.4">
      <c r="B8292" s="17"/>
      <c r="C8292" s="15"/>
      <c r="D8292" s="15"/>
      <c r="E8292" s="18"/>
    </row>
    <row r="8293" spans="2:5" x14ac:dyDescent="0.4">
      <c r="B8293" s="17"/>
      <c r="C8293" s="15"/>
      <c r="D8293" s="15"/>
      <c r="E8293" s="18"/>
    </row>
    <row r="8294" spans="2:5" x14ac:dyDescent="0.4">
      <c r="B8294" s="17"/>
      <c r="C8294" s="15"/>
      <c r="D8294" s="15"/>
      <c r="E8294" s="18"/>
    </row>
    <row r="8295" spans="2:5" x14ac:dyDescent="0.4">
      <c r="B8295" s="17"/>
      <c r="C8295" s="15"/>
      <c r="D8295" s="15"/>
      <c r="E8295" s="18"/>
    </row>
    <row r="8296" spans="2:5" x14ac:dyDescent="0.4">
      <c r="B8296" s="17"/>
      <c r="C8296" s="15"/>
      <c r="D8296" s="15"/>
      <c r="E8296" s="18"/>
    </row>
    <row r="8297" spans="2:5" x14ac:dyDescent="0.4">
      <c r="B8297" s="17"/>
      <c r="C8297" s="15"/>
      <c r="D8297" s="15"/>
      <c r="E8297" s="18"/>
    </row>
    <row r="8298" spans="2:5" x14ac:dyDescent="0.4">
      <c r="B8298" s="17"/>
      <c r="C8298" s="15"/>
      <c r="D8298" s="15"/>
      <c r="E8298" s="18"/>
    </row>
    <row r="8299" spans="2:5" x14ac:dyDescent="0.4">
      <c r="B8299" s="17"/>
      <c r="C8299" s="15"/>
      <c r="D8299" s="15"/>
      <c r="E8299" s="18"/>
    </row>
    <row r="8300" spans="2:5" x14ac:dyDescent="0.4">
      <c r="B8300" s="17"/>
      <c r="C8300" s="15"/>
      <c r="D8300" s="15"/>
      <c r="E8300" s="18"/>
    </row>
    <row r="8301" spans="2:5" x14ac:dyDescent="0.4">
      <c r="B8301" s="17"/>
      <c r="C8301" s="15"/>
      <c r="D8301" s="15"/>
      <c r="E8301" s="18"/>
    </row>
    <row r="8302" spans="2:5" x14ac:dyDescent="0.4">
      <c r="B8302" s="17"/>
      <c r="C8302" s="15"/>
      <c r="D8302" s="15"/>
      <c r="E8302" s="18"/>
    </row>
    <row r="8303" spans="2:5" x14ac:dyDescent="0.4">
      <c r="B8303" s="17"/>
      <c r="C8303" s="15"/>
      <c r="D8303" s="15"/>
      <c r="E8303" s="18"/>
    </row>
    <row r="8304" spans="2:5" x14ac:dyDescent="0.4">
      <c r="B8304" s="17"/>
      <c r="C8304" s="15"/>
      <c r="D8304" s="15"/>
      <c r="E8304" s="18"/>
    </row>
    <row r="8305" spans="2:5" x14ac:dyDescent="0.4">
      <c r="B8305" s="17"/>
      <c r="C8305" s="15"/>
      <c r="D8305" s="15"/>
      <c r="E8305" s="18"/>
    </row>
    <row r="8306" spans="2:5" x14ac:dyDescent="0.4">
      <c r="B8306" s="17"/>
      <c r="C8306" s="15"/>
      <c r="D8306" s="15"/>
      <c r="E8306" s="18"/>
    </row>
    <row r="8307" spans="2:5" x14ac:dyDescent="0.4">
      <c r="B8307" s="17"/>
      <c r="C8307" s="15"/>
      <c r="D8307" s="15"/>
      <c r="E8307" s="18"/>
    </row>
    <row r="8308" spans="2:5" x14ac:dyDescent="0.4">
      <c r="B8308" s="17"/>
      <c r="C8308" s="15"/>
      <c r="D8308" s="15"/>
      <c r="E8308" s="18"/>
    </row>
    <row r="8309" spans="2:5" x14ac:dyDescent="0.4">
      <c r="B8309" s="17"/>
      <c r="C8309" s="15"/>
      <c r="D8309" s="15"/>
      <c r="E8309" s="18"/>
    </row>
    <row r="8310" spans="2:5" x14ac:dyDescent="0.4">
      <c r="B8310" s="17"/>
      <c r="C8310" s="15"/>
      <c r="D8310" s="15"/>
      <c r="E8310" s="18"/>
    </row>
    <row r="8311" spans="2:5" x14ac:dyDescent="0.4">
      <c r="B8311" s="17"/>
      <c r="C8311" s="15"/>
      <c r="D8311" s="15"/>
      <c r="E8311" s="18"/>
    </row>
    <row r="8312" spans="2:5" x14ac:dyDescent="0.4">
      <c r="B8312" s="17"/>
      <c r="C8312" s="15"/>
      <c r="D8312" s="15"/>
      <c r="E8312" s="18"/>
    </row>
    <row r="8313" spans="2:5" x14ac:dyDescent="0.4">
      <c r="B8313" s="17"/>
      <c r="C8313" s="15"/>
      <c r="D8313" s="15"/>
      <c r="E8313" s="18"/>
    </row>
    <row r="8314" spans="2:5" x14ac:dyDescent="0.4">
      <c r="B8314" s="17"/>
      <c r="C8314" s="15"/>
      <c r="D8314" s="15"/>
      <c r="E8314" s="18"/>
    </row>
    <row r="8315" spans="2:5" x14ac:dyDescent="0.4">
      <c r="B8315" s="17"/>
      <c r="C8315" s="15"/>
      <c r="D8315" s="15"/>
      <c r="E8315" s="18"/>
    </row>
    <row r="8316" spans="2:5" x14ac:dyDescent="0.4">
      <c r="B8316" s="17"/>
      <c r="C8316" s="15"/>
      <c r="D8316" s="15"/>
      <c r="E8316" s="18"/>
    </row>
    <row r="8317" spans="2:5" x14ac:dyDescent="0.4">
      <c r="B8317" s="17"/>
      <c r="C8317" s="15"/>
      <c r="D8317" s="15"/>
      <c r="E8317" s="18"/>
    </row>
    <row r="8318" spans="2:5" x14ac:dyDescent="0.4">
      <c r="B8318" s="17"/>
      <c r="C8318" s="15"/>
      <c r="D8318" s="15"/>
      <c r="E8318" s="18"/>
    </row>
    <row r="8319" spans="2:5" x14ac:dyDescent="0.4">
      <c r="B8319" s="17"/>
      <c r="C8319" s="15"/>
      <c r="D8319" s="15"/>
      <c r="E8319" s="18"/>
    </row>
    <row r="8320" spans="2:5" x14ac:dyDescent="0.4">
      <c r="B8320" s="17"/>
      <c r="C8320" s="15"/>
      <c r="D8320" s="15"/>
      <c r="E8320" s="18"/>
    </row>
    <row r="8321" spans="2:5" x14ac:dyDescent="0.4">
      <c r="B8321" s="17"/>
      <c r="C8321" s="15"/>
      <c r="D8321" s="15"/>
      <c r="E8321" s="18"/>
    </row>
    <row r="8322" spans="2:5" x14ac:dyDescent="0.4">
      <c r="B8322" s="17"/>
      <c r="C8322" s="15"/>
      <c r="D8322" s="15"/>
      <c r="E8322" s="18"/>
    </row>
    <row r="8323" spans="2:5" x14ac:dyDescent="0.4">
      <c r="B8323" s="17"/>
      <c r="C8323" s="15"/>
      <c r="D8323" s="15"/>
      <c r="E8323" s="18"/>
    </row>
    <row r="8324" spans="2:5" x14ac:dyDescent="0.4">
      <c r="B8324" s="17"/>
      <c r="C8324" s="15"/>
      <c r="D8324" s="15"/>
      <c r="E8324" s="18"/>
    </row>
    <row r="8325" spans="2:5" x14ac:dyDescent="0.4">
      <c r="B8325" s="17"/>
      <c r="C8325" s="15"/>
      <c r="D8325" s="15"/>
      <c r="E8325" s="18"/>
    </row>
    <row r="8326" spans="2:5" x14ac:dyDescent="0.4">
      <c r="B8326" s="17"/>
      <c r="C8326" s="15"/>
      <c r="D8326" s="15"/>
      <c r="E8326" s="18"/>
    </row>
    <row r="8327" spans="2:5" x14ac:dyDescent="0.4">
      <c r="B8327" s="17"/>
      <c r="C8327" s="15"/>
      <c r="D8327" s="15"/>
      <c r="E8327" s="18"/>
    </row>
    <row r="8328" spans="2:5" x14ac:dyDescent="0.4">
      <c r="B8328" s="17"/>
      <c r="C8328" s="15"/>
      <c r="D8328" s="15"/>
      <c r="E8328" s="18"/>
    </row>
    <row r="8329" spans="2:5" x14ac:dyDescent="0.4">
      <c r="B8329" s="17"/>
      <c r="C8329" s="15"/>
      <c r="D8329" s="15"/>
      <c r="E8329" s="18"/>
    </row>
    <row r="8330" spans="2:5" x14ac:dyDescent="0.4">
      <c r="B8330" s="17"/>
      <c r="C8330" s="15"/>
      <c r="D8330" s="15"/>
      <c r="E8330" s="18"/>
    </row>
    <row r="8331" spans="2:5" x14ac:dyDescent="0.4">
      <c r="B8331" s="17"/>
      <c r="C8331" s="15"/>
      <c r="D8331" s="15"/>
      <c r="E8331" s="18"/>
    </row>
    <row r="8332" spans="2:5" x14ac:dyDescent="0.4">
      <c r="B8332" s="17"/>
      <c r="C8332" s="15"/>
      <c r="D8332" s="15"/>
      <c r="E8332" s="18"/>
    </row>
    <row r="8333" spans="2:5" x14ac:dyDescent="0.4">
      <c r="B8333" s="17"/>
      <c r="C8333" s="15"/>
      <c r="D8333" s="15"/>
      <c r="E8333" s="18"/>
    </row>
    <row r="8334" spans="2:5" x14ac:dyDescent="0.4">
      <c r="B8334" s="17"/>
      <c r="C8334" s="15"/>
      <c r="D8334" s="15"/>
      <c r="E8334" s="18"/>
    </row>
    <row r="8335" spans="2:5" x14ac:dyDescent="0.4">
      <c r="B8335" s="17"/>
      <c r="C8335" s="15"/>
      <c r="D8335" s="15"/>
      <c r="E8335" s="18"/>
    </row>
    <row r="8336" spans="2:5" x14ac:dyDescent="0.4">
      <c r="B8336" s="17"/>
      <c r="C8336" s="15"/>
      <c r="D8336" s="15"/>
      <c r="E8336" s="18"/>
    </row>
    <row r="8337" spans="2:5" x14ac:dyDescent="0.4">
      <c r="B8337" s="17"/>
      <c r="C8337" s="15"/>
      <c r="D8337" s="15"/>
      <c r="E8337" s="18"/>
    </row>
    <row r="8338" spans="2:5" x14ac:dyDescent="0.4">
      <c r="B8338" s="17"/>
      <c r="C8338" s="15"/>
      <c r="D8338" s="15"/>
      <c r="E8338" s="18"/>
    </row>
    <row r="8339" spans="2:5" x14ac:dyDescent="0.4">
      <c r="B8339" s="17"/>
      <c r="C8339" s="15"/>
      <c r="D8339" s="15"/>
      <c r="E8339" s="18"/>
    </row>
    <row r="8340" spans="2:5" x14ac:dyDescent="0.4">
      <c r="B8340" s="17"/>
      <c r="C8340" s="15"/>
      <c r="D8340" s="15"/>
      <c r="E8340" s="18"/>
    </row>
    <row r="8341" spans="2:5" x14ac:dyDescent="0.4">
      <c r="B8341" s="17"/>
      <c r="C8341" s="15"/>
      <c r="D8341" s="15"/>
      <c r="E8341" s="18"/>
    </row>
    <row r="8342" spans="2:5" x14ac:dyDescent="0.4">
      <c r="B8342" s="17"/>
      <c r="C8342" s="15"/>
      <c r="D8342" s="15"/>
      <c r="E8342" s="18"/>
    </row>
    <row r="8343" spans="2:5" x14ac:dyDescent="0.4">
      <c r="B8343" s="17"/>
      <c r="C8343" s="15"/>
      <c r="D8343" s="15"/>
      <c r="E8343" s="18"/>
    </row>
    <row r="8344" spans="2:5" x14ac:dyDescent="0.4">
      <c r="B8344" s="17"/>
      <c r="C8344" s="15"/>
      <c r="D8344" s="15"/>
      <c r="E8344" s="18"/>
    </row>
    <row r="8345" spans="2:5" x14ac:dyDescent="0.4">
      <c r="B8345" s="17"/>
      <c r="C8345" s="15"/>
      <c r="D8345" s="15"/>
      <c r="E8345" s="18"/>
    </row>
    <row r="8346" spans="2:5" x14ac:dyDescent="0.4">
      <c r="B8346" s="17"/>
      <c r="C8346" s="15"/>
      <c r="D8346" s="15"/>
      <c r="E8346" s="18"/>
    </row>
    <row r="8347" spans="2:5" x14ac:dyDescent="0.4">
      <c r="B8347" s="17"/>
      <c r="C8347" s="15"/>
      <c r="D8347" s="15"/>
      <c r="E8347" s="18"/>
    </row>
    <row r="8348" spans="2:5" x14ac:dyDescent="0.4">
      <c r="B8348" s="17"/>
      <c r="C8348" s="15"/>
      <c r="D8348" s="15"/>
      <c r="E8348" s="18"/>
    </row>
    <row r="8349" spans="2:5" x14ac:dyDescent="0.4">
      <c r="B8349" s="17"/>
      <c r="C8349" s="15"/>
      <c r="D8349" s="15"/>
      <c r="E8349" s="18"/>
    </row>
    <row r="8350" spans="2:5" x14ac:dyDescent="0.4">
      <c r="B8350" s="17"/>
      <c r="C8350" s="15"/>
      <c r="D8350" s="15"/>
      <c r="E8350" s="18"/>
    </row>
    <row r="8351" spans="2:5" x14ac:dyDescent="0.4">
      <c r="B8351" s="17"/>
      <c r="C8351" s="15"/>
      <c r="D8351" s="15"/>
      <c r="E8351" s="18"/>
    </row>
    <row r="8352" spans="2:5" x14ac:dyDescent="0.4">
      <c r="B8352" s="17"/>
      <c r="C8352" s="15"/>
      <c r="D8352" s="15"/>
      <c r="E8352" s="18"/>
    </row>
    <row r="8353" spans="2:5" x14ac:dyDescent="0.4">
      <c r="B8353" s="17"/>
      <c r="C8353" s="15"/>
      <c r="D8353" s="15"/>
      <c r="E8353" s="18"/>
    </row>
    <row r="8354" spans="2:5" x14ac:dyDescent="0.4">
      <c r="B8354" s="17"/>
      <c r="C8354" s="15"/>
      <c r="D8354" s="15"/>
      <c r="E8354" s="18"/>
    </row>
    <row r="8355" spans="2:5" x14ac:dyDescent="0.4">
      <c r="B8355" s="17"/>
      <c r="C8355" s="15"/>
      <c r="D8355" s="15"/>
      <c r="E8355" s="18"/>
    </row>
    <row r="8356" spans="2:5" x14ac:dyDescent="0.4">
      <c r="B8356" s="17"/>
      <c r="C8356" s="15"/>
      <c r="D8356" s="15"/>
      <c r="E8356" s="18"/>
    </row>
    <row r="8357" spans="2:5" x14ac:dyDescent="0.4">
      <c r="B8357" s="17"/>
      <c r="C8357" s="15"/>
      <c r="D8357" s="15"/>
      <c r="E8357" s="18"/>
    </row>
    <row r="8358" spans="2:5" x14ac:dyDescent="0.4">
      <c r="B8358" s="17"/>
      <c r="C8358" s="15"/>
      <c r="D8358" s="15"/>
      <c r="E8358" s="18"/>
    </row>
    <row r="8359" spans="2:5" x14ac:dyDescent="0.4">
      <c r="B8359" s="17"/>
      <c r="C8359" s="15"/>
      <c r="D8359" s="15"/>
      <c r="E8359" s="18"/>
    </row>
    <row r="8360" spans="2:5" x14ac:dyDescent="0.4">
      <c r="B8360" s="17"/>
      <c r="C8360" s="15"/>
      <c r="D8360" s="15"/>
      <c r="E8360" s="18"/>
    </row>
    <row r="8361" spans="2:5" x14ac:dyDescent="0.4">
      <c r="B8361" s="17"/>
      <c r="C8361" s="15"/>
      <c r="D8361" s="15"/>
      <c r="E8361" s="18"/>
    </row>
    <row r="8362" spans="2:5" x14ac:dyDescent="0.4">
      <c r="B8362" s="17"/>
      <c r="C8362" s="15"/>
      <c r="D8362" s="15"/>
      <c r="E8362" s="18"/>
    </row>
    <row r="8363" spans="2:5" x14ac:dyDescent="0.4">
      <c r="B8363" s="17"/>
      <c r="C8363" s="15"/>
      <c r="D8363" s="15"/>
      <c r="E8363" s="18"/>
    </row>
    <row r="8364" spans="2:5" x14ac:dyDescent="0.4">
      <c r="B8364" s="17"/>
      <c r="C8364" s="15"/>
      <c r="D8364" s="15"/>
      <c r="E8364" s="18"/>
    </row>
    <row r="8365" spans="2:5" x14ac:dyDescent="0.4">
      <c r="B8365" s="17"/>
      <c r="C8365" s="15"/>
      <c r="D8365" s="15"/>
      <c r="E8365" s="18"/>
    </row>
    <row r="8366" spans="2:5" x14ac:dyDescent="0.4">
      <c r="B8366" s="17"/>
      <c r="C8366" s="15"/>
      <c r="D8366" s="15"/>
      <c r="E8366" s="18"/>
    </row>
    <row r="8367" spans="2:5" x14ac:dyDescent="0.4">
      <c r="B8367" s="17"/>
      <c r="C8367" s="15"/>
      <c r="D8367" s="15"/>
      <c r="E8367" s="18"/>
    </row>
    <row r="8368" spans="2:5" x14ac:dyDescent="0.4">
      <c r="B8368" s="17"/>
      <c r="C8368" s="15"/>
      <c r="D8368" s="15"/>
      <c r="E8368" s="18"/>
    </row>
    <row r="8369" spans="2:5" x14ac:dyDescent="0.4">
      <c r="B8369" s="17"/>
      <c r="C8369" s="15"/>
      <c r="D8369" s="15"/>
      <c r="E8369" s="18"/>
    </row>
    <row r="8370" spans="2:5" x14ac:dyDescent="0.4">
      <c r="B8370" s="17"/>
      <c r="C8370" s="15"/>
      <c r="D8370" s="15"/>
      <c r="E8370" s="18"/>
    </row>
    <row r="8371" spans="2:5" x14ac:dyDescent="0.4">
      <c r="B8371" s="17"/>
      <c r="C8371" s="15"/>
      <c r="D8371" s="15"/>
      <c r="E8371" s="18"/>
    </row>
    <row r="8372" spans="2:5" x14ac:dyDescent="0.4">
      <c r="B8372" s="17"/>
      <c r="C8372" s="15"/>
      <c r="D8372" s="15"/>
      <c r="E8372" s="18"/>
    </row>
    <row r="8373" spans="2:5" x14ac:dyDescent="0.4">
      <c r="B8373" s="17"/>
      <c r="C8373" s="15"/>
      <c r="D8373" s="15"/>
      <c r="E8373" s="18"/>
    </row>
    <row r="8374" spans="2:5" x14ac:dyDescent="0.4">
      <c r="B8374" s="17"/>
      <c r="C8374" s="15"/>
      <c r="D8374" s="15"/>
      <c r="E8374" s="18"/>
    </row>
    <row r="8375" spans="2:5" x14ac:dyDescent="0.4">
      <c r="B8375" s="17"/>
      <c r="C8375" s="15"/>
      <c r="D8375" s="15"/>
      <c r="E8375" s="18"/>
    </row>
    <row r="8376" spans="2:5" x14ac:dyDescent="0.4">
      <c r="B8376" s="17"/>
      <c r="C8376" s="15"/>
      <c r="D8376" s="15"/>
      <c r="E8376" s="18"/>
    </row>
    <row r="8377" spans="2:5" x14ac:dyDescent="0.4">
      <c r="B8377" s="17"/>
      <c r="C8377" s="15"/>
      <c r="D8377" s="15"/>
      <c r="E8377" s="18"/>
    </row>
    <row r="8378" spans="2:5" x14ac:dyDescent="0.4">
      <c r="B8378" s="17"/>
      <c r="C8378" s="15"/>
      <c r="D8378" s="15"/>
      <c r="E8378" s="18"/>
    </row>
    <row r="8379" spans="2:5" x14ac:dyDescent="0.4">
      <c r="B8379" s="17"/>
      <c r="C8379" s="15"/>
      <c r="D8379" s="15"/>
      <c r="E8379" s="18"/>
    </row>
    <row r="8380" spans="2:5" x14ac:dyDescent="0.4">
      <c r="B8380" s="17"/>
      <c r="C8380" s="15"/>
      <c r="D8380" s="15"/>
      <c r="E8380" s="18"/>
    </row>
    <row r="8381" spans="2:5" x14ac:dyDescent="0.4">
      <c r="B8381" s="17"/>
      <c r="C8381" s="15"/>
      <c r="D8381" s="15"/>
      <c r="E8381" s="18"/>
    </row>
    <row r="8382" spans="2:5" x14ac:dyDescent="0.4">
      <c r="B8382" s="17"/>
      <c r="C8382" s="15"/>
      <c r="D8382" s="15"/>
      <c r="E8382" s="18"/>
    </row>
    <row r="8383" spans="2:5" x14ac:dyDescent="0.4">
      <c r="B8383" s="17"/>
      <c r="C8383" s="15"/>
      <c r="D8383" s="15"/>
      <c r="E8383" s="18"/>
    </row>
    <row r="8384" spans="2:5" x14ac:dyDescent="0.4">
      <c r="B8384" s="17"/>
      <c r="C8384" s="15"/>
      <c r="D8384" s="15"/>
      <c r="E8384" s="18"/>
    </row>
    <row r="8385" spans="2:5" x14ac:dyDescent="0.4">
      <c r="B8385" s="17"/>
      <c r="C8385" s="15"/>
      <c r="D8385" s="15"/>
      <c r="E8385" s="18"/>
    </row>
    <row r="8386" spans="2:5" x14ac:dyDescent="0.4">
      <c r="B8386" s="17"/>
      <c r="C8386" s="15"/>
      <c r="D8386" s="15"/>
      <c r="E8386" s="18"/>
    </row>
    <row r="8387" spans="2:5" x14ac:dyDescent="0.4">
      <c r="B8387" s="17"/>
      <c r="C8387" s="15"/>
      <c r="D8387" s="15"/>
      <c r="E8387" s="18"/>
    </row>
    <row r="8388" spans="2:5" x14ac:dyDescent="0.4">
      <c r="B8388" s="17"/>
      <c r="C8388" s="15"/>
      <c r="D8388" s="15"/>
      <c r="E8388" s="18"/>
    </row>
    <row r="8389" spans="2:5" x14ac:dyDescent="0.4">
      <c r="B8389" s="17"/>
      <c r="C8389" s="15"/>
      <c r="D8389" s="15"/>
      <c r="E8389" s="18"/>
    </row>
    <row r="8390" spans="2:5" x14ac:dyDescent="0.4">
      <c r="B8390" s="17"/>
      <c r="C8390" s="15"/>
      <c r="D8390" s="15"/>
      <c r="E8390" s="18"/>
    </row>
    <row r="8391" spans="2:5" x14ac:dyDescent="0.4">
      <c r="B8391" s="17"/>
      <c r="C8391" s="15"/>
      <c r="D8391" s="15"/>
      <c r="E8391" s="18"/>
    </row>
    <row r="8392" spans="2:5" x14ac:dyDescent="0.4">
      <c r="B8392" s="17"/>
      <c r="C8392" s="15"/>
      <c r="D8392" s="15"/>
      <c r="E8392" s="18"/>
    </row>
    <row r="8393" spans="2:5" x14ac:dyDescent="0.4">
      <c r="B8393" s="17"/>
      <c r="C8393" s="15"/>
      <c r="D8393" s="15"/>
      <c r="E8393" s="18"/>
    </row>
    <row r="8394" spans="2:5" x14ac:dyDescent="0.4">
      <c r="B8394" s="17"/>
      <c r="C8394" s="15"/>
      <c r="D8394" s="15"/>
      <c r="E8394" s="18"/>
    </row>
    <row r="8395" spans="2:5" x14ac:dyDescent="0.4">
      <c r="B8395" s="17"/>
      <c r="C8395" s="15"/>
      <c r="D8395" s="15"/>
      <c r="E8395" s="18"/>
    </row>
    <row r="8396" spans="2:5" x14ac:dyDescent="0.4">
      <c r="B8396" s="17"/>
      <c r="C8396" s="15"/>
      <c r="D8396" s="15"/>
      <c r="E8396" s="18"/>
    </row>
    <row r="8397" spans="2:5" x14ac:dyDescent="0.4">
      <c r="B8397" s="17"/>
      <c r="C8397" s="15"/>
      <c r="D8397" s="15"/>
      <c r="E8397" s="18"/>
    </row>
    <row r="8398" spans="2:5" x14ac:dyDescent="0.4">
      <c r="B8398" s="17"/>
      <c r="C8398" s="15"/>
      <c r="D8398" s="15"/>
      <c r="E8398" s="18"/>
    </row>
    <row r="8399" spans="2:5" x14ac:dyDescent="0.4">
      <c r="B8399" s="17"/>
      <c r="C8399" s="15"/>
      <c r="D8399" s="15"/>
      <c r="E8399" s="18"/>
    </row>
    <row r="8400" spans="2:5" x14ac:dyDescent="0.4">
      <c r="B8400" s="17"/>
      <c r="C8400" s="15"/>
      <c r="D8400" s="15"/>
      <c r="E8400" s="18"/>
    </row>
    <row r="8401" spans="2:5" x14ac:dyDescent="0.4">
      <c r="B8401" s="17"/>
      <c r="C8401" s="15"/>
      <c r="D8401" s="15"/>
      <c r="E8401" s="18"/>
    </row>
    <row r="8402" spans="2:5" x14ac:dyDescent="0.4">
      <c r="B8402" s="17"/>
      <c r="C8402" s="15"/>
      <c r="D8402" s="15"/>
      <c r="E8402" s="18"/>
    </row>
    <row r="8403" spans="2:5" x14ac:dyDescent="0.4">
      <c r="B8403" s="17"/>
      <c r="C8403" s="15"/>
      <c r="D8403" s="15"/>
      <c r="E8403" s="18"/>
    </row>
    <row r="8404" spans="2:5" x14ac:dyDescent="0.4">
      <c r="B8404" s="17"/>
      <c r="C8404" s="15"/>
      <c r="D8404" s="15"/>
      <c r="E8404" s="18"/>
    </row>
    <row r="8405" spans="2:5" x14ac:dyDescent="0.4">
      <c r="B8405" s="17"/>
      <c r="C8405" s="15"/>
      <c r="D8405" s="15"/>
      <c r="E8405" s="18"/>
    </row>
    <row r="8406" spans="2:5" x14ac:dyDescent="0.4">
      <c r="B8406" s="17"/>
      <c r="C8406" s="15"/>
      <c r="D8406" s="15"/>
      <c r="E8406" s="18"/>
    </row>
    <row r="8407" spans="2:5" x14ac:dyDescent="0.4">
      <c r="B8407" s="17"/>
      <c r="C8407" s="15"/>
      <c r="D8407" s="15"/>
      <c r="E8407" s="18"/>
    </row>
    <row r="8408" spans="2:5" x14ac:dyDescent="0.4">
      <c r="B8408" s="17"/>
      <c r="C8408" s="15"/>
      <c r="D8408" s="15"/>
      <c r="E8408" s="18"/>
    </row>
    <row r="8409" spans="2:5" x14ac:dyDescent="0.4">
      <c r="B8409" s="17"/>
      <c r="C8409" s="15"/>
      <c r="D8409" s="15"/>
      <c r="E8409" s="18"/>
    </row>
    <row r="8410" spans="2:5" x14ac:dyDescent="0.4">
      <c r="B8410" s="17"/>
      <c r="C8410" s="15"/>
      <c r="D8410" s="15"/>
      <c r="E8410" s="18"/>
    </row>
    <row r="8411" spans="2:5" x14ac:dyDescent="0.4">
      <c r="B8411" s="17"/>
      <c r="C8411" s="15"/>
      <c r="D8411" s="15"/>
      <c r="E8411" s="18"/>
    </row>
    <row r="8412" spans="2:5" x14ac:dyDescent="0.4">
      <c r="B8412" s="17"/>
      <c r="C8412" s="15"/>
      <c r="D8412" s="15"/>
      <c r="E8412" s="18"/>
    </row>
    <row r="8413" spans="2:5" x14ac:dyDescent="0.4">
      <c r="B8413" s="17"/>
      <c r="C8413" s="15"/>
      <c r="D8413" s="15"/>
      <c r="E8413" s="18"/>
    </row>
    <row r="8414" spans="2:5" x14ac:dyDescent="0.4">
      <c r="B8414" s="17"/>
      <c r="C8414" s="15"/>
      <c r="D8414" s="15"/>
      <c r="E8414" s="18"/>
    </row>
    <row r="8415" spans="2:5" x14ac:dyDescent="0.4">
      <c r="B8415" s="17"/>
      <c r="C8415" s="15"/>
      <c r="D8415" s="15"/>
      <c r="E8415" s="18"/>
    </row>
    <row r="8416" spans="2:5" x14ac:dyDescent="0.4">
      <c r="B8416" s="17"/>
      <c r="C8416" s="15"/>
      <c r="D8416" s="15"/>
      <c r="E8416" s="18"/>
    </row>
    <row r="8417" spans="2:5" x14ac:dyDescent="0.4">
      <c r="B8417" s="17"/>
      <c r="C8417" s="15"/>
      <c r="D8417" s="15"/>
      <c r="E8417" s="18"/>
    </row>
    <row r="8418" spans="2:5" x14ac:dyDescent="0.4">
      <c r="B8418" s="17"/>
      <c r="C8418" s="15"/>
      <c r="D8418" s="15"/>
      <c r="E8418" s="18"/>
    </row>
    <row r="8419" spans="2:5" x14ac:dyDescent="0.4">
      <c r="B8419" s="17"/>
      <c r="C8419" s="15"/>
      <c r="D8419" s="15"/>
      <c r="E8419" s="18"/>
    </row>
    <row r="8420" spans="2:5" x14ac:dyDescent="0.4">
      <c r="B8420" s="17"/>
      <c r="C8420" s="15"/>
      <c r="D8420" s="15"/>
      <c r="E8420" s="18"/>
    </row>
    <row r="8421" spans="2:5" x14ac:dyDescent="0.4">
      <c r="B8421" s="17"/>
      <c r="C8421" s="15"/>
      <c r="D8421" s="15"/>
      <c r="E8421" s="18"/>
    </row>
    <row r="8422" spans="2:5" x14ac:dyDescent="0.4">
      <c r="B8422" s="17"/>
      <c r="C8422" s="15"/>
      <c r="D8422" s="15"/>
      <c r="E8422" s="18"/>
    </row>
    <row r="8423" spans="2:5" x14ac:dyDescent="0.4">
      <c r="B8423" s="17"/>
      <c r="C8423" s="15"/>
      <c r="D8423" s="15"/>
      <c r="E8423" s="18"/>
    </row>
    <row r="8424" spans="2:5" x14ac:dyDescent="0.4">
      <c r="B8424" s="17"/>
      <c r="C8424" s="15"/>
      <c r="D8424" s="15"/>
      <c r="E8424" s="18"/>
    </row>
    <row r="8425" spans="2:5" x14ac:dyDescent="0.4">
      <c r="B8425" s="17"/>
      <c r="C8425" s="15"/>
      <c r="D8425" s="15"/>
      <c r="E8425" s="18"/>
    </row>
    <row r="8426" spans="2:5" x14ac:dyDescent="0.4">
      <c r="B8426" s="17"/>
      <c r="C8426" s="15"/>
      <c r="D8426" s="15"/>
      <c r="E8426" s="18"/>
    </row>
    <row r="8427" spans="2:5" x14ac:dyDescent="0.4">
      <c r="B8427" s="17"/>
      <c r="C8427" s="15"/>
      <c r="D8427" s="15"/>
      <c r="E8427" s="18"/>
    </row>
    <row r="8428" spans="2:5" x14ac:dyDescent="0.4">
      <c r="B8428" s="17"/>
      <c r="C8428" s="15"/>
      <c r="D8428" s="15"/>
      <c r="E8428" s="18"/>
    </row>
    <row r="8429" spans="2:5" x14ac:dyDescent="0.4">
      <c r="B8429" s="17"/>
      <c r="C8429" s="15"/>
      <c r="D8429" s="15"/>
      <c r="E8429" s="18"/>
    </row>
    <row r="8430" spans="2:5" x14ac:dyDescent="0.4">
      <c r="B8430" s="17"/>
      <c r="C8430" s="15"/>
      <c r="D8430" s="15"/>
      <c r="E8430" s="18"/>
    </row>
    <row r="8431" spans="2:5" x14ac:dyDescent="0.4">
      <c r="B8431" s="17"/>
      <c r="C8431" s="15"/>
      <c r="D8431" s="15"/>
      <c r="E8431" s="18"/>
    </row>
    <row r="8432" spans="2:5" x14ac:dyDescent="0.4">
      <c r="B8432" s="17"/>
      <c r="C8432" s="15"/>
      <c r="D8432" s="15"/>
      <c r="E8432" s="18"/>
    </row>
    <row r="8433" spans="2:5" x14ac:dyDescent="0.4">
      <c r="B8433" s="17"/>
      <c r="C8433" s="15"/>
      <c r="D8433" s="15"/>
      <c r="E8433" s="18"/>
    </row>
    <row r="8434" spans="2:5" x14ac:dyDescent="0.4">
      <c r="B8434" s="17"/>
      <c r="C8434" s="15"/>
      <c r="D8434" s="15"/>
      <c r="E8434" s="18"/>
    </row>
    <row r="8435" spans="2:5" x14ac:dyDescent="0.4">
      <c r="B8435" s="17"/>
      <c r="C8435" s="15"/>
      <c r="D8435" s="15"/>
      <c r="E8435" s="18"/>
    </row>
    <row r="8436" spans="2:5" x14ac:dyDescent="0.4">
      <c r="B8436" s="17"/>
      <c r="C8436" s="15"/>
      <c r="D8436" s="15"/>
      <c r="E8436" s="18"/>
    </row>
    <row r="8437" spans="2:5" x14ac:dyDescent="0.4">
      <c r="B8437" s="17"/>
      <c r="C8437" s="15"/>
      <c r="D8437" s="15"/>
      <c r="E8437" s="18"/>
    </row>
    <row r="8438" spans="2:5" x14ac:dyDescent="0.4">
      <c r="B8438" s="17"/>
      <c r="C8438" s="15"/>
      <c r="D8438" s="15"/>
      <c r="E8438" s="18"/>
    </row>
    <row r="8439" spans="2:5" x14ac:dyDescent="0.4">
      <c r="B8439" s="17"/>
      <c r="C8439" s="15"/>
      <c r="D8439" s="15"/>
      <c r="E8439" s="18"/>
    </row>
    <row r="8440" spans="2:5" x14ac:dyDescent="0.4">
      <c r="B8440" s="17"/>
      <c r="C8440" s="15"/>
      <c r="D8440" s="15"/>
      <c r="E8440" s="18"/>
    </row>
    <row r="8441" spans="2:5" x14ac:dyDescent="0.4">
      <c r="B8441" s="17"/>
      <c r="C8441" s="15"/>
      <c r="D8441" s="15"/>
      <c r="E8441" s="18"/>
    </row>
    <row r="8442" spans="2:5" x14ac:dyDescent="0.4">
      <c r="B8442" s="17"/>
      <c r="C8442" s="15"/>
      <c r="D8442" s="15"/>
      <c r="E8442" s="18"/>
    </row>
    <row r="8443" spans="2:5" x14ac:dyDescent="0.4">
      <c r="B8443" s="17"/>
      <c r="C8443" s="15"/>
      <c r="D8443" s="15"/>
      <c r="E8443" s="18"/>
    </row>
    <row r="8444" spans="2:5" x14ac:dyDescent="0.4">
      <c r="B8444" s="17"/>
      <c r="C8444" s="15"/>
      <c r="D8444" s="15"/>
      <c r="E8444" s="18"/>
    </row>
    <row r="8445" spans="2:5" x14ac:dyDescent="0.4">
      <c r="B8445" s="17"/>
      <c r="C8445" s="15"/>
      <c r="D8445" s="15"/>
      <c r="E8445" s="18"/>
    </row>
    <row r="8446" spans="2:5" x14ac:dyDescent="0.4">
      <c r="B8446" s="17"/>
      <c r="C8446" s="15"/>
      <c r="D8446" s="15"/>
      <c r="E8446" s="18"/>
    </row>
    <row r="8447" spans="2:5" x14ac:dyDescent="0.4">
      <c r="B8447" s="17"/>
      <c r="C8447" s="15"/>
      <c r="D8447" s="15"/>
      <c r="E8447" s="18"/>
    </row>
    <row r="8448" spans="2:5" x14ac:dyDescent="0.4">
      <c r="B8448" s="17"/>
      <c r="C8448" s="15"/>
      <c r="D8448" s="15"/>
      <c r="E8448" s="18"/>
    </row>
    <row r="8449" spans="2:5" x14ac:dyDescent="0.4">
      <c r="B8449" s="17"/>
      <c r="C8449" s="15"/>
      <c r="D8449" s="15"/>
      <c r="E8449" s="18"/>
    </row>
    <row r="8450" spans="2:5" x14ac:dyDescent="0.4">
      <c r="B8450" s="17"/>
      <c r="C8450" s="15"/>
      <c r="D8450" s="15"/>
      <c r="E8450" s="18"/>
    </row>
    <row r="8451" spans="2:5" x14ac:dyDescent="0.4">
      <c r="B8451" s="17"/>
      <c r="C8451" s="15"/>
      <c r="D8451" s="15"/>
      <c r="E8451" s="18"/>
    </row>
    <row r="8452" spans="2:5" x14ac:dyDescent="0.4">
      <c r="B8452" s="17"/>
      <c r="C8452" s="15"/>
      <c r="D8452" s="15"/>
      <c r="E8452" s="18"/>
    </row>
    <row r="8453" spans="2:5" x14ac:dyDescent="0.4">
      <c r="B8453" s="17"/>
      <c r="C8453" s="15"/>
      <c r="D8453" s="15"/>
      <c r="E8453" s="18"/>
    </row>
    <row r="8454" spans="2:5" x14ac:dyDescent="0.4">
      <c r="B8454" s="17"/>
      <c r="C8454" s="15"/>
      <c r="D8454" s="15"/>
      <c r="E8454" s="18"/>
    </row>
    <row r="8455" spans="2:5" x14ac:dyDescent="0.4">
      <c r="B8455" s="17"/>
      <c r="C8455" s="15"/>
      <c r="D8455" s="15"/>
      <c r="E8455" s="18"/>
    </row>
    <row r="8456" spans="2:5" x14ac:dyDescent="0.4">
      <c r="B8456" s="17"/>
      <c r="C8456" s="15"/>
      <c r="D8456" s="15"/>
      <c r="E8456" s="18"/>
    </row>
    <row r="8457" spans="2:5" x14ac:dyDescent="0.4">
      <c r="B8457" s="17"/>
      <c r="C8457" s="15"/>
      <c r="D8457" s="15"/>
      <c r="E8457" s="18"/>
    </row>
    <row r="8458" spans="2:5" x14ac:dyDescent="0.4">
      <c r="B8458" s="17"/>
      <c r="C8458" s="15"/>
      <c r="D8458" s="15"/>
      <c r="E8458" s="18"/>
    </row>
    <row r="8459" spans="2:5" x14ac:dyDescent="0.4">
      <c r="B8459" s="17"/>
      <c r="C8459" s="15"/>
      <c r="D8459" s="15"/>
      <c r="E8459" s="18"/>
    </row>
    <row r="8460" spans="2:5" x14ac:dyDescent="0.4">
      <c r="B8460" s="17"/>
      <c r="C8460" s="15"/>
      <c r="D8460" s="15"/>
      <c r="E8460" s="18"/>
    </row>
    <row r="8461" spans="2:5" x14ac:dyDescent="0.4">
      <c r="B8461" s="17"/>
      <c r="C8461" s="15"/>
      <c r="D8461" s="15"/>
      <c r="E8461" s="18"/>
    </row>
    <row r="8462" spans="2:5" x14ac:dyDescent="0.4">
      <c r="B8462" s="17"/>
      <c r="C8462" s="15"/>
      <c r="D8462" s="15"/>
      <c r="E8462" s="18"/>
    </row>
    <row r="8463" spans="2:5" x14ac:dyDescent="0.4">
      <c r="B8463" s="17"/>
      <c r="C8463" s="15"/>
      <c r="D8463" s="15"/>
      <c r="E8463" s="18"/>
    </row>
    <row r="8464" spans="2:5" x14ac:dyDescent="0.4">
      <c r="B8464" s="17"/>
      <c r="C8464" s="15"/>
      <c r="D8464" s="15"/>
      <c r="E8464" s="18"/>
    </row>
    <row r="8465" spans="2:5" x14ac:dyDescent="0.4">
      <c r="B8465" s="17"/>
      <c r="C8465" s="15"/>
      <c r="D8465" s="15"/>
      <c r="E8465" s="18"/>
    </row>
    <row r="8466" spans="2:5" x14ac:dyDescent="0.4">
      <c r="B8466" s="17"/>
      <c r="C8466" s="15"/>
      <c r="D8466" s="15"/>
      <c r="E8466" s="18"/>
    </row>
    <row r="8467" spans="2:5" x14ac:dyDescent="0.4">
      <c r="B8467" s="17"/>
      <c r="C8467" s="15"/>
      <c r="D8467" s="15"/>
      <c r="E8467" s="18"/>
    </row>
    <row r="8468" spans="2:5" x14ac:dyDescent="0.4">
      <c r="B8468" s="17"/>
      <c r="C8468" s="15"/>
      <c r="D8468" s="15"/>
      <c r="E8468" s="18"/>
    </row>
    <row r="8469" spans="2:5" x14ac:dyDescent="0.4">
      <c r="B8469" s="17"/>
      <c r="C8469" s="15"/>
      <c r="D8469" s="15"/>
      <c r="E8469" s="18"/>
    </row>
    <row r="8470" spans="2:5" x14ac:dyDescent="0.4">
      <c r="B8470" s="17"/>
      <c r="C8470" s="15"/>
      <c r="D8470" s="15"/>
      <c r="E8470" s="18"/>
    </row>
    <row r="8471" spans="2:5" x14ac:dyDescent="0.4">
      <c r="B8471" s="17"/>
      <c r="C8471" s="15"/>
      <c r="D8471" s="15"/>
      <c r="E8471" s="18"/>
    </row>
    <row r="8472" spans="2:5" x14ac:dyDescent="0.4">
      <c r="B8472" s="17"/>
      <c r="C8472" s="15"/>
      <c r="D8472" s="15"/>
      <c r="E8472" s="18"/>
    </row>
    <row r="8473" spans="2:5" x14ac:dyDescent="0.4">
      <c r="B8473" s="17"/>
      <c r="C8473" s="15"/>
      <c r="D8473" s="15"/>
      <c r="E8473" s="18"/>
    </row>
    <row r="8474" spans="2:5" x14ac:dyDescent="0.4">
      <c r="B8474" s="17"/>
      <c r="C8474" s="15"/>
      <c r="D8474" s="15"/>
      <c r="E8474" s="18"/>
    </row>
    <row r="8475" spans="2:5" x14ac:dyDescent="0.4">
      <c r="B8475" s="17"/>
      <c r="C8475" s="15"/>
      <c r="D8475" s="15"/>
      <c r="E8475" s="18"/>
    </row>
    <row r="8476" spans="2:5" x14ac:dyDescent="0.4">
      <c r="B8476" s="17"/>
      <c r="C8476" s="15"/>
      <c r="D8476" s="15"/>
      <c r="E8476" s="18"/>
    </row>
    <row r="8477" spans="2:5" x14ac:dyDescent="0.4">
      <c r="B8477" s="17"/>
      <c r="C8477" s="15"/>
      <c r="D8477" s="15"/>
      <c r="E8477" s="18"/>
    </row>
    <row r="8478" spans="2:5" x14ac:dyDescent="0.4">
      <c r="B8478" s="17"/>
      <c r="C8478" s="15"/>
      <c r="D8478" s="15"/>
      <c r="E8478" s="18"/>
    </row>
    <row r="8479" spans="2:5" x14ac:dyDescent="0.4">
      <c r="B8479" s="17"/>
      <c r="C8479" s="15"/>
      <c r="D8479" s="15"/>
      <c r="E8479" s="18"/>
    </row>
    <row r="8480" spans="2:5" x14ac:dyDescent="0.4">
      <c r="B8480" s="17"/>
      <c r="C8480" s="15"/>
      <c r="D8480" s="15"/>
      <c r="E8480" s="18"/>
    </row>
    <row r="8481" spans="2:5" x14ac:dyDescent="0.4">
      <c r="B8481" s="17"/>
      <c r="C8481" s="15"/>
      <c r="D8481" s="15"/>
      <c r="E8481" s="18"/>
    </row>
    <row r="8482" spans="2:5" x14ac:dyDescent="0.4">
      <c r="B8482" s="17"/>
      <c r="C8482" s="15"/>
      <c r="D8482" s="15"/>
      <c r="E8482" s="18"/>
    </row>
    <row r="8483" spans="2:5" x14ac:dyDescent="0.4">
      <c r="B8483" s="17"/>
      <c r="C8483" s="15"/>
      <c r="D8483" s="15"/>
      <c r="E8483" s="18"/>
    </row>
    <row r="8484" spans="2:5" x14ac:dyDescent="0.4">
      <c r="B8484" s="17"/>
      <c r="C8484" s="15"/>
      <c r="D8484" s="15"/>
      <c r="E8484" s="18"/>
    </row>
    <row r="8485" spans="2:5" x14ac:dyDescent="0.4">
      <c r="B8485" s="17"/>
      <c r="C8485" s="15"/>
      <c r="D8485" s="15"/>
      <c r="E8485" s="18"/>
    </row>
    <row r="8486" spans="2:5" x14ac:dyDescent="0.4">
      <c r="B8486" s="17"/>
      <c r="C8486" s="15"/>
      <c r="D8486" s="15"/>
      <c r="E8486" s="18"/>
    </row>
    <row r="8487" spans="2:5" x14ac:dyDescent="0.4">
      <c r="B8487" s="17"/>
      <c r="C8487" s="15"/>
      <c r="D8487" s="15"/>
      <c r="E8487" s="18"/>
    </row>
    <row r="8488" spans="2:5" x14ac:dyDescent="0.4">
      <c r="B8488" s="17"/>
      <c r="C8488" s="15"/>
      <c r="D8488" s="15"/>
      <c r="E8488" s="18"/>
    </row>
    <row r="8489" spans="2:5" x14ac:dyDescent="0.4">
      <c r="B8489" s="17"/>
      <c r="C8489" s="15"/>
      <c r="D8489" s="15"/>
      <c r="E8489" s="18"/>
    </row>
    <row r="8490" spans="2:5" x14ac:dyDescent="0.4">
      <c r="B8490" s="17"/>
      <c r="C8490" s="15"/>
      <c r="D8490" s="15"/>
      <c r="E8490" s="18"/>
    </row>
    <row r="8491" spans="2:5" x14ac:dyDescent="0.4">
      <c r="B8491" s="17"/>
      <c r="C8491" s="15"/>
      <c r="D8491" s="15"/>
      <c r="E8491" s="18"/>
    </row>
    <row r="8492" spans="2:5" x14ac:dyDescent="0.4">
      <c r="B8492" s="17"/>
      <c r="C8492" s="15"/>
      <c r="D8492" s="15"/>
      <c r="E8492" s="18"/>
    </row>
    <row r="8493" spans="2:5" x14ac:dyDescent="0.4">
      <c r="B8493" s="17"/>
      <c r="C8493" s="15"/>
      <c r="D8493" s="15"/>
      <c r="E8493" s="18"/>
    </row>
    <row r="8494" spans="2:5" x14ac:dyDescent="0.4">
      <c r="B8494" s="17"/>
      <c r="C8494" s="15"/>
      <c r="D8494" s="15"/>
      <c r="E8494" s="18"/>
    </row>
    <row r="8495" spans="2:5" x14ac:dyDescent="0.4">
      <c r="B8495" s="17"/>
      <c r="C8495" s="15"/>
      <c r="D8495" s="15"/>
      <c r="E8495" s="18"/>
    </row>
    <row r="8496" spans="2:5" x14ac:dyDescent="0.4">
      <c r="B8496" s="17"/>
      <c r="C8496" s="15"/>
      <c r="D8496" s="15"/>
      <c r="E8496" s="18"/>
    </row>
    <row r="8497" spans="2:5" x14ac:dyDescent="0.4">
      <c r="B8497" s="17"/>
      <c r="C8497" s="15"/>
      <c r="D8497" s="15"/>
      <c r="E8497" s="18"/>
    </row>
    <row r="8498" spans="2:5" x14ac:dyDescent="0.4">
      <c r="B8498" s="17"/>
      <c r="C8498" s="15"/>
      <c r="D8498" s="15"/>
      <c r="E8498" s="18"/>
    </row>
    <row r="8499" spans="2:5" x14ac:dyDescent="0.4">
      <c r="B8499" s="17"/>
      <c r="C8499" s="15"/>
      <c r="D8499" s="15"/>
      <c r="E8499" s="18"/>
    </row>
    <row r="8500" spans="2:5" x14ac:dyDescent="0.4">
      <c r="B8500" s="17"/>
      <c r="C8500" s="15"/>
      <c r="D8500" s="15"/>
      <c r="E8500" s="18"/>
    </row>
    <row r="8501" spans="2:5" x14ac:dyDescent="0.4">
      <c r="B8501" s="17"/>
      <c r="C8501" s="15"/>
      <c r="D8501" s="15"/>
      <c r="E8501" s="18"/>
    </row>
    <row r="8502" spans="2:5" x14ac:dyDescent="0.4">
      <c r="B8502" s="17"/>
      <c r="C8502" s="15"/>
      <c r="D8502" s="15"/>
      <c r="E8502" s="18"/>
    </row>
    <row r="8503" spans="2:5" x14ac:dyDescent="0.4">
      <c r="B8503" s="17"/>
      <c r="C8503" s="15"/>
      <c r="D8503" s="15"/>
      <c r="E8503" s="18"/>
    </row>
    <row r="8504" spans="2:5" x14ac:dyDescent="0.4">
      <c r="B8504" s="17"/>
      <c r="C8504" s="15"/>
      <c r="D8504" s="15"/>
      <c r="E8504" s="18"/>
    </row>
    <row r="8505" spans="2:5" x14ac:dyDescent="0.4">
      <c r="B8505" s="17"/>
      <c r="C8505" s="15"/>
      <c r="D8505" s="15"/>
      <c r="E8505" s="18"/>
    </row>
    <row r="8506" spans="2:5" x14ac:dyDescent="0.4">
      <c r="B8506" s="17"/>
      <c r="C8506" s="15"/>
      <c r="D8506" s="15"/>
      <c r="E8506" s="18"/>
    </row>
    <row r="8507" spans="2:5" x14ac:dyDescent="0.4">
      <c r="B8507" s="17"/>
      <c r="C8507" s="15"/>
      <c r="D8507" s="15"/>
      <c r="E8507" s="18"/>
    </row>
    <row r="8508" spans="2:5" x14ac:dyDescent="0.4">
      <c r="B8508" s="17"/>
      <c r="C8508" s="15"/>
      <c r="D8508" s="15"/>
      <c r="E8508" s="18"/>
    </row>
    <row r="8509" spans="2:5" x14ac:dyDescent="0.4">
      <c r="B8509" s="17"/>
      <c r="C8509" s="15"/>
      <c r="D8509" s="15"/>
      <c r="E8509" s="18"/>
    </row>
    <row r="8510" spans="2:5" x14ac:dyDescent="0.4">
      <c r="B8510" s="17"/>
      <c r="C8510" s="15"/>
      <c r="D8510" s="15"/>
      <c r="E8510" s="18"/>
    </row>
    <row r="8511" spans="2:5" x14ac:dyDescent="0.4">
      <c r="B8511" s="17"/>
      <c r="C8511" s="15"/>
      <c r="D8511" s="15"/>
      <c r="E8511" s="18"/>
    </row>
    <row r="8512" spans="2:5" x14ac:dyDescent="0.4">
      <c r="B8512" s="17"/>
      <c r="C8512" s="15"/>
      <c r="D8512" s="15"/>
      <c r="E8512" s="18"/>
    </row>
    <row r="8513" spans="2:5" x14ac:dyDescent="0.4">
      <c r="B8513" s="17"/>
      <c r="C8513" s="15"/>
      <c r="D8513" s="15"/>
      <c r="E8513" s="18"/>
    </row>
    <row r="8514" spans="2:5" x14ac:dyDescent="0.4">
      <c r="B8514" s="17"/>
      <c r="C8514" s="15"/>
      <c r="D8514" s="15"/>
      <c r="E8514" s="18"/>
    </row>
    <row r="8515" spans="2:5" x14ac:dyDescent="0.4">
      <c r="B8515" s="17"/>
      <c r="C8515" s="15"/>
      <c r="D8515" s="15"/>
      <c r="E8515" s="18"/>
    </row>
    <row r="8516" spans="2:5" x14ac:dyDescent="0.4">
      <c r="B8516" s="17"/>
      <c r="C8516" s="15"/>
      <c r="D8516" s="15"/>
      <c r="E8516" s="18"/>
    </row>
    <row r="8517" spans="2:5" x14ac:dyDescent="0.4">
      <c r="B8517" s="17"/>
      <c r="C8517" s="15"/>
      <c r="D8517" s="15"/>
      <c r="E8517" s="18"/>
    </row>
    <row r="8518" spans="2:5" x14ac:dyDescent="0.4">
      <c r="B8518" s="17"/>
      <c r="C8518" s="15"/>
      <c r="D8518" s="15"/>
      <c r="E8518" s="18"/>
    </row>
    <row r="8519" spans="2:5" x14ac:dyDescent="0.4">
      <c r="B8519" s="17"/>
      <c r="C8519" s="15"/>
      <c r="D8519" s="15"/>
      <c r="E8519" s="18"/>
    </row>
    <row r="8520" spans="2:5" x14ac:dyDescent="0.4">
      <c r="B8520" s="17"/>
      <c r="C8520" s="15"/>
      <c r="D8520" s="15"/>
      <c r="E8520" s="18"/>
    </row>
    <row r="8521" spans="2:5" x14ac:dyDescent="0.4">
      <c r="B8521" s="17"/>
      <c r="C8521" s="15"/>
      <c r="D8521" s="15"/>
      <c r="E8521" s="18"/>
    </row>
    <row r="8522" spans="2:5" x14ac:dyDescent="0.4">
      <c r="B8522" s="17"/>
      <c r="C8522" s="15"/>
      <c r="D8522" s="15"/>
      <c r="E8522" s="18"/>
    </row>
    <row r="8523" spans="2:5" x14ac:dyDescent="0.4">
      <c r="B8523" s="17"/>
      <c r="C8523" s="15"/>
      <c r="D8523" s="15"/>
      <c r="E8523" s="18"/>
    </row>
    <row r="8524" spans="2:5" x14ac:dyDescent="0.4">
      <c r="B8524" s="17"/>
      <c r="C8524" s="15"/>
      <c r="D8524" s="15"/>
      <c r="E8524" s="18"/>
    </row>
    <row r="8525" spans="2:5" x14ac:dyDescent="0.4">
      <c r="B8525" s="17"/>
      <c r="C8525" s="15"/>
      <c r="D8525" s="15"/>
      <c r="E8525" s="18"/>
    </row>
    <row r="8526" spans="2:5" x14ac:dyDescent="0.4">
      <c r="B8526" s="17"/>
      <c r="C8526" s="15"/>
      <c r="D8526" s="15"/>
      <c r="E8526" s="18"/>
    </row>
    <row r="8527" spans="2:5" x14ac:dyDescent="0.4">
      <c r="B8527" s="17"/>
      <c r="C8527" s="15"/>
      <c r="D8527" s="15"/>
      <c r="E8527" s="18"/>
    </row>
    <row r="8528" spans="2:5" x14ac:dyDescent="0.4">
      <c r="B8528" s="17"/>
      <c r="C8528" s="15"/>
      <c r="D8528" s="15"/>
      <c r="E8528" s="18"/>
    </row>
    <row r="8529" spans="2:5" x14ac:dyDescent="0.4">
      <c r="B8529" s="17"/>
      <c r="C8529" s="15"/>
      <c r="D8529" s="15"/>
      <c r="E8529" s="18"/>
    </row>
    <row r="8530" spans="2:5" x14ac:dyDescent="0.4">
      <c r="B8530" s="17"/>
      <c r="C8530" s="15"/>
      <c r="D8530" s="15"/>
      <c r="E8530" s="18"/>
    </row>
    <row r="8531" spans="2:5" x14ac:dyDescent="0.4">
      <c r="B8531" s="17"/>
      <c r="C8531" s="15"/>
      <c r="D8531" s="15"/>
      <c r="E8531" s="18"/>
    </row>
    <row r="8532" spans="2:5" x14ac:dyDescent="0.4">
      <c r="B8532" s="17"/>
      <c r="C8532" s="15"/>
      <c r="D8532" s="15"/>
      <c r="E8532" s="18"/>
    </row>
    <row r="8533" spans="2:5" x14ac:dyDescent="0.4">
      <c r="B8533" s="17"/>
      <c r="C8533" s="15"/>
      <c r="D8533" s="15"/>
      <c r="E8533" s="18"/>
    </row>
    <row r="8534" spans="2:5" x14ac:dyDescent="0.4">
      <c r="B8534" s="17"/>
      <c r="C8534" s="15"/>
      <c r="D8534" s="15"/>
      <c r="E8534" s="18"/>
    </row>
    <row r="8535" spans="2:5" x14ac:dyDescent="0.4">
      <c r="B8535" s="17"/>
      <c r="C8535" s="15"/>
      <c r="D8535" s="15"/>
      <c r="E8535" s="18"/>
    </row>
    <row r="8536" spans="2:5" x14ac:dyDescent="0.4">
      <c r="B8536" s="17"/>
      <c r="C8536" s="15"/>
      <c r="D8536" s="15"/>
      <c r="E8536" s="18"/>
    </row>
    <row r="8537" spans="2:5" x14ac:dyDescent="0.4">
      <c r="B8537" s="17"/>
      <c r="C8537" s="15"/>
      <c r="D8537" s="15"/>
      <c r="E8537" s="18"/>
    </row>
    <row r="8538" spans="2:5" x14ac:dyDescent="0.4">
      <c r="B8538" s="17"/>
      <c r="C8538" s="15"/>
      <c r="D8538" s="15"/>
      <c r="E8538" s="18"/>
    </row>
    <row r="8539" spans="2:5" x14ac:dyDescent="0.4">
      <c r="B8539" s="17"/>
      <c r="C8539" s="15"/>
      <c r="D8539" s="15"/>
      <c r="E8539" s="18"/>
    </row>
    <row r="8540" spans="2:5" x14ac:dyDescent="0.4">
      <c r="B8540" s="17"/>
      <c r="C8540" s="15"/>
      <c r="D8540" s="15"/>
      <c r="E8540" s="18"/>
    </row>
    <row r="8541" spans="2:5" x14ac:dyDescent="0.4">
      <c r="B8541" s="17"/>
      <c r="C8541" s="15"/>
      <c r="D8541" s="15"/>
      <c r="E8541" s="18"/>
    </row>
    <row r="8542" spans="2:5" x14ac:dyDescent="0.4">
      <c r="B8542" s="17"/>
      <c r="C8542" s="15"/>
      <c r="D8542" s="15"/>
      <c r="E8542" s="18"/>
    </row>
    <row r="8543" spans="2:5" x14ac:dyDescent="0.4">
      <c r="B8543" s="17"/>
      <c r="C8543" s="15"/>
      <c r="D8543" s="15"/>
      <c r="E8543" s="18"/>
    </row>
    <row r="8544" spans="2:5" x14ac:dyDescent="0.4">
      <c r="B8544" s="17"/>
      <c r="C8544" s="15"/>
      <c r="D8544" s="15"/>
      <c r="E8544" s="18"/>
    </row>
    <row r="8545" spans="2:5" x14ac:dyDescent="0.4">
      <c r="B8545" s="17"/>
      <c r="C8545" s="15"/>
      <c r="D8545" s="15"/>
      <c r="E8545" s="18"/>
    </row>
    <row r="8546" spans="2:5" x14ac:dyDescent="0.4">
      <c r="B8546" s="17"/>
      <c r="C8546" s="15"/>
      <c r="D8546" s="15"/>
      <c r="E8546" s="18"/>
    </row>
    <row r="8547" spans="2:5" x14ac:dyDescent="0.4">
      <c r="B8547" s="17"/>
      <c r="C8547" s="15"/>
      <c r="D8547" s="15"/>
      <c r="E8547" s="18"/>
    </row>
    <row r="8548" spans="2:5" x14ac:dyDescent="0.4">
      <c r="B8548" s="17"/>
      <c r="C8548" s="15"/>
      <c r="D8548" s="15"/>
      <c r="E8548" s="18"/>
    </row>
    <row r="8549" spans="2:5" x14ac:dyDescent="0.4">
      <c r="B8549" s="17"/>
      <c r="C8549" s="15"/>
      <c r="D8549" s="15"/>
      <c r="E8549" s="18"/>
    </row>
    <row r="8550" spans="2:5" x14ac:dyDescent="0.4">
      <c r="B8550" s="17"/>
      <c r="C8550" s="15"/>
      <c r="D8550" s="15"/>
      <c r="E8550" s="18"/>
    </row>
    <row r="8551" spans="2:5" x14ac:dyDescent="0.4">
      <c r="B8551" s="17"/>
      <c r="C8551" s="15"/>
      <c r="D8551" s="15"/>
      <c r="E8551" s="18"/>
    </row>
    <row r="8552" spans="2:5" x14ac:dyDescent="0.4">
      <c r="B8552" s="17"/>
      <c r="C8552" s="15"/>
      <c r="D8552" s="15"/>
      <c r="E8552" s="18"/>
    </row>
    <row r="8553" spans="2:5" x14ac:dyDescent="0.4">
      <c r="B8553" s="17"/>
      <c r="C8553" s="15"/>
      <c r="D8553" s="15"/>
      <c r="E8553" s="18"/>
    </row>
    <row r="8554" spans="2:5" x14ac:dyDescent="0.4">
      <c r="B8554" s="17"/>
      <c r="C8554" s="15"/>
      <c r="D8554" s="15"/>
      <c r="E8554" s="18"/>
    </row>
    <row r="8555" spans="2:5" x14ac:dyDescent="0.4">
      <c r="B8555" s="17"/>
      <c r="C8555" s="15"/>
      <c r="D8555" s="15"/>
      <c r="E8555" s="18"/>
    </row>
    <row r="8556" spans="2:5" x14ac:dyDescent="0.4">
      <c r="B8556" s="17"/>
      <c r="C8556" s="15"/>
      <c r="D8556" s="15"/>
      <c r="E8556" s="18"/>
    </row>
    <row r="8557" spans="2:5" x14ac:dyDescent="0.4">
      <c r="B8557" s="17"/>
      <c r="C8557" s="15"/>
      <c r="D8557" s="15"/>
      <c r="E8557" s="18"/>
    </row>
    <row r="8558" spans="2:5" x14ac:dyDescent="0.4">
      <c r="B8558" s="17"/>
      <c r="C8558" s="15"/>
      <c r="D8558" s="15"/>
      <c r="E8558" s="18"/>
    </row>
    <row r="8559" spans="2:5" x14ac:dyDescent="0.4">
      <c r="B8559" s="17"/>
      <c r="C8559" s="15"/>
      <c r="D8559" s="15"/>
      <c r="E8559" s="18"/>
    </row>
    <row r="8560" spans="2:5" x14ac:dyDescent="0.4">
      <c r="B8560" s="17"/>
      <c r="C8560" s="15"/>
      <c r="D8560" s="15"/>
      <c r="E8560" s="18"/>
    </row>
    <row r="8561" spans="2:5" x14ac:dyDescent="0.4">
      <c r="B8561" s="17"/>
      <c r="C8561" s="15"/>
      <c r="D8561" s="15"/>
      <c r="E8561" s="18"/>
    </row>
    <row r="8562" spans="2:5" x14ac:dyDescent="0.4">
      <c r="B8562" s="17"/>
      <c r="C8562" s="15"/>
      <c r="D8562" s="15"/>
      <c r="E8562" s="18"/>
    </row>
    <row r="8563" spans="2:5" x14ac:dyDescent="0.4">
      <c r="B8563" s="17"/>
      <c r="C8563" s="15"/>
      <c r="D8563" s="15"/>
      <c r="E8563" s="18"/>
    </row>
    <row r="8564" spans="2:5" x14ac:dyDescent="0.4">
      <c r="B8564" s="17"/>
      <c r="C8564" s="15"/>
      <c r="D8564" s="15"/>
      <c r="E8564" s="18"/>
    </row>
    <row r="8565" spans="2:5" x14ac:dyDescent="0.4">
      <c r="B8565" s="17"/>
      <c r="C8565" s="15"/>
      <c r="D8565" s="15"/>
      <c r="E8565" s="18"/>
    </row>
    <row r="8566" spans="2:5" x14ac:dyDescent="0.4">
      <c r="B8566" s="17"/>
      <c r="C8566" s="15"/>
      <c r="D8566" s="15"/>
      <c r="E8566" s="18"/>
    </row>
    <row r="8567" spans="2:5" x14ac:dyDescent="0.4">
      <c r="B8567" s="17"/>
      <c r="C8567" s="15"/>
      <c r="D8567" s="15"/>
      <c r="E8567" s="18"/>
    </row>
    <row r="8568" spans="2:5" x14ac:dyDescent="0.4">
      <c r="B8568" s="17"/>
      <c r="C8568" s="15"/>
      <c r="D8568" s="15"/>
      <c r="E8568" s="18"/>
    </row>
    <row r="8569" spans="2:5" x14ac:dyDescent="0.4">
      <c r="B8569" s="17"/>
      <c r="C8569" s="15"/>
      <c r="D8569" s="15"/>
      <c r="E8569" s="18"/>
    </row>
    <row r="8570" spans="2:5" x14ac:dyDescent="0.4">
      <c r="B8570" s="17"/>
      <c r="C8570" s="15"/>
      <c r="D8570" s="15"/>
      <c r="E8570" s="18"/>
    </row>
    <row r="8571" spans="2:5" x14ac:dyDescent="0.4">
      <c r="B8571" s="17"/>
      <c r="C8571" s="15"/>
      <c r="D8571" s="15"/>
      <c r="E8571" s="18"/>
    </row>
    <row r="8572" spans="2:5" x14ac:dyDescent="0.4">
      <c r="B8572" s="17"/>
      <c r="C8572" s="15"/>
      <c r="D8572" s="15"/>
      <c r="E8572" s="18"/>
    </row>
    <row r="8573" spans="2:5" x14ac:dyDescent="0.4">
      <c r="B8573" s="17"/>
      <c r="C8573" s="15"/>
      <c r="D8573" s="15"/>
      <c r="E8573" s="18"/>
    </row>
    <row r="8574" spans="2:5" x14ac:dyDescent="0.4">
      <c r="B8574" s="17"/>
      <c r="C8574" s="15"/>
      <c r="D8574" s="15"/>
      <c r="E8574" s="18"/>
    </row>
    <row r="8575" spans="2:5" x14ac:dyDescent="0.4">
      <c r="B8575" s="17"/>
      <c r="C8575" s="15"/>
      <c r="D8575" s="15"/>
      <c r="E8575" s="18"/>
    </row>
    <row r="8576" spans="2:5" x14ac:dyDescent="0.4">
      <c r="B8576" s="17"/>
      <c r="C8576" s="15"/>
      <c r="D8576" s="15"/>
      <c r="E8576" s="18"/>
    </row>
    <row r="8577" spans="2:5" x14ac:dyDescent="0.4">
      <c r="B8577" s="17"/>
      <c r="C8577" s="15"/>
      <c r="D8577" s="15"/>
      <c r="E8577" s="18"/>
    </row>
    <row r="8578" spans="2:5" x14ac:dyDescent="0.4">
      <c r="B8578" s="17"/>
      <c r="C8578" s="15"/>
      <c r="D8578" s="15"/>
      <c r="E8578" s="18"/>
    </row>
    <row r="8579" spans="2:5" x14ac:dyDescent="0.4">
      <c r="B8579" s="17"/>
      <c r="C8579" s="15"/>
      <c r="D8579" s="15"/>
      <c r="E8579" s="18"/>
    </row>
    <row r="8580" spans="2:5" x14ac:dyDescent="0.4">
      <c r="B8580" s="17"/>
      <c r="C8580" s="15"/>
      <c r="D8580" s="15"/>
      <c r="E8580" s="18"/>
    </row>
    <row r="8581" spans="2:5" x14ac:dyDescent="0.4">
      <c r="B8581" s="17"/>
      <c r="C8581" s="15"/>
      <c r="D8581" s="15"/>
      <c r="E8581" s="18"/>
    </row>
    <row r="8582" spans="2:5" x14ac:dyDescent="0.4">
      <c r="B8582" s="17"/>
      <c r="C8582" s="15"/>
      <c r="D8582" s="15"/>
      <c r="E8582" s="18"/>
    </row>
    <row r="8583" spans="2:5" x14ac:dyDescent="0.4">
      <c r="B8583" s="17"/>
      <c r="C8583" s="15"/>
      <c r="D8583" s="15"/>
      <c r="E8583" s="18"/>
    </row>
    <row r="8584" spans="2:5" x14ac:dyDescent="0.4">
      <c r="B8584" s="17"/>
      <c r="C8584" s="15"/>
      <c r="D8584" s="15"/>
      <c r="E8584" s="18"/>
    </row>
    <row r="8585" spans="2:5" x14ac:dyDescent="0.4">
      <c r="B8585" s="17"/>
      <c r="C8585" s="15"/>
      <c r="D8585" s="15"/>
      <c r="E8585" s="18"/>
    </row>
    <row r="8586" spans="2:5" x14ac:dyDescent="0.4">
      <c r="B8586" s="17"/>
      <c r="C8586" s="15"/>
      <c r="D8586" s="15"/>
      <c r="E8586" s="18"/>
    </row>
    <row r="8587" spans="2:5" x14ac:dyDescent="0.4">
      <c r="B8587" s="17"/>
      <c r="C8587" s="15"/>
      <c r="D8587" s="15"/>
      <c r="E8587" s="18"/>
    </row>
    <row r="8588" spans="2:5" x14ac:dyDescent="0.4">
      <c r="B8588" s="17"/>
      <c r="C8588" s="15"/>
      <c r="D8588" s="15"/>
      <c r="E8588" s="18"/>
    </row>
    <row r="8589" spans="2:5" x14ac:dyDescent="0.4">
      <c r="B8589" s="17"/>
      <c r="C8589" s="15"/>
      <c r="D8589" s="15"/>
      <c r="E8589" s="18"/>
    </row>
    <row r="8590" spans="2:5" x14ac:dyDescent="0.4">
      <c r="B8590" s="17"/>
      <c r="C8590" s="15"/>
      <c r="D8590" s="15"/>
      <c r="E8590" s="18"/>
    </row>
    <row r="8591" spans="2:5" x14ac:dyDescent="0.4">
      <c r="B8591" s="17"/>
      <c r="C8591" s="15"/>
      <c r="D8591" s="15"/>
      <c r="E8591" s="18"/>
    </row>
    <row r="8592" spans="2:5" x14ac:dyDescent="0.4">
      <c r="B8592" s="17"/>
      <c r="C8592" s="15"/>
      <c r="D8592" s="15"/>
      <c r="E8592" s="18"/>
    </row>
    <row r="8593" spans="2:5" x14ac:dyDescent="0.4">
      <c r="B8593" s="17"/>
      <c r="C8593" s="15"/>
      <c r="D8593" s="15"/>
      <c r="E8593" s="18"/>
    </row>
    <row r="8594" spans="2:5" x14ac:dyDescent="0.4">
      <c r="B8594" s="17"/>
      <c r="C8594" s="15"/>
      <c r="D8594" s="15"/>
      <c r="E8594" s="18"/>
    </row>
    <row r="8595" spans="2:5" x14ac:dyDescent="0.4">
      <c r="B8595" s="17"/>
      <c r="C8595" s="15"/>
      <c r="D8595" s="15"/>
      <c r="E8595" s="18"/>
    </row>
    <row r="8596" spans="2:5" x14ac:dyDescent="0.4">
      <c r="B8596" s="17"/>
      <c r="C8596" s="15"/>
      <c r="D8596" s="15"/>
      <c r="E8596" s="18"/>
    </row>
    <row r="8597" spans="2:5" x14ac:dyDescent="0.4">
      <c r="B8597" s="17"/>
      <c r="C8597" s="15"/>
      <c r="D8597" s="15"/>
      <c r="E8597" s="18"/>
    </row>
    <row r="8598" spans="2:5" x14ac:dyDescent="0.4">
      <c r="B8598" s="17"/>
      <c r="C8598" s="15"/>
      <c r="D8598" s="15"/>
      <c r="E8598" s="18"/>
    </row>
    <row r="8599" spans="2:5" x14ac:dyDescent="0.4">
      <c r="B8599" s="17"/>
      <c r="C8599" s="15"/>
      <c r="D8599" s="15"/>
      <c r="E8599" s="18"/>
    </row>
    <row r="8600" spans="2:5" x14ac:dyDescent="0.4">
      <c r="B8600" s="17"/>
      <c r="C8600" s="15"/>
      <c r="D8600" s="15"/>
      <c r="E8600" s="18"/>
    </row>
    <row r="8601" spans="2:5" x14ac:dyDescent="0.4">
      <c r="B8601" s="17"/>
      <c r="C8601" s="15"/>
      <c r="D8601" s="15"/>
      <c r="E8601" s="18"/>
    </row>
    <row r="8602" spans="2:5" x14ac:dyDescent="0.4">
      <c r="B8602" s="17"/>
      <c r="C8602" s="15"/>
      <c r="D8602" s="15"/>
      <c r="E8602" s="18"/>
    </row>
    <row r="8603" spans="2:5" x14ac:dyDescent="0.4">
      <c r="B8603" s="17"/>
      <c r="C8603" s="15"/>
      <c r="D8603" s="15"/>
      <c r="E8603" s="18"/>
    </row>
    <row r="8604" spans="2:5" x14ac:dyDescent="0.4">
      <c r="B8604" s="17"/>
      <c r="C8604" s="15"/>
      <c r="D8604" s="15"/>
      <c r="E8604" s="18"/>
    </row>
    <row r="8605" spans="2:5" x14ac:dyDescent="0.4">
      <c r="B8605" s="17"/>
      <c r="C8605" s="15"/>
      <c r="D8605" s="15"/>
      <c r="E8605" s="18"/>
    </row>
    <row r="8606" spans="2:5" x14ac:dyDescent="0.4">
      <c r="B8606" s="17"/>
      <c r="C8606" s="15"/>
      <c r="D8606" s="15"/>
      <c r="E8606" s="18"/>
    </row>
    <row r="8607" spans="2:5" x14ac:dyDescent="0.4">
      <c r="B8607" s="17"/>
      <c r="C8607" s="15"/>
      <c r="D8607" s="15"/>
      <c r="E8607" s="18"/>
    </row>
    <row r="8608" spans="2:5" x14ac:dyDescent="0.4">
      <c r="B8608" s="17"/>
      <c r="C8608" s="15"/>
      <c r="D8608" s="15"/>
      <c r="E8608" s="18"/>
    </row>
    <row r="8609" spans="2:5" x14ac:dyDescent="0.4">
      <c r="B8609" s="17"/>
      <c r="C8609" s="15"/>
      <c r="D8609" s="15"/>
      <c r="E8609" s="18"/>
    </row>
    <row r="8610" spans="2:5" x14ac:dyDescent="0.4">
      <c r="B8610" s="17"/>
      <c r="C8610" s="15"/>
      <c r="D8610" s="15"/>
      <c r="E8610" s="18"/>
    </row>
    <row r="8611" spans="2:5" x14ac:dyDescent="0.4">
      <c r="B8611" s="17"/>
      <c r="C8611" s="15"/>
      <c r="D8611" s="15"/>
      <c r="E8611" s="18"/>
    </row>
    <row r="8612" spans="2:5" x14ac:dyDescent="0.4">
      <c r="B8612" s="17"/>
      <c r="C8612" s="15"/>
      <c r="D8612" s="15"/>
      <c r="E8612" s="18"/>
    </row>
    <row r="8613" spans="2:5" x14ac:dyDescent="0.4">
      <c r="B8613" s="17"/>
      <c r="C8613" s="15"/>
      <c r="D8613" s="15"/>
      <c r="E8613" s="18"/>
    </row>
    <row r="8614" spans="2:5" x14ac:dyDescent="0.4">
      <c r="B8614" s="17"/>
      <c r="C8614" s="15"/>
      <c r="D8614" s="15"/>
      <c r="E8614" s="18"/>
    </row>
    <row r="8615" spans="2:5" x14ac:dyDescent="0.4">
      <c r="B8615" s="17"/>
      <c r="C8615" s="15"/>
      <c r="D8615" s="15"/>
      <c r="E8615" s="18"/>
    </row>
    <row r="8616" spans="2:5" x14ac:dyDescent="0.4">
      <c r="B8616" s="17"/>
      <c r="C8616" s="15"/>
      <c r="D8616" s="15"/>
      <c r="E8616" s="18"/>
    </row>
    <row r="8617" spans="2:5" x14ac:dyDescent="0.4">
      <c r="B8617" s="17"/>
      <c r="C8617" s="15"/>
      <c r="D8617" s="15"/>
      <c r="E8617" s="18"/>
    </row>
    <row r="8618" spans="2:5" x14ac:dyDescent="0.4">
      <c r="B8618" s="17"/>
      <c r="C8618" s="15"/>
      <c r="D8618" s="15"/>
      <c r="E8618" s="18"/>
    </row>
    <row r="8619" spans="2:5" x14ac:dyDescent="0.4">
      <c r="B8619" s="17"/>
      <c r="C8619" s="15"/>
      <c r="D8619" s="15"/>
      <c r="E8619" s="18"/>
    </row>
    <row r="8620" spans="2:5" x14ac:dyDescent="0.4">
      <c r="B8620" s="17"/>
      <c r="C8620" s="15"/>
      <c r="D8620" s="15"/>
      <c r="E8620" s="18"/>
    </row>
    <row r="8621" spans="2:5" x14ac:dyDescent="0.4">
      <c r="B8621" s="17"/>
      <c r="C8621" s="15"/>
      <c r="D8621" s="15"/>
      <c r="E8621" s="18"/>
    </row>
    <row r="8622" spans="2:5" x14ac:dyDescent="0.4">
      <c r="B8622" s="17"/>
      <c r="C8622" s="15"/>
      <c r="D8622" s="15"/>
      <c r="E8622" s="18"/>
    </row>
    <row r="8623" spans="2:5" x14ac:dyDescent="0.4">
      <c r="B8623" s="17"/>
      <c r="C8623" s="15"/>
      <c r="D8623" s="15"/>
      <c r="E8623" s="18"/>
    </row>
    <row r="8624" spans="2:5" x14ac:dyDescent="0.4">
      <c r="B8624" s="17"/>
      <c r="C8624" s="15"/>
      <c r="D8624" s="15"/>
      <c r="E8624" s="18"/>
    </row>
    <row r="8625" spans="2:5" x14ac:dyDescent="0.4">
      <c r="B8625" s="17"/>
      <c r="C8625" s="15"/>
      <c r="D8625" s="15"/>
      <c r="E8625" s="18"/>
    </row>
    <row r="8626" spans="2:5" x14ac:dyDescent="0.4">
      <c r="B8626" s="17"/>
      <c r="C8626" s="15"/>
      <c r="D8626" s="15"/>
      <c r="E8626" s="18"/>
    </row>
    <row r="8627" spans="2:5" x14ac:dyDescent="0.4">
      <c r="B8627" s="17"/>
      <c r="C8627" s="15"/>
      <c r="D8627" s="15"/>
      <c r="E8627" s="18"/>
    </row>
    <row r="8628" spans="2:5" x14ac:dyDescent="0.4">
      <c r="B8628" s="17"/>
      <c r="C8628" s="15"/>
      <c r="D8628" s="15"/>
      <c r="E8628" s="18"/>
    </row>
    <row r="8629" spans="2:5" x14ac:dyDescent="0.4">
      <c r="B8629" s="17"/>
      <c r="C8629" s="15"/>
      <c r="D8629" s="15"/>
      <c r="E8629" s="18"/>
    </row>
    <row r="8630" spans="2:5" x14ac:dyDescent="0.4">
      <c r="B8630" s="17"/>
      <c r="C8630" s="15"/>
      <c r="D8630" s="15"/>
      <c r="E8630" s="18"/>
    </row>
    <row r="8631" spans="2:5" x14ac:dyDescent="0.4">
      <c r="B8631" s="17"/>
      <c r="C8631" s="15"/>
      <c r="D8631" s="15"/>
      <c r="E8631" s="18"/>
    </row>
    <row r="8632" spans="2:5" x14ac:dyDescent="0.4">
      <c r="B8632" s="17"/>
      <c r="C8632" s="15"/>
      <c r="D8632" s="15"/>
      <c r="E8632" s="18"/>
    </row>
    <row r="8633" spans="2:5" x14ac:dyDescent="0.4">
      <c r="B8633" s="17"/>
      <c r="C8633" s="15"/>
      <c r="D8633" s="15"/>
      <c r="E8633" s="18"/>
    </row>
    <row r="8634" spans="2:5" x14ac:dyDescent="0.4">
      <c r="B8634" s="17"/>
      <c r="C8634" s="15"/>
      <c r="D8634" s="15"/>
      <c r="E8634" s="18"/>
    </row>
    <row r="8635" spans="2:5" x14ac:dyDescent="0.4">
      <c r="B8635" s="17"/>
      <c r="C8635" s="15"/>
      <c r="D8635" s="15"/>
      <c r="E8635" s="18"/>
    </row>
    <row r="8636" spans="2:5" x14ac:dyDescent="0.4">
      <c r="B8636" s="17"/>
      <c r="C8636" s="15"/>
      <c r="D8636" s="15"/>
      <c r="E8636" s="18"/>
    </row>
    <row r="8637" spans="2:5" x14ac:dyDescent="0.4">
      <c r="B8637" s="17"/>
      <c r="C8637" s="15"/>
      <c r="D8637" s="15"/>
      <c r="E8637" s="18"/>
    </row>
    <row r="8638" spans="2:5" x14ac:dyDescent="0.4">
      <c r="B8638" s="17"/>
      <c r="C8638" s="15"/>
      <c r="D8638" s="15"/>
      <c r="E8638" s="18"/>
    </row>
    <row r="8639" spans="2:5" x14ac:dyDescent="0.4">
      <c r="B8639" s="17"/>
      <c r="C8639" s="15"/>
      <c r="D8639" s="15"/>
      <c r="E8639" s="18"/>
    </row>
    <row r="8640" spans="2:5" x14ac:dyDescent="0.4">
      <c r="B8640" s="17"/>
      <c r="C8640" s="15"/>
      <c r="D8640" s="15"/>
      <c r="E8640" s="18"/>
    </row>
    <row r="8641" spans="2:5" x14ac:dyDescent="0.4">
      <c r="B8641" s="17"/>
      <c r="C8641" s="15"/>
      <c r="D8641" s="15"/>
      <c r="E8641" s="18"/>
    </row>
    <row r="8642" spans="2:5" x14ac:dyDescent="0.4">
      <c r="B8642" s="17"/>
      <c r="C8642" s="15"/>
      <c r="D8642" s="15"/>
      <c r="E8642" s="18"/>
    </row>
    <row r="8643" spans="2:5" x14ac:dyDescent="0.4">
      <c r="B8643" s="17"/>
      <c r="C8643" s="15"/>
      <c r="D8643" s="15"/>
      <c r="E8643" s="18"/>
    </row>
    <row r="8644" spans="2:5" x14ac:dyDescent="0.4">
      <c r="B8644" s="17"/>
      <c r="C8644" s="15"/>
      <c r="D8644" s="15"/>
      <c r="E8644" s="18"/>
    </row>
    <row r="8645" spans="2:5" x14ac:dyDescent="0.4">
      <c r="B8645" s="17"/>
      <c r="C8645" s="15"/>
      <c r="D8645" s="15"/>
      <c r="E8645" s="18"/>
    </row>
    <row r="8646" spans="2:5" x14ac:dyDescent="0.4">
      <c r="B8646" s="17"/>
      <c r="C8646" s="15"/>
      <c r="D8646" s="15"/>
      <c r="E8646" s="18"/>
    </row>
    <row r="8647" spans="2:5" x14ac:dyDescent="0.4">
      <c r="B8647" s="17"/>
      <c r="C8647" s="15"/>
      <c r="D8647" s="15"/>
      <c r="E8647" s="18"/>
    </row>
    <row r="8648" spans="2:5" x14ac:dyDescent="0.4">
      <c r="B8648" s="17"/>
      <c r="C8648" s="15"/>
      <c r="D8648" s="15"/>
      <c r="E8648" s="18"/>
    </row>
    <row r="8649" spans="2:5" x14ac:dyDescent="0.4">
      <c r="B8649" s="17"/>
      <c r="C8649" s="15"/>
      <c r="D8649" s="15"/>
      <c r="E8649" s="18"/>
    </row>
    <row r="8650" spans="2:5" x14ac:dyDescent="0.4">
      <c r="B8650" s="17"/>
      <c r="C8650" s="15"/>
      <c r="D8650" s="15"/>
      <c r="E8650" s="18"/>
    </row>
    <row r="8651" spans="2:5" x14ac:dyDescent="0.4">
      <c r="B8651" s="17"/>
      <c r="C8651" s="15"/>
      <c r="D8651" s="15"/>
      <c r="E8651" s="18"/>
    </row>
    <row r="8652" spans="2:5" x14ac:dyDescent="0.4">
      <c r="B8652" s="17"/>
      <c r="C8652" s="15"/>
      <c r="D8652" s="15"/>
      <c r="E8652" s="18"/>
    </row>
    <row r="8653" spans="2:5" x14ac:dyDescent="0.4">
      <c r="B8653" s="17"/>
      <c r="C8653" s="15"/>
      <c r="D8653" s="15"/>
      <c r="E8653" s="18"/>
    </row>
    <row r="8654" spans="2:5" x14ac:dyDescent="0.4">
      <c r="B8654" s="17"/>
      <c r="C8654" s="15"/>
      <c r="D8654" s="15"/>
      <c r="E8654" s="18"/>
    </row>
    <row r="8655" spans="2:5" x14ac:dyDescent="0.4">
      <c r="B8655" s="17"/>
      <c r="C8655" s="15"/>
      <c r="D8655" s="15"/>
      <c r="E8655" s="18"/>
    </row>
    <row r="8656" spans="2:5" x14ac:dyDescent="0.4">
      <c r="B8656" s="17"/>
      <c r="C8656" s="15"/>
      <c r="D8656" s="15"/>
      <c r="E8656" s="18"/>
    </row>
    <row r="8657" spans="2:5" x14ac:dyDescent="0.4">
      <c r="B8657" s="17"/>
      <c r="C8657" s="15"/>
      <c r="D8657" s="15"/>
      <c r="E8657" s="18"/>
    </row>
    <row r="8658" spans="2:5" x14ac:dyDescent="0.4">
      <c r="B8658" s="17"/>
      <c r="C8658" s="15"/>
      <c r="D8658" s="15"/>
      <c r="E8658" s="18"/>
    </row>
    <row r="8659" spans="2:5" x14ac:dyDescent="0.4">
      <c r="B8659" s="17"/>
      <c r="C8659" s="15"/>
      <c r="D8659" s="15"/>
      <c r="E8659" s="18"/>
    </row>
    <row r="8660" spans="2:5" x14ac:dyDescent="0.4">
      <c r="B8660" s="17"/>
      <c r="C8660" s="15"/>
      <c r="D8660" s="15"/>
      <c r="E8660" s="18"/>
    </row>
    <row r="8661" spans="2:5" x14ac:dyDescent="0.4">
      <c r="B8661" s="17"/>
      <c r="C8661" s="15"/>
      <c r="D8661" s="15"/>
      <c r="E8661" s="18"/>
    </row>
    <row r="8662" spans="2:5" x14ac:dyDescent="0.4">
      <c r="B8662" s="17"/>
      <c r="C8662" s="15"/>
      <c r="D8662" s="15"/>
      <c r="E8662" s="18"/>
    </row>
    <row r="8663" spans="2:5" x14ac:dyDescent="0.4">
      <c r="B8663" s="17"/>
      <c r="C8663" s="15"/>
      <c r="D8663" s="15"/>
      <c r="E8663" s="18"/>
    </row>
    <row r="8664" spans="2:5" x14ac:dyDescent="0.4">
      <c r="B8664" s="17"/>
      <c r="C8664" s="15"/>
      <c r="D8664" s="15"/>
      <c r="E8664" s="18"/>
    </row>
    <row r="8665" spans="2:5" x14ac:dyDescent="0.4">
      <c r="B8665" s="17"/>
      <c r="C8665" s="15"/>
      <c r="D8665" s="15"/>
      <c r="E8665" s="18"/>
    </row>
    <row r="8666" spans="2:5" x14ac:dyDescent="0.4">
      <c r="B8666" s="17"/>
      <c r="C8666" s="15"/>
      <c r="D8666" s="15"/>
      <c r="E8666" s="18"/>
    </row>
    <row r="8667" spans="2:5" x14ac:dyDescent="0.4">
      <c r="B8667" s="17"/>
      <c r="C8667" s="15"/>
      <c r="D8667" s="15"/>
      <c r="E8667" s="18"/>
    </row>
    <row r="8668" spans="2:5" x14ac:dyDescent="0.4">
      <c r="B8668" s="17"/>
      <c r="C8668" s="15"/>
      <c r="D8668" s="15"/>
      <c r="E8668" s="18"/>
    </row>
    <row r="8669" spans="2:5" x14ac:dyDescent="0.4">
      <c r="B8669" s="17"/>
      <c r="C8669" s="15"/>
      <c r="D8669" s="15"/>
      <c r="E8669" s="18"/>
    </row>
    <row r="8670" spans="2:5" x14ac:dyDescent="0.4">
      <c r="B8670" s="17"/>
      <c r="C8670" s="15"/>
      <c r="D8670" s="15"/>
      <c r="E8670" s="18"/>
    </row>
    <row r="8671" spans="2:5" x14ac:dyDescent="0.4">
      <c r="B8671" s="17"/>
      <c r="C8671" s="15"/>
      <c r="D8671" s="15"/>
      <c r="E8671" s="18"/>
    </row>
    <row r="8672" spans="2:5" x14ac:dyDescent="0.4">
      <c r="B8672" s="17"/>
      <c r="C8672" s="15"/>
      <c r="D8672" s="15"/>
      <c r="E8672" s="18"/>
    </row>
    <row r="8673" spans="2:5" x14ac:dyDescent="0.4">
      <c r="B8673" s="17"/>
      <c r="C8673" s="15"/>
      <c r="D8673" s="15"/>
      <c r="E8673" s="18"/>
    </row>
    <row r="8674" spans="2:5" x14ac:dyDescent="0.4">
      <c r="B8674" s="17"/>
      <c r="C8674" s="15"/>
      <c r="D8674" s="15"/>
      <c r="E8674" s="18"/>
    </row>
    <row r="8675" spans="2:5" x14ac:dyDescent="0.4">
      <c r="B8675" s="17"/>
      <c r="C8675" s="15"/>
      <c r="D8675" s="15"/>
      <c r="E8675" s="18"/>
    </row>
    <row r="8676" spans="2:5" x14ac:dyDescent="0.4">
      <c r="B8676" s="17"/>
      <c r="C8676" s="15"/>
      <c r="D8676" s="15"/>
      <c r="E8676" s="18"/>
    </row>
    <row r="8677" spans="2:5" x14ac:dyDescent="0.4">
      <c r="B8677" s="17"/>
      <c r="C8677" s="15"/>
      <c r="D8677" s="15"/>
      <c r="E8677" s="18"/>
    </row>
    <row r="8678" spans="2:5" x14ac:dyDescent="0.4">
      <c r="B8678" s="17"/>
      <c r="C8678" s="15"/>
      <c r="D8678" s="15"/>
      <c r="E8678" s="18"/>
    </row>
    <row r="8679" spans="2:5" x14ac:dyDescent="0.4">
      <c r="B8679" s="17"/>
      <c r="C8679" s="15"/>
      <c r="D8679" s="15"/>
      <c r="E8679" s="18"/>
    </row>
    <row r="8680" spans="2:5" x14ac:dyDescent="0.4">
      <c r="B8680" s="17"/>
      <c r="C8680" s="15"/>
      <c r="D8680" s="15"/>
      <c r="E8680" s="18"/>
    </row>
    <row r="8681" spans="2:5" x14ac:dyDescent="0.4">
      <c r="B8681" s="17"/>
      <c r="C8681" s="15"/>
      <c r="D8681" s="15"/>
      <c r="E8681" s="18"/>
    </row>
    <row r="8682" spans="2:5" x14ac:dyDescent="0.4">
      <c r="B8682" s="17"/>
      <c r="C8682" s="15"/>
      <c r="D8682" s="15"/>
      <c r="E8682" s="18"/>
    </row>
    <row r="8683" spans="2:5" x14ac:dyDescent="0.4">
      <c r="B8683" s="17"/>
      <c r="C8683" s="15"/>
      <c r="D8683" s="15"/>
      <c r="E8683" s="18"/>
    </row>
    <row r="8684" spans="2:5" x14ac:dyDescent="0.4">
      <c r="B8684" s="17"/>
      <c r="C8684" s="15"/>
      <c r="D8684" s="15"/>
      <c r="E8684" s="18"/>
    </row>
    <row r="8685" spans="2:5" x14ac:dyDescent="0.4">
      <c r="B8685" s="17"/>
      <c r="C8685" s="15"/>
      <c r="D8685" s="15"/>
      <c r="E8685" s="18"/>
    </row>
    <row r="8686" spans="2:5" x14ac:dyDescent="0.4">
      <c r="B8686" s="17"/>
      <c r="C8686" s="15"/>
      <c r="D8686" s="15"/>
      <c r="E8686" s="18"/>
    </row>
    <row r="8687" spans="2:5" x14ac:dyDescent="0.4">
      <c r="B8687" s="17"/>
      <c r="C8687" s="15"/>
      <c r="D8687" s="15"/>
      <c r="E8687" s="18"/>
    </row>
    <row r="8688" spans="2:5" x14ac:dyDescent="0.4">
      <c r="B8688" s="17"/>
      <c r="C8688" s="15"/>
      <c r="D8688" s="15"/>
      <c r="E8688" s="18"/>
    </row>
    <row r="8689" spans="2:5" x14ac:dyDescent="0.4">
      <c r="B8689" s="17"/>
      <c r="C8689" s="15"/>
      <c r="D8689" s="15"/>
      <c r="E8689" s="18"/>
    </row>
    <row r="8690" spans="2:5" x14ac:dyDescent="0.4">
      <c r="B8690" s="17"/>
      <c r="C8690" s="15"/>
      <c r="D8690" s="15"/>
      <c r="E8690" s="18"/>
    </row>
    <row r="8691" spans="2:5" x14ac:dyDescent="0.4">
      <c r="B8691" s="17"/>
      <c r="C8691" s="15"/>
      <c r="D8691" s="15"/>
      <c r="E8691" s="18"/>
    </row>
    <row r="8692" spans="2:5" x14ac:dyDescent="0.4">
      <c r="B8692" s="17"/>
      <c r="C8692" s="15"/>
      <c r="D8692" s="15"/>
      <c r="E8692" s="18"/>
    </row>
    <row r="8693" spans="2:5" x14ac:dyDescent="0.4">
      <c r="B8693" s="17"/>
      <c r="C8693" s="15"/>
      <c r="D8693" s="15"/>
      <c r="E8693" s="18"/>
    </row>
    <row r="8694" spans="2:5" x14ac:dyDescent="0.4">
      <c r="B8694" s="17"/>
      <c r="C8694" s="15"/>
      <c r="D8694" s="15"/>
      <c r="E8694" s="18"/>
    </row>
    <row r="8695" spans="2:5" x14ac:dyDescent="0.4">
      <c r="B8695" s="17"/>
      <c r="C8695" s="15"/>
      <c r="D8695" s="15"/>
      <c r="E8695" s="18"/>
    </row>
    <row r="8696" spans="2:5" x14ac:dyDescent="0.4">
      <c r="B8696" s="17"/>
      <c r="C8696" s="15"/>
      <c r="D8696" s="15"/>
      <c r="E8696" s="18"/>
    </row>
    <row r="8697" spans="2:5" x14ac:dyDescent="0.4">
      <c r="B8697" s="17"/>
      <c r="C8697" s="15"/>
      <c r="D8697" s="15"/>
      <c r="E8697" s="18"/>
    </row>
    <row r="8698" spans="2:5" x14ac:dyDescent="0.4">
      <c r="B8698" s="17"/>
      <c r="C8698" s="15"/>
      <c r="D8698" s="15"/>
      <c r="E8698" s="18"/>
    </row>
    <row r="8699" spans="2:5" x14ac:dyDescent="0.4">
      <c r="B8699" s="17"/>
      <c r="C8699" s="15"/>
      <c r="D8699" s="15"/>
      <c r="E8699" s="18"/>
    </row>
    <row r="8700" spans="2:5" x14ac:dyDescent="0.4">
      <c r="B8700" s="17"/>
      <c r="C8700" s="15"/>
      <c r="D8700" s="15"/>
      <c r="E8700" s="18"/>
    </row>
    <row r="8701" spans="2:5" x14ac:dyDescent="0.4">
      <c r="B8701" s="17"/>
      <c r="C8701" s="15"/>
      <c r="D8701" s="15"/>
      <c r="E8701" s="18"/>
    </row>
    <row r="8702" spans="2:5" x14ac:dyDescent="0.4">
      <c r="B8702" s="17"/>
      <c r="C8702" s="15"/>
      <c r="D8702" s="15"/>
      <c r="E8702" s="18"/>
    </row>
    <row r="8703" spans="2:5" x14ac:dyDescent="0.4">
      <c r="B8703" s="17"/>
      <c r="C8703" s="15"/>
      <c r="D8703" s="15"/>
      <c r="E8703" s="18"/>
    </row>
    <row r="8704" spans="2:5" x14ac:dyDescent="0.4">
      <c r="B8704" s="17"/>
      <c r="C8704" s="15"/>
      <c r="D8704" s="15"/>
      <c r="E8704" s="18"/>
    </row>
    <row r="8705" spans="2:5" x14ac:dyDescent="0.4">
      <c r="B8705" s="17"/>
      <c r="C8705" s="15"/>
      <c r="D8705" s="15"/>
      <c r="E8705" s="18"/>
    </row>
    <row r="8706" spans="2:5" x14ac:dyDescent="0.4">
      <c r="B8706" s="17"/>
      <c r="C8706" s="15"/>
      <c r="D8706" s="15"/>
      <c r="E8706" s="18"/>
    </row>
    <row r="8707" spans="2:5" x14ac:dyDescent="0.4">
      <c r="B8707" s="17"/>
      <c r="C8707" s="15"/>
      <c r="D8707" s="15"/>
      <c r="E8707" s="18"/>
    </row>
    <row r="8708" spans="2:5" x14ac:dyDescent="0.4">
      <c r="B8708" s="17"/>
      <c r="C8708" s="15"/>
      <c r="D8708" s="15"/>
      <c r="E8708" s="18"/>
    </row>
    <row r="8709" spans="2:5" x14ac:dyDescent="0.4">
      <c r="B8709" s="17"/>
      <c r="C8709" s="15"/>
      <c r="D8709" s="15"/>
      <c r="E8709" s="18"/>
    </row>
    <row r="8710" spans="2:5" x14ac:dyDescent="0.4">
      <c r="B8710" s="17"/>
      <c r="C8710" s="15"/>
      <c r="D8710" s="15"/>
      <c r="E8710" s="18"/>
    </row>
    <row r="8711" spans="2:5" x14ac:dyDescent="0.4">
      <c r="B8711" s="17"/>
      <c r="C8711" s="15"/>
      <c r="D8711" s="15"/>
      <c r="E8711" s="18"/>
    </row>
    <row r="8712" spans="2:5" x14ac:dyDescent="0.4">
      <c r="B8712" s="17"/>
      <c r="C8712" s="15"/>
      <c r="D8712" s="15"/>
      <c r="E8712" s="18"/>
    </row>
    <row r="8713" spans="2:5" x14ac:dyDescent="0.4">
      <c r="B8713" s="17"/>
      <c r="C8713" s="15"/>
      <c r="D8713" s="15"/>
      <c r="E8713" s="18"/>
    </row>
    <row r="8714" spans="2:5" x14ac:dyDescent="0.4">
      <c r="B8714" s="17"/>
      <c r="C8714" s="15"/>
      <c r="D8714" s="15"/>
      <c r="E8714" s="18"/>
    </row>
    <row r="8715" spans="2:5" x14ac:dyDescent="0.4">
      <c r="B8715" s="17"/>
      <c r="C8715" s="15"/>
      <c r="D8715" s="15"/>
      <c r="E8715" s="18"/>
    </row>
    <row r="8716" spans="2:5" x14ac:dyDescent="0.4">
      <c r="B8716" s="17"/>
      <c r="C8716" s="15"/>
      <c r="D8716" s="15"/>
      <c r="E8716" s="18"/>
    </row>
    <row r="8717" spans="2:5" x14ac:dyDescent="0.4">
      <c r="B8717" s="17"/>
      <c r="C8717" s="15"/>
      <c r="D8717" s="15"/>
      <c r="E8717" s="18"/>
    </row>
    <row r="8718" spans="2:5" x14ac:dyDescent="0.4">
      <c r="B8718" s="17"/>
      <c r="C8718" s="15"/>
      <c r="D8718" s="15"/>
      <c r="E8718" s="18"/>
    </row>
    <row r="8719" spans="2:5" x14ac:dyDescent="0.4">
      <c r="B8719" s="17"/>
      <c r="C8719" s="15"/>
      <c r="D8719" s="15"/>
      <c r="E8719" s="18"/>
    </row>
    <row r="8720" spans="2:5" x14ac:dyDescent="0.4">
      <c r="B8720" s="17"/>
      <c r="C8720" s="15"/>
      <c r="D8720" s="15"/>
      <c r="E8720" s="18"/>
    </row>
    <row r="8721" spans="2:5" x14ac:dyDescent="0.4">
      <c r="B8721" s="17"/>
      <c r="C8721" s="15"/>
      <c r="D8721" s="15"/>
      <c r="E8721" s="18"/>
    </row>
    <row r="8722" spans="2:5" x14ac:dyDescent="0.4">
      <c r="B8722" s="17"/>
      <c r="C8722" s="15"/>
      <c r="D8722" s="15"/>
      <c r="E8722" s="18"/>
    </row>
    <row r="8723" spans="2:5" x14ac:dyDescent="0.4">
      <c r="B8723" s="17"/>
      <c r="C8723" s="15"/>
      <c r="D8723" s="15"/>
      <c r="E8723" s="18"/>
    </row>
    <row r="8724" spans="2:5" x14ac:dyDescent="0.4">
      <c r="B8724" s="17"/>
      <c r="C8724" s="15"/>
      <c r="D8724" s="15"/>
      <c r="E8724" s="18"/>
    </row>
    <row r="8725" spans="2:5" x14ac:dyDescent="0.4">
      <c r="B8725" s="17"/>
      <c r="C8725" s="15"/>
      <c r="D8725" s="15"/>
      <c r="E8725" s="18"/>
    </row>
    <row r="8726" spans="2:5" x14ac:dyDescent="0.4">
      <c r="B8726" s="17"/>
      <c r="C8726" s="15"/>
      <c r="D8726" s="15"/>
      <c r="E8726" s="18"/>
    </row>
    <row r="8727" spans="2:5" x14ac:dyDescent="0.4">
      <c r="B8727" s="17"/>
      <c r="C8727" s="15"/>
      <c r="D8727" s="15"/>
      <c r="E8727" s="18"/>
    </row>
    <row r="8728" spans="2:5" x14ac:dyDescent="0.4">
      <c r="B8728" s="17"/>
      <c r="C8728" s="15"/>
      <c r="D8728" s="15"/>
      <c r="E8728" s="18"/>
    </row>
    <row r="8729" spans="2:5" x14ac:dyDescent="0.4">
      <c r="B8729" s="17"/>
      <c r="C8729" s="15"/>
      <c r="D8729" s="15"/>
      <c r="E8729" s="18"/>
    </row>
    <row r="8730" spans="2:5" x14ac:dyDescent="0.4">
      <c r="B8730" s="17"/>
      <c r="C8730" s="15"/>
      <c r="D8730" s="15"/>
      <c r="E8730" s="18"/>
    </row>
    <row r="8731" spans="2:5" x14ac:dyDescent="0.4">
      <c r="B8731" s="17"/>
      <c r="C8731" s="15"/>
      <c r="D8731" s="15"/>
      <c r="E8731" s="18"/>
    </row>
    <row r="8732" spans="2:5" x14ac:dyDescent="0.4">
      <c r="B8732" s="17"/>
      <c r="C8732" s="15"/>
      <c r="D8732" s="15"/>
      <c r="E8732" s="18"/>
    </row>
    <row r="8733" spans="2:5" x14ac:dyDescent="0.4">
      <c r="B8733" s="17"/>
      <c r="C8733" s="15"/>
      <c r="D8733" s="15"/>
      <c r="E8733" s="18"/>
    </row>
    <row r="8734" spans="2:5" x14ac:dyDescent="0.4">
      <c r="B8734" s="17"/>
      <c r="C8734" s="15"/>
      <c r="D8734" s="15"/>
      <c r="E8734" s="18"/>
    </row>
    <row r="8735" spans="2:5" x14ac:dyDescent="0.4">
      <c r="B8735" s="17"/>
      <c r="C8735" s="15"/>
      <c r="D8735" s="15"/>
      <c r="E8735" s="18"/>
    </row>
    <row r="8736" spans="2:5" x14ac:dyDescent="0.4">
      <c r="B8736" s="17"/>
      <c r="C8736" s="15"/>
      <c r="D8736" s="15"/>
      <c r="E8736" s="18"/>
    </row>
    <row r="8737" spans="2:5" x14ac:dyDescent="0.4">
      <c r="B8737" s="17"/>
      <c r="C8737" s="15"/>
      <c r="D8737" s="15"/>
      <c r="E8737" s="18"/>
    </row>
    <row r="8738" spans="2:5" x14ac:dyDescent="0.4">
      <c r="B8738" s="17"/>
      <c r="C8738" s="15"/>
      <c r="D8738" s="15"/>
      <c r="E8738" s="18"/>
    </row>
    <row r="8739" spans="2:5" x14ac:dyDescent="0.4">
      <c r="B8739" s="17"/>
      <c r="C8739" s="15"/>
      <c r="D8739" s="15"/>
      <c r="E8739" s="18"/>
    </row>
    <row r="8740" spans="2:5" x14ac:dyDescent="0.4">
      <c r="B8740" s="17"/>
      <c r="C8740" s="15"/>
      <c r="D8740" s="15"/>
      <c r="E8740" s="18"/>
    </row>
    <row r="8741" spans="2:5" x14ac:dyDescent="0.4">
      <c r="B8741" s="17"/>
      <c r="C8741" s="15"/>
      <c r="D8741" s="15"/>
      <c r="E8741" s="18"/>
    </row>
    <row r="8742" spans="2:5" x14ac:dyDescent="0.4">
      <c r="B8742" s="17"/>
      <c r="C8742" s="15"/>
      <c r="D8742" s="15"/>
      <c r="E8742" s="18"/>
    </row>
    <row r="8743" spans="2:5" x14ac:dyDescent="0.4">
      <c r="B8743" s="17"/>
      <c r="C8743" s="15"/>
      <c r="D8743" s="15"/>
      <c r="E8743" s="18"/>
    </row>
    <row r="8744" spans="2:5" x14ac:dyDescent="0.4">
      <c r="B8744" s="17"/>
      <c r="C8744" s="15"/>
      <c r="D8744" s="15"/>
      <c r="E8744" s="18"/>
    </row>
    <row r="8745" spans="2:5" x14ac:dyDescent="0.4">
      <c r="B8745" s="17"/>
      <c r="C8745" s="15"/>
      <c r="D8745" s="15"/>
      <c r="E8745" s="18"/>
    </row>
    <row r="8746" spans="2:5" x14ac:dyDescent="0.4">
      <c r="B8746" s="17"/>
      <c r="C8746" s="15"/>
      <c r="D8746" s="15"/>
      <c r="E8746" s="18"/>
    </row>
    <row r="8747" spans="2:5" x14ac:dyDescent="0.4">
      <c r="B8747" s="17"/>
      <c r="C8747" s="15"/>
      <c r="D8747" s="15"/>
      <c r="E8747" s="18"/>
    </row>
    <row r="8748" spans="2:5" x14ac:dyDescent="0.4">
      <c r="B8748" s="17"/>
      <c r="C8748" s="15"/>
      <c r="D8748" s="15"/>
      <c r="E8748" s="18"/>
    </row>
    <row r="8749" spans="2:5" x14ac:dyDescent="0.4">
      <c r="B8749" s="17"/>
      <c r="C8749" s="15"/>
      <c r="D8749" s="15"/>
      <c r="E8749" s="18"/>
    </row>
    <row r="8750" spans="2:5" x14ac:dyDescent="0.4">
      <c r="B8750" s="17"/>
      <c r="C8750" s="15"/>
      <c r="D8750" s="15"/>
      <c r="E8750" s="18"/>
    </row>
    <row r="8751" spans="2:5" x14ac:dyDescent="0.4">
      <c r="B8751" s="17"/>
      <c r="C8751" s="15"/>
      <c r="D8751" s="15"/>
      <c r="E8751" s="18"/>
    </row>
    <row r="8752" spans="2:5" x14ac:dyDescent="0.4">
      <c r="B8752" s="17"/>
      <c r="C8752" s="15"/>
      <c r="D8752" s="15"/>
      <c r="E8752" s="18"/>
    </row>
    <row r="8753" spans="2:5" x14ac:dyDescent="0.4">
      <c r="B8753" s="17"/>
      <c r="C8753" s="15"/>
      <c r="D8753" s="15"/>
      <c r="E8753" s="18"/>
    </row>
    <row r="8754" spans="2:5" x14ac:dyDescent="0.4">
      <c r="B8754" s="17"/>
      <c r="C8754" s="15"/>
      <c r="D8754" s="15"/>
      <c r="E8754" s="18"/>
    </row>
    <row r="8755" spans="2:5" x14ac:dyDescent="0.4">
      <c r="B8755" s="17"/>
      <c r="C8755" s="15"/>
      <c r="D8755" s="15"/>
      <c r="E8755" s="18"/>
    </row>
    <row r="8756" spans="2:5" x14ac:dyDescent="0.4">
      <c r="B8756" s="17"/>
      <c r="C8756" s="15"/>
      <c r="D8756" s="15"/>
      <c r="E8756" s="18"/>
    </row>
    <row r="8757" spans="2:5" x14ac:dyDescent="0.4">
      <c r="B8757" s="17"/>
      <c r="C8757" s="15"/>
      <c r="D8757" s="15"/>
      <c r="E8757" s="18"/>
    </row>
    <row r="8758" spans="2:5" x14ac:dyDescent="0.4">
      <c r="B8758" s="17"/>
      <c r="C8758" s="15"/>
      <c r="D8758" s="15"/>
      <c r="E8758" s="18"/>
    </row>
    <row r="8759" spans="2:5" x14ac:dyDescent="0.4">
      <c r="B8759" s="17"/>
      <c r="C8759" s="15"/>
      <c r="D8759" s="15"/>
      <c r="E8759" s="18"/>
    </row>
    <row r="8760" spans="2:5" x14ac:dyDescent="0.4">
      <c r="B8760" s="17"/>
      <c r="C8760" s="15"/>
      <c r="D8760" s="15"/>
      <c r="E8760" s="18"/>
    </row>
    <row r="8761" spans="2:5" x14ac:dyDescent="0.4">
      <c r="B8761" s="17"/>
      <c r="C8761" s="15"/>
      <c r="D8761" s="15"/>
      <c r="E8761" s="18"/>
    </row>
    <row r="8762" spans="2:5" x14ac:dyDescent="0.4">
      <c r="B8762" s="17"/>
      <c r="C8762" s="15"/>
      <c r="D8762" s="15"/>
      <c r="E8762" s="18"/>
    </row>
    <row r="8763" spans="2:5" x14ac:dyDescent="0.4">
      <c r="B8763" s="17"/>
      <c r="C8763" s="15"/>
      <c r="D8763" s="15"/>
      <c r="E8763" s="18"/>
    </row>
    <row r="8764" spans="2:5" x14ac:dyDescent="0.4">
      <c r="B8764" s="17"/>
      <c r="C8764" s="15"/>
      <c r="D8764" s="15"/>
      <c r="E8764" s="18"/>
    </row>
    <row r="8765" spans="2:5" x14ac:dyDescent="0.4">
      <c r="B8765" s="17"/>
      <c r="C8765" s="15"/>
      <c r="D8765" s="15"/>
      <c r="E8765" s="18"/>
    </row>
    <row r="8766" spans="2:5" x14ac:dyDescent="0.4">
      <c r="B8766" s="17"/>
      <c r="C8766" s="15"/>
      <c r="D8766" s="15"/>
      <c r="E8766" s="18"/>
    </row>
    <row r="8767" spans="2:5" x14ac:dyDescent="0.4">
      <c r="B8767" s="17"/>
      <c r="C8767" s="15"/>
      <c r="D8767" s="15"/>
      <c r="E8767" s="18"/>
    </row>
    <row r="8768" spans="2:5" x14ac:dyDescent="0.4">
      <c r="B8768" s="17"/>
      <c r="C8768" s="15"/>
      <c r="D8768" s="15"/>
      <c r="E8768" s="18"/>
    </row>
    <row r="8769" spans="2:5" x14ac:dyDescent="0.4">
      <c r="B8769" s="17"/>
      <c r="C8769" s="15"/>
      <c r="D8769" s="15"/>
      <c r="E8769" s="18"/>
    </row>
    <row r="8770" spans="2:5" x14ac:dyDescent="0.4">
      <c r="B8770" s="17"/>
      <c r="C8770" s="15"/>
      <c r="D8770" s="15"/>
      <c r="E8770" s="18"/>
    </row>
    <row r="8771" spans="2:5" x14ac:dyDescent="0.4">
      <c r="B8771" s="17"/>
      <c r="C8771" s="15"/>
      <c r="D8771" s="15"/>
      <c r="E8771" s="18"/>
    </row>
    <row r="8772" spans="2:5" x14ac:dyDescent="0.4">
      <c r="B8772" s="17"/>
      <c r="C8772" s="15"/>
      <c r="D8772" s="15"/>
      <c r="E8772" s="18"/>
    </row>
    <row r="8773" spans="2:5" x14ac:dyDescent="0.4">
      <c r="B8773" s="17"/>
      <c r="C8773" s="15"/>
      <c r="D8773" s="15"/>
      <c r="E8773" s="18"/>
    </row>
    <row r="8774" spans="2:5" x14ac:dyDescent="0.4">
      <c r="B8774" s="17"/>
      <c r="C8774" s="15"/>
      <c r="D8774" s="15"/>
      <c r="E8774" s="18"/>
    </row>
    <row r="8775" spans="2:5" x14ac:dyDescent="0.4">
      <c r="B8775" s="17"/>
      <c r="C8775" s="15"/>
      <c r="D8775" s="15"/>
      <c r="E8775" s="18"/>
    </row>
    <row r="8776" spans="2:5" x14ac:dyDescent="0.4">
      <c r="B8776" s="17"/>
      <c r="C8776" s="15"/>
      <c r="D8776" s="15"/>
      <c r="E8776" s="18"/>
    </row>
    <row r="8777" spans="2:5" x14ac:dyDescent="0.4">
      <c r="B8777" s="17"/>
      <c r="C8777" s="15"/>
      <c r="D8777" s="15"/>
      <c r="E8777" s="18"/>
    </row>
    <row r="8778" spans="2:5" x14ac:dyDescent="0.4">
      <c r="B8778" s="17"/>
      <c r="C8778" s="15"/>
      <c r="D8778" s="15"/>
      <c r="E8778" s="18"/>
    </row>
    <row r="8779" spans="2:5" x14ac:dyDescent="0.4">
      <c r="B8779" s="17"/>
      <c r="C8779" s="15"/>
      <c r="D8779" s="15"/>
      <c r="E8779" s="18"/>
    </row>
    <row r="8780" spans="2:5" x14ac:dyDescent="0.4">
      <c r="B8780" s="17"/>
      <c r="C8780" s="15"/>
      <c r="D8780" s="15"/>
      <c r="E8780" s="18"/>
    </row>
    <row r="8781" spans="2:5" x14ac:dyDescent="0.4">
      <c r="B8781" s="17"/>
      <c r="C8781" s="15"/>
      <c r="D8781" s="15"/>
      <c r="E8781" s="18"/>
    </row>
    <row r="8782" spans="2:5" x14ac:dyDescent="0.4">
      <c r="B8782" s="17"/>
      <c r="C8782" s="15"/>
      <c r="D8782" s="15"/>
      <c r="E8782" s="18"/>
    </row>
    <row r="8783" spans="2:5" x14ac:dyDescent="0.4">
      <c r="B8783" s="17"/>
      <c r="C8783" s="15"/>
      <c r="D8783" s="15"/>
      <c r="E8783" s="18"/>
    </row>
    <row r="8784" spans="2:5" x14ac:dyDescent="0.4">
      <c r="B8784" s="17"/>
      <c r="C8784" s="15"/>
      <c r="D8784" s="15"/>
      <c r="E8784" s="18"/>
    </row>
    <row r="8785" spans="2:5" x14ac:dyDescent="0.4">
      <c r="B8785" s="17"/>
      <c r="C8785" s="15"/>
      <c r="D8785" s="15"/>
      <c r="E8785" s="18"/>
    </row>
    <row r="8786" spans="2:5" x14ac:dyDescent="0.4">
      <c r="B8786" s="17"/>
      <c r="C8786" s="15"/>
      <c r="D8786" s="15"/>
      <c r="E8786" s="18"/>
    </row>
    <row r="8787" spans="2:5" x14ac:dyDescent="0.4">
      <c r="B8787" s="17"/>
      <c r="C8787" s="15"/>
      <c r="D8787" s="15"/>
      <c r="E8787" s="18"/>
    </row>
    <row r="8788" spans="2:5" x14ac:dyDescent="0.4">
      <c r="B8788" s="17"/>
      <c r="C8788" s="15"/>
      <c r="D8788" s="15"/>
      <c r="E8788" s="18"/>
    </row>
    <row r="8789" spans="2:5" x14ac:dyDescent="0.4">
      <c r="B8789" s="17"/>
      <c r="C8789" s="15"/>
      <c r="D8789" s="15"/>
      <c r="E8789" s="18"/>
    </row>
    <row r="8790" spans="2:5" x14ac:dyDescent="0.4">
      <c r="B8790" s="17"/>
      <c r="C8790" s="15"/>
      <c r="D8790" s="15"/>
      <c r="E8790" s="18"/>
    </row>
    <row r="8791" spans="2:5" x14ac:dyDescent="0.4">
      <c r="B8791" s="17"/>
      <c r="C8791" s="15"/>
      <c r="D8791" s="15"/>
      <c r="E8791" s="18"/>
    </row>
    <row r="8792" spans="2:5" x14ac:dyDescent="0.4">
      <c r="B8792" s="17"/>
      <c r="C8792" s="15"/>
      <c r="D8792" s="15"/>
      <c r="E8792" s="18"/>
    </row>
    <row r="8793" spans="2:5" x14ac:dyDescent="0.4">
      <c r="B8793" s="17"/>
      <c r="C8793" s="15"/>
      <c r="D8793" s="15"/>
      <c r="E8793" s="18"/>
    </row>
    <row r="8794" spans="2:5" x14ac:dyDescent="0.4">
      <c r="B8794" s="17"/>
      <c r="C8794" s="15"/>
      <c r="D8794" s="15"/>
      <c r="E8794" s="18"/>
    </row>
    <row r="8795" spans="2:5" x14ac:dyDescent="0.4">
      <c r="B8795" s="17"/>
      <c r="C8795" s="15"/>
      <c r="D8795" s="15"/>
      <c r="E8795" s="18"/>
    </row>
    <row r="8796" spans="2:5" x14ac:dyDescent="0.4">
      <c r="B8796" s="17"/>
      <c r="C8796" s="15"/>
      <c r="D8796" s="15"/>
      <c r="E8796" s="18"/>
    </row>
    <row r="8797" spans="2:5" x14ac:dyDescent="0.4">
      <c r="B8797" s="17"/>
      <c r="C8797" s="15"/>
      <c r="D8797" s="15"/>
      <c r="E8797" s="18"/>
    </row>
    <row r="8798" spans="2:5" x14ac:dyDescent="0.4">
      <c r="B8798" s="17"/>
      <c r="C8798" s="15"/>
      <c r="D8798" s="15"/>
      <c r="E8798" s="18"/>
    </row>
    <row r="8799" spans="2:5" x14ac:dyDescent="0.4">
      <c r="B8799" s="17"/>
      <c r="C8799" s="15"/>
      <c r="D8799" s="15"/>
      <c r="E8799" s="18"/>
    </row>
    <row r="8800" spans="2:5" x14ac:dyDescent="0.4">
      <c r="B8800" s="17"/>
      <c r="C8800" s="15"/>
      <c r="D8800" s="15"/>
      <c r="E8800" s="18"/>
    </row>
    <row r="8801" spans="2:5" x14ac:dyDescent="0.4">
      <c r="B8801" s="17"/>
      <c r="C8801" s="15"/>
      <c r="D8801" s="15"/>
      <c r="E8801" s="18"/>
    </row>
    <row r="8802" spans="2:5" x14ac:dyDescent="0.4">
      <c r="B8802" s="17"/>
      <c r="C8802" s="15"/>
      <c r="D8802" s="15"/>
      <c r="E8802" s="18"/>
    </row>
    <row r="8803" spans="2:5" x14ac:dyDescent="0.4">
      <c r="B8803" s="17"/>
      <c r="C8803" s="15"/>
      <c r="D8803" s="15"/>
      <c r="E8803" s="18"/>
    </row>
    <row r="8804" spans="2:5" x14ac:dyDescent="0.4">
      <c r="B8804" s="17"/>
      <c r="C8804" s="15"/>
      <c r="D8804" s="15"/>
      <c r="E8804" s="18"/>
    </row>
    <row r="8805" spans="2:5" x14ac:dyDescent="0.4">
      <c r="B8805" s="17"/>
      <c r="C8805" s="15"/>
      <c r="D8805" s="15"/>
      <c r="E8805" s="18"/>
    </row>
    <row r="8806" spans="2:5" x14ac:dyDescent="0.4">
      <c r="B8806" s="17"/>
      <c r="C8806" s="15"/>
      <c r="D8806" s="15"/>
      <c r="E8806" s="18"/>
    </row>
    <row r="8807" spans="2:5" x14ac:dyDescent="0.4">
      <c r="B8807" s="17"/>
      <c r="C8807" s="15"/>
      <c r="D8807" s="15"/>
      <c r="E8807" s="18"/>
    </row>
    <row r="8808" spans="2:5" x14ac:dyDescent="0.4">
      <c r="B8808" s="17"/>
      <c r="C8808" s="15"/>
      <c r="D8808" s="15"/>
      <c r="E8808" s="18"/>
    </row>
    <row r="8809" spans="2:5" x14ac:dyDescent="0.4">
      <c r="B8809" s="17"/>
      <c r="C8809" s="15"/>
      <c r="D8809" s="15"/>
      <c r="E8809" s="18"/>
    </row>
    <row r="8810" spans="2:5" x14ac:dyDescent="0.4">
      <c r="B8810" s="17"/>
      <c r="C8810" s="15"/>
      <c r="D8810" s="15"/>
      <c r="E8810" s="18"/>
    </row>
    <row r="8811" spans="2:5" x14ac:dyDescent="0.4">
      <c r="B8811" s="17"/>
      <c r="C8811" s="15"/>
      <c r="D8811" s="15"/>
      <c r="E8811" s="18"/>
    </row>
    <row r="8812" spans="2:5" x14ac:dyDescent="0.4">
      <c r="B8812" s="17"/>
      <c r="C8812" s="15"/>
      <c r="D8812" s="15"/>
      <c r="E8812" s="18"/>
    </row>
    <row r="8813" spans="2:5" x14ac:dyDescent="0.4">
      <c r="B8813" s="17"/>
      <c r="C8813" s="15"/>
      <c r="D8813" s="15"/>
      <c r="E8813" s="18"/>
    </row>
    <row r="8814" spans="2:5" x14ac:dyDescent="0.4">
      <c r="B8814" s="17"/>
      <c r="C8814" s="15"/>
      <c r="D8814" s="15"/>
      <c r="E8814" s="18"/>
    </row>
    <row r="8815" spans="2:5" x14ac:dyDescent="0.4">
      <c r="B8815" s="17"/>
      <c r="C8815" s="15"/>
      <c r="D8815" s="15"/>
      <c r="E8815" s="18"/>
    </row>
    <row r="8816" spans="2:5" x14ac:dyDescent="0.4">
      <c r="B8816" s="17"/>
      <c r="C8816" s="15"/>
      <c r="D8816" s="15"/>
      <c r="E8816" s="18"/>
    </row>
    <row r="8817" spans="2:5" x14ac:dyDescent="0.4">
      <c r="B8817" s="17"/>
      <c r="C8817" s="15"/>
      <c r="D8817" s="15"/>
      <c r="E8817" s="18"/>
    </row>
    <row r="8818" spans="2:5" x14ac:dyDescent="0.4">
      <c r="B8818" s="17"/>
      <c r="C8818" s="15"/>
      <c r="D8818" s="15"/>
      <c r="E8818" s="18"/>
    </row>
    <row r="8819" spans="2:5" x14ac:dyDescent="0.4">
      <c r="B8819" s="17"/>
      <c r="C8819" s="15"/>
      <c r="D8819" s="15"/>
      <c r="E8819" s="18"/>
    </row>
    <row r="8820" spans="2:5" x14ac:dyDescent="0.4">
      <c r="B8820" s="17"/>
      <c r="C8820" s="15"/>
      <c r="D8820" s="15"/>
      <c r="E8820" s="18"/>
    </row>
    <row r="8821" spans="2:5" x14ac:dyDescent="0.4">
      <c r="B8821" s="17"/>
      <c r="C8821" s="15"/>
      <c r="D8821" s="15"/>
      <c r="E8821" s="18"/>
    </row>
    <row r="8822" spans="2:5" x14ac:dyDescent="0.4">
      <c r="B8822" s="17"/>
      <c r="C8822" s="15"/>
      <c r="D8822" s="15"/>
      <c r="E8822" s="18"/>
    </row>
    <row r="8823" spans="2:5" x14ac:dyDescent="0.4">
      <c r="B8823" s="17"/>
      <c r="C8823" s="15"/>
      <c r="D8823" s="15"/>
      <c r="E8823" s="18"/>
    </row>
    <row r="8824" spans="2:5" x14ac:dyDescent="0.4">
      <c r="B8824" s="17"/>
      <c r="C8824" s="15"/>
      <c r="D8824" s="15"/>
      <c r="E8824" s="18"/>
    </row>
    <row r="8825" spans="2:5" x14ac:dyDescent="0.4">
      <c r="B8825" s="17"/>
      <c r="C8825" s="15"/>
      <c r="D8825" s="15"/>
      <c r="E8825" s="18"/>
    </row>
    <row r="8826" spans="2:5" x14ac:dyDescent="0.4">
      <c r="B8826" s="17"/>
      <c r="C8826" s="15"/>
      <c r="D8826" s="15"/>
      <c r="E8826" s="18"/>
    </row>
    <row r="8827" spans="2:5" x14ac:dyDescent="0.4">
      <c r="B8827" s="17"/>
      <c r="C8827" s="15"/>
      <c r="D8827" s="15"/>
      <c r="E8827" s="18"/>
    </row>
    <row r="8828" spans="2:5" x14ac:dyDescent="0.4">
      <c r="B8828" s="17"/>
      <c r="C8828" s="15"/>
      <c r="D8828" s="15"/>
      <c r="E8828" s="18"/>
    </row>
    <row r="8829" spans="2:5" x14ac:dyDescent="0.4">
      <c r="B8829" s="17"/>
      <c r="C8829" s="15"/>
      <c r="D8829" s="15"/>
      <c r="E8829" s="18"/>
    </row>
    <row r="8830" spans="2:5" x14ac:dyDescent="0.4">
      <c r="B8830" s="17"/>
      <c r="C8830" s="15"/>
      <c r="D8830" s="15"/>
      <c r="E8830" s="18"/>
    </row>
    <row r="8831" spans="2:5" x14ac:dyDescent="0.4">
      <c r="B8831" s="17"/>
      <c r="C8831" s="15"/>
      <c r="D8831" s="15"/>
      <c r="E8831" s="18"/>
    </row>
    <row r="8832" spans="2:5" x14ac:dyDescent="0.4">
      <c r="B8832" s="17"/>
      <c r="C8832" s="15"/>
      <c r="D8832" s="15"/>
      <c r="E8832" s="18"/>
    </row>
    <row r="8833" spans="2:5" x14ac:dyDescent="0.4">
      <c r="B8833" s="17"/>
      <c r="C8833" s="15"/>
      <c r="D8833" s="15"/>
      <c r="E8833" s="18"/>
    </row>
    <row r="8834" spans="2:5" x14ac:dyDescent="0.4">
      <c r="B8834" s="17"/>
      <c r="C8834" s="15"/>
      <c r="D8834" s="15"/>
      <c r="E8834" s="18"/>
    </row>
    <row r="8835" spans="2:5" x14ac:dyDescent="0.4">
      <c r="B8835" s="17"/>
      <c r="C8835" s="15"/>
      <c r="D8835" s="15"/>
      <c r="E8835" s="18"/>
    </row>
    <row r="8836" spans="2:5" x14ac:dyDescent="0.4">
      <c r="B8836" s="17"/>
      <c r="C8836" s="15"/>
      <c r="D8836" s="15"/>
      <c r="E8836" s="18"/>
    </row>
    <row r="8837" spans="2:5" x14ac:dyDescent="0.4">
      <c r="B8837" s="17"/>
      <c r="C8837" s="15"/>
      <c r="D8837" s="15"/>
      <c r="E8837" s="18"/>
    </row>
    <row r="8838" spans="2:5" x14ac:dyDescent="0.4">
      <c r="B8838" s="17"/>
      <c r="C8838" s="15"/>
      <c r="D8838" s="15"/>
      <c r="E8838" s="18"/>
    </row>
    <row r="8839" spans="2:5" x14ac:dyDescent="0.4">
      <c r="B8839" s="17"/>
      <c r="C8839" s="15"/>
      <c r="D8839" s="15"/>
      <c r="E8839" s="18"/>
    </row>
    <row r="8840" spans="2:5" x14ac:dyDescent="0.4">
      <c r="B8840" s="17"/>
      <c r="C8840" s="15"/>
      <c r="D8840" s="15"/>
      <c r="E8840" s="18"/>
    </row>
    <row r="8841" spans="2:5" x14ac:dyDescent="0.4">
      <c r="B8841" s="17"/>
      <c r="C8841" s="15"/>
      <c r="D8841" s="15"/>
      <c r="E8841" s="18"/>
    </row>
    <row r="8842" spans="2:5" x14ac:dyDescent="0.4">
      <c r="B8842" s="17"/>
      <c r="C8842" s="15"/>
      <c r="D8842" s="15"/>
      <c r="E8842" s="18"/>
    </row>
    <row r="8843" spans="2:5" x14ac:dyDescent="0.4">
      <c r="B8843" s="17"/>
      <c r="C8843" s="15"/>
      <c r="D8843" s="15"/>
      <c r="E8843" s="18"/>
    </row>
    <row r="8844" spans="2:5" x14ac:dyDescent="0.4">
      <c r="B8844" s="17"/>
      <c r="C8844" s="15"/>
      <c r="D8844" s="15"/>
      <c r="E8844" s="18"/>
    </row>
    <row r="8845" spans="2:5" x14ac:dyDescent="0.4">
      <c r="B8845" s="17"/>
      <c r="C8845" s="15"/>
      <c r="D8845" s="15"/>
      <c r="E8845" s="18"/>
    </row>
    <row r="8846" spans="2:5" x14ac:dyDescent="0.4">
      <c r="B8846" s="17"/>
      <c r="C8846" s="15"/>
      <c r="D8846" s="15"/>
      <c r="E8846" s="18"/>
    </row>
    <row r="8847" spans="2:5" x14ac:dyDescent="0.4">
      <c r="B8847" s="17"/>
      <c r="C8847" s="15"/>
      <c r="D8847" s="15"/>
      <c r="E8847" s="18"/>
    </row>
    <row r="8848" spans="2:5" x14ac:dyDescent="0.4">
      <c r="B8848" s="17"/>
      <c r="C8848" s="15"/>
      <c r="D8848" s="15"/>
      <c r="E8848" s="18"/>
    </row>
    <row r="8849" spans="2:5" x14ac:dyDescent="0.4">
      <c r="B8849" s="17"/>
      <c r="C8849" s="15"/>
      <c r="D8849" s="15"/>
      <c r="E8849" s="18"/>
    </row>
    <row r="8850" spans="2:5" x14ac:dyDescent="0.4">
      <c r="B8850" s="17"/>
      <c r="C8850" s="15"/>
      <c r="D8850" s="15"/>
      <c r="E8850" s="18"/>
    </row>
    <row r="8851" spans="2:5" x14ac:dyDescent="0.4">
      <c r="B8851" s="17"/>
      <c r="C8851" s="15"/>
      <c r="D8851" s="15"/>
      <c r="E8851" s="18"/>
    </row>
    <row r="8852" spans="2:5" x14ac:dyDescent="0.4">
      <c r="B8852" s="17"/>
      <c r="C8852" s="15"/>
      <c r="D8852" s="15"/>
      <c r="E8852" s="18"/>
    </row>
    <row r="8853" spans="2:5" x14ac:dyDescent="0.4">
      <c r="B8853" s="17"/>
      <c r="C8853" s="15"/>
      <c r="D8853" s="15"/>
      <c r="E8853" s="18"/>
    </row>
    <row r="8854" spans="2:5" x14ac:dyDescent="0.4">
      <c r="B8854" s="17"/>
      <c r="C8854" s="15"/>
      <c r="D8854" s="15"/>
      <c r="E8854" s="18"/>
    </row>
    <row r="8855" spans="2:5" x14ac:dyDescent="0.4">
      <c r="B8855" s="17"/>
      <c r="C8855" s="15"/>
      <c r="D8855" s="15"/>
      <c r="E8855" s="18"/>
    </row>
    <row r="8856" spans="2:5" x14ac:dyDescent="0.4">
      <c r="B8856" s="17"/>
      <c r="C8856" s="15"/>
      <c r="D8856" s="15"/>
      <c r="E8856" s="18"/>
    </row>
    <row r="8857" spans="2:5" x14ac:dyDescent="0.4">
      <c r="B8857" s="17"/>
      <c r="C8857" s="15"/>
      <c r="D8857" s="15"/>
      <c r="E8857" s="18"/>
    </row>
    <row r="8858" spans="2:5" x14ac:dyDescent="0.4">
      <c r="B8858" s="17"/>
      <c r="C8858" s="15"/>
      <c r="D8858" s="15"/>
      <c r="E8858" s="18"/>
    </row>
    <row r="8859" spans="2:5" x14ac:dyDescent="0.4">
      <c r="B8859" s="17"/>
      <c r="C8859" s="15"/>
      <c r="D8859" s="15"/>
      <c r="E8859" s="18"/>
    </row>
    <row r="8860" spans="2:5" x14ac:dyDescent="0.4">
      <c r="B8860" s="17"/>
      <c r="C8860" s="15"/>
      <c r="D8860" s="15"/>
      <c r="E8860" s="18"/>
    </row>
    <row r="8861" spans="2:5" x14ac:dyDescent="0.4">
      <c r="B8861" s="17"/>
      <c r="C8861" s="15"/>
      <c r="D8861" s="15"/>
      <c r="E8861" s="18"/>
    </row>
    <row r="8862" spans="2:5" x14ac:dyDescent="0.4">
      <c r="B8862" s="17"/>
      <c r="C8862" s="15"/>
      <c r="D8862" s="15"/>
      <c r="E8862" s="18"/>
    </row>
    <row r="8863" spans="2:5" x14ac:dyDescent="0.4">
      <c r="B8863" s="17"/>
      <c r="C8863" s="15"/>
      <c r="D8863" s="15"/>
      <c r="E8863" s="18"/>
    </row>
    <row r="8864" spans="2:5" x14ac:dyDescent="0.4">
      <c r="B8864" s="17"/>
      <c r="C8864" s="15"/>
      <c r="D8864" s="15"/>
      <c r="E8864" s="18"/>
    </row>
    <row r="8865" spans="2:5" x14ac:dyDescent="0.4">
      <c r="B8865" s="17"/>
      <c r="C8865" s="15"/>
      <c r="D8865" s="15"/>
      <c r="E8865" s="18"/>
    </row>
    <row r="8866" spans="2:5" x14ac:dyDescent="0.4">
      <c r="B8866" s="17"/>
      <c r="C8866" s="15"/>
      <c r="D8866" s="15"/>
      <c r="E8866" s="18"/>
    </row>
    <row r="8867" spans="2:5" x14ac:dyDescent="0.4">
      <c r="B8867" s="17"/>
      <c r="C8867" s="15"/>
      <c r="D8867" s="15"/>
      <c r="E8867" s="18"/>
    </row>
    <row r="8868" spans="2:5" x14ac:dyDescent="0.4">
      <c r="B8868" s="17"/>
      <c r="C8868" s="15"/>
      <c r="D8868" s="15"/>
      <c r="E8868" s="18"/>
    </row>
    <row r="8869" spans="2:5" x14ac:dyDescent="0.4">
      <c r="B8869" s="17"/>
      <c r="C8869" s="15"/>
      <c r="D8869" s="15"/>
      <c r="E8869" s="18"/>
    </row>
    <row r="8870" spans="2:5" x14ac:dyDescent="0.4">
      <c r="B8870" s="17"/>
      <c r="C8870" s="15"/>
      <c r="D8870" s="15"/>
      <c r="E8870" s="18"/>
    </row>
    <row r="8871" spans="2:5" x14ac:dyDescent="0.4">
      <c r="B8871" s="17"/>
      <c r="C8871" s="15"/>
      <c r="D8871" s="15"/>
      <c r="E8871" s="18"/>
    </row>
    <row r="8872" spans="2:5" x14ac:dyDescent="0.4">
      <c r="B8872" s="17"/>
      <c r="C8872" s="15"/>
      <c r="D8872" s="15"/>
      <c r="E8872" s="18"/>
    </row>
    <row r="8873" spans="2:5" x14ac:dyDescent="0.4">
      <c r="B8873" s="17"/>
      <c r="C8873" s="15"/>
      <c r="D8873" s="15"/>
      <c r="E8873" s="18"/>
    </row>
    <row r="8874" spans="2:5" x14ac:dyDescent="0.4">
      <c r="B8874" s="17"/>
      <c r="C8874" s="15"/>
      <c r="D8874" s="15"/>
      <c r="E8874" s="18"/>
    </row>
    <row r="8875" spans="2:5" x14ac:dyDescent="0.4">
      <c r="B8875" s="17"/>
      <c r="C8875" s="15"/>
      <c r="D8875" s="15"/>
      <c r="E8875" s="18"/>
    </row>
    <row r="8876" spans="2:5" x14ac:dyDescent="0.4">
      <c r="B8876" s="17"/>
      <c r="C8876" s="15"/>
      <c r="D8876" s="15"/>
      <c r="E8876" s="18"/>
    </row>
    <row r="8877" spans="2:5" x14ac:dyDescent="0.4">
      <c r="B8877" s="17"/>
      <c r="C8877" s="15"/>
      <c r="D8877" s="15"/>
      <c r="E8877" s="18"/>
    </row>
    <row r="8878" spans="2:5" x14ac:dyDescent="0.4">
      <c r="B8878" s="17"/>
      <c r="C8878" s="15"/>
      <c r="D8878" s="15"/>
      <c r="E8878" s="18"/>
    </row>
    <row r="8879" spans="2:5" x14ac:dyDescent="0.4">
      <c r="B8879" s="17"/>
      <c r="C8879" s="15"/>
      <c r="D8879" s="15"/>
      <c r="E8879" s="18"/>
    </row>
    <row r="8880" spans="2:5" x14ac:dyDescent="0.4">
      <c r="B8880" s="17"/>
      <c r="C8880" s="15"/>
      <c r="D8880" s="15"/>
      <c r="E8880" s="18"/>
    </row>
    <row r="8881" spans="2:5" x14ac:dyDescent="0.4">
      <c r="B8881" s="17"/>
      <c r="C8881" s="15"/>
      <c r="D8881" s="15"/>
      <c r="E8881" s="18"/>
    </row>
    <row r="8882" spans="2:5" x14ac:dyDescent="0.4">
      <c r="B8882" s="17"/>
      <c r="C8882" s="15"/>
      <c r="D8882" s="15"/>
      <c r="E8882" s="18"/>
    </row>
    <row r="8883" spans="2:5" x14ac:dyDescent="0.4">
      <c r="B8883" s="17"/>
      <c r="C8883" s="15"/>
      <c r="D8883" s="15"/>
      <c r="E8883" s="18"/>
    </row>
    <row r="8884" spans="2:5" x14ac:dyDescent="0.4">
      <c r="B8884" s="17"/>
      <c r="C8884" s="15"/>
      <c r="D8884" s="15"/>
      <c r="E8884" s="18"/>
    </row>
    <row r="8885" spans="2:5" x14ac:dyDescent="0.4">
      <c r="B8885" s="17"/>
      <c r="C8885" s="15"/>
      <c r="D8885" s="15"/>
      <c r="E8885" s="18"/>
    </row>
    <row r="8886" spans="2:5" x14ac:dyDescent="0.4">
      <c r="B8886" s="17"/>
      <c r="C8886" s="15"/>
      <c r="D8886" s="15"/>
      <c r="E8886" s="18"/>
    </row>
    <row r="8887" spans="2:5" x14ac:dyDescent="0.4">
      <c r="B8887" s="17"/>
      <c r="C8887" s="15"/>
      <c r="D8887" s="15"/>
      <c r="E8887" s="18"/>
    </row>
    <row r="8888" spans="2:5" x14ac:dyDescent="0.4">
      <c r="B8888" s="17"/>
      <c r="C8888" s="15"/>
      <c r="D8888" s="15"/>
      <c r="E8888" s="18"/>
    </row>
    <row r="8889" spans="2:5" x14ac:dyDescent="0.4">
      <c r="B8889" s="17"/>
      <c r="C8889" s="15"/>
      <c r="D8889" s="15"/>
      <c r="E8889" s="18"/>
    </row>
    <row r="8890" spans="2:5" x14ac:dyDescent="0.4">
      <c r="B8890" s="17"/>
      <c r="C8890" s="15"/>
      <c r="D8890" s="15"/>
      <c r="E8890" s="18"/>
    </row>
    <row r="8891" spans="2:5" x14ac:dyDescent="0.4">
      <c r="B8891" s="17"/>
      <c r="C8891" s="15"/>
      <c r="D8891" s="15"/>
      <c r="E8891" s="18"/>
    </row>
    <row r="8892" spans="2:5" x14ac:dyDescent="0.4">
      <c r="B8892" s="17"/>
      <c r="C8892" s="15"/>
      <c r="D8892" s="15"/>
      <c r="E8892" s="18"/>
    </row>
    <row r="8893" spans="2:5" x14ac:dyDescent="0.4">
      <c r="B8893" s="17"/>
      <c r="C8893" s="15"/>
      <c r="D8893" s="15"/>
      <c r="E8893" s="18"/>
    </row>
    <row r="8894" spans="2:5" x14ac:dyDescent="0.4">
      <c r="B8894" s="17"/>
      <c r="C8894" s="15"/>
      <c r="D8894" s="15"/>
      <c r="E8894" s="18"/>
    </row>
    <row r="8895" spans="2:5" x14ac:dyDescent="0.4">
      <c r="B8895" s="17"/>
      <c r="C8895" s="15"/>
      <c r="D8895" s="15"/>
      <c r="E8895" s="18"/>
    </row>
    <row r="8896" spans="2:5" x14ac:dyDescent="0.4">
      <c r="B8896" s="17"/>
      <c r="C8896" s="15"/>
      <c r="D8896" s="15"/>
      <c r="E8896" s="18"/>
    </row>
    <row r="8897" spans="2:5" x14ac:dyDescent="0.4">
      <c r="B8897" s="17"/>
      <c r="C8897" s="15"/>
      <c r="D8897" s="15"/>
      <c r="E8897" s="18"/>
    </row>
    <row r="8898" spans="2:5" x14ac:dyDescent="0.4">
      <c r="B8898" s="17"/>
      <c r="C8898" s="15"/>
      <c r="D8898" s="15"/>
      <c r="E8898" s="18"/>
    </row>
    <row r="8899" spans="2:5" x14ac:dyDescent="0.4">
      <c r="B8899" s="17"/>
      <c r="C8899" s="15"/>
      <c r="D8899" s="15"/>
      <c r="E8899" s="18"/>
    </row>
    <row r="8900" spans="2:5" x14ac:dyDescent="0.4">
      <c r="B8900" s="17"/>
      <c r="C8900" s="15"/>
      <c r="D8900" s="15"/>
      <c r="E8900" s="18"/>
    </row>
    <row r="8901" spans="2:5" x14ac:dyDescent="0.4">
      <c r="B8901" s="17"/>
      <c r="C8901" s="15"/>
      <c r="D8901" s="15"/>
      <c r="E8901" s="18"/>
    </row>
    <row r="8902" spans="2:5" x14ac:dyDescent="0.4">
      <c r="B8902" s="17"/>
      <c r="C8902" s="15"/>
      <c r="D8902" s="15"/>
      <c r="E8902" s="18"/>
    </row>
    <row r="8903" spans="2:5" x14ac:dyDescent="0.4">
      <c r="B8903" s="17"/>
      <c r="C8903" s="15"/>
      <c r="D8903" s="15"/>
      <c r="E8903" s="18"/>
    </row>
    <row r="8904" spans="2:5" x14ac:dyDescent="0.4">
      <c r="B8904" s="17"/>
      <c r="C8904" s="15"/>
      <c r="D8904" s="15"/>
      <c r="E8904" s="18"/>
    </row>
    <row r="8905" spans="2:5" x14ac:dyDescent="0.4">
      <c r="B8905" s="17"/>
      <c r="C8905" s="15"/>
      <c r="D8905" s="15"/>
      <c r="E8905" s="18"/>
    </row>
    <row r="8906" spans="2:5" x14ac:dyDescent="0.4">
      <c r="B8906" s="17"/>
      <c r="C8906" s="15"/>
      <c r="D8906" s="15"/>
      <c r="E8906" s="18"/>
    </row>
    <row r="8907" spans="2:5" x14ac:dyDescent="0.4">
      <c r="B8907" s="17"/>
      <c r="C8907" s="15"/>
      <c r="D8907" s="15"/>
      <c r="E8907" s="18"/>
    </row>
    <row r="8908" spans="2:5" x14ac:dyDescent="0.4">
      <c r="B8908" s="17"/>
      <c r="C8908" s="15"/>
      <c r="D8908" s="15"/>
      <c r="E8908" s="18"/>
    </row>
    <row r="8909" spans="2:5" x14ac:dyDescent="0.4">
      <c r="B8909" s="17"/>
      <c r="C8909" s="15"/>
      <c r="D8909" s="15"/>
      <c r="E8909" s="18"/>
    </row>
    <row r="8910" spans="2:5" x14ac:dyDescent="0.4">
      <c r="B8910" s="17"/>
      <c r="C8910" s="15"/>
      <c r="D8910" s="15"/>
      <c r="E8910" s="18"/>
    </row>
    <row r="8911" spans="2:5" x14ac:dyDescent="0.4">
      <c r="B8911" s="17"/>
      <c r="C8911" s="15"/>
      <c r="D8911" s="15"/>
      <c r="E8911" s="18"/>
    </row>
    <row r="8912" spans="2:5" x14ac:dyDescent="0.4">
      <c r="B8912" s="17"/>
      <c r="C8912" s="15"/>
      <c r="D8912" s="15"/>
      <c r="E8912" s="18"/>
    </row>
    <row r="8913" spans="2:5" x14ac:dyDescent="0.4">
      <c r="B8913" s="17"/>
      <c r="C8913" s="15"/>
      <c r="D8913" s="15"/>
      <c r="E8913" s="18"/>
    </row>
    <row r="8914" spans="2:5" x14ac:dyDescent="0.4">
      <c r="B8914" s="17"/>
      <c r="C8914" s="15"/>
      <c r="D8914" s="15"/>
      <c r="E8914" s="18"/>
    </row>
    <row r="8915" spans="2:5" x14ac:dyDescent="0.4">
      <c r="B8915" s="17"/>
      <c r="C8915" s="15"/>
      <c r="D8915" s="15"/>
      <c r="E8915" s="18"/>
    </row>
    <row r="8916" spans="2:5" x14ac:dyDescent="0.4">
      <c r="B8916" s="17"/>
      <c r="C8916" s="15"/>
      <c r="D8916" s="15"/>
      <c r="E8916" s="18"/>
    </row>
    <row r="8917" spans="2:5" x14ac:dyDescent="0.4">
      <c r="B8917" s="17"/>
      <c r="C8917" s="15"/>
      <c r="D8917" s="15"/>
      <c r="E8917" s="18"/>
    </row>
    <row r="8918" spans="2:5" x14ac:dyDescent="0.4">
      <c r="B8918" s="17"/>
      <c r="C8918" s="15"/>
      <c r="D8918" s="15"/>
      <c r="E8918" s="18"/>
    </row>
    <row r="8919" spans="2:5" x14ac:dyDescent="0.4">
      <c r="B8919" s="17"/>
      <c r="C8919" s="15"/>
      <c r="D8919" s="15"/>
      <c r="E8919" s="18"/>
    </row>
    <row r="8920" spans="2:5" x14ac:dyDescent="0.4">
      <c r="B8920" s="17"/>
      <c r="C8920" s="15"/>
      <c r="D8920" s="15"/>
      <c r="E8920" s="18"/>
    </row>
    <row r="8921" spans="2:5" x14ac:dyDescent="0.4">
      <c r="B8921" s="17"/>
      <c r="C8921" s="15"/>
      <c r="D8921" s="15"/>
      <c r="E8921" s="18"/>
    </row>
    <row r="8922" spans="2:5" x14ac:dyDescent="0.4">
      <c r="B8922" s="17"/>
      <c r="C8922" s="15"/>
      <c r="D8922" s="15"/>
      <c r="E8922" s="18"/>
    </row>
    <row r="8923" spans="2:5" x14ac:dyDescent="0.4">
      <c r="B8923" s="17"/>
      <c r="C8923" s="15"/>
      <c r="D8923" s="15"/>
      <c r="E8923" s="18"/>
    </row>
    <row r="8924" spans="2:5" x14ac:dyDescent="0.4">
      <c r="B8924" s="17"/>
      <c r="C8924" s="15"/>
      <c r="D8924" s="15"/>
      <c r="E8924" s="18"/>
    </row>
    <row r="8925" spans="2:5" x14ac:dyDescent="0.4">
      <c r="B8925" s="17"/>
      <c r="C8925" s="15"/>
      <c r="D8925" s="15"/>
      <c r="E8925" s="18"/>
    </row>
    <row r="8926" spans="2:5" x14ac:dyDescent="0.4">
      <c r="B8926" s="17"/>
      <c r="C8926" s="15"/>
      <c r="D8926" s="15"/>
      <c r="E8926" s="18"/>
    </row>
    <row r="8927" spans="2:5" x14ac:dyDescent="0.4">
      <c r="B8927" s="17"/>
      <c r="C8927" s="15"/>
      <c r="D8927" s="15"/>
      <c r="E8927" s="18"/>
    </row>
    <row r="8928" spans="2:5" x14ac:dyDescent="0.4">
      <c r="B8928" s="17"/>
      <c r="C8928" s="15"/>
      <c r="D8928" s="15"/>
      <c r="E8928" s="18"/>
    </row>
    <row r="8929" spans="2:5" x14ac:dyDescent="0.4">
      <c r="B8929" s="17"/>
      <c r="C8929" s="15"/>
      <c r="D8929" s="15"/>
      <c r="E8929" s="18"/>
    </row>
    <row r="8930" spans="2:5" x14ac:dyDescent="0.4">
      <c r="B8930" s="17"/>
      <c r="C8930" s="15"/>
      <c r="D8930" s="15"/>
      <c r="E8930" s="18"/>
    </row>
    <row r="8931" spans="2:5" x14ac:dyDescent="0.4">
      <c r="B8931" s="17"/>
      <c r="C8931" s="15"/>
      <c r="D8931" s="15"/>
      <c r="E8931" s="18"/>
    </row>
    <row r="8932" spans="2:5" x14ac:dyDescent="0.4">
      <c r="B8932" s="17"/>
      <c r="C8932" s="15"/>
      <c r="D8932" s="15"/>
      <c r="E8932" s="18"/>
    </row>
    <row r="8933" spans="2:5" x14ac:dyDescent="0.4">
      <c r="B8933" s="17"/>
      <c r="C8933" s="15"/>
      <c r="D8933" s="15"/>
      <c r="E8933" s="18"/>
    </row>
    <row r="8934" spans="2:5" x14ac:dyDescent="0.4">
      <c r="B8934" s="17"/>
      <c r="C8934" s="15"/>
      <c r="D8934" s="15"/>
      <c r="E8934" s="18"/>
    </row>
    <row r="8935" spans="2:5" x14ac:dyDescent="0.4">
      <c r="B8935" s="17"/>
      <c r="C8935" s="15"/>
      <c r="D8935" s="15"/>
      <c r="E8935" s="18"/>
    </row>
    <row r="8936" spans="2:5" x14ac:dyDescent="0.4">
      <c r="B8936" s="17"/>
      <c r="C8936" s="15"/>
      <c r="D8936" s="15"/>
      <c r="E8936" s="18"/>
    </row>
    <row r="8937" spans="2:5" x14ac:dyDescent="0.4">
      <c r="B8937" s="17"/>
      <c r="C8937" s="15"/>
      <c r="D8937" s="15"/>
      <c r="E8937" s="18"/>
    </row>
    <row r="8938" spans="2:5" x14ac:dyDescent="0.4">
      <c r="B8938" s="17"/>
      <c r="C8938" s="15"/>
      <c r="D8938" s="15"/>
      <c r="E8938" s="18"/>
    </row>
    <row r="8939" spans="2:5" x14ac:dyDescent="0.4">
      <c r="B8939" s="17"/>
      <c r="C8939" s="15"/>
      <c r="D8939" s="15"/>
      <c r="E8939" s="18"/>
    </row>
    <row r="8940" spans="2:5" x14ac:dyDescent="0.4">
      <c r="B8940" s="17"/>
      <c r="C8940" s="15"/>
      <c r="D8940" s="15"/>
      <c r="E8940" s="18"/>
    </row>
    <row r="8941" spans="2:5" x14ac:dyDescent="0.4">
      <c r="B8941" s="17"/>
      <c r="C8941" s="15"/>
      <c r="D8941" s="15"/>
      <c r="E8941" s="18"/>
    </row>
    <row r="8942" spans="2:5" x14ac:dyDescent="0.4">
      <c r="B8942" s="17"/>
      <c r="C8942" s="15"/>
      <c r="D8942" s="15"/>
      <c r="E8942" s="18"/>
    </row>
    <row r="8943" spans="2:5" x14ac:dyDescent="0.4">
      <c r="B8943" s="17"/>
      <c r="C8943" s="15"/>
      <c r="D8943" s="15"/>
      <c r="E8943" s="18"/>
    </row>
    <row r="8944" spans="2:5" x14ac:dyDescent="0.4">
      <c r="B8944" s="17"/>
      <c r="C8944" s="15"/>
      <c r="D8944" s="15"/>
      <c r="E8944" s="18"/>
    </row>
    <row r="8945" spans="2:5" x14ac:dyDescent="0.4">
      <c r="B8945" s="17"/>
      <c r="C8945" s="15"/>
      <c r="D8945" s="15"/>
      <c r="E8945" s="18"/>
    </row>
    <row r="8946" spans="2:5" x14ac:dyDescent="0.4">
      <c r="B8946" s="17"/>
      <c r="C8946" s="15"/>
      <c r="D8946" s="15"/>
      <c r="E8946" s="18"/>
    </row>
    <row r="8947" spans="2:5" x14ac:dyDescent="0.4">
      <c r="B8947" s="17"/>
      <c r="C8947" s="15"/>
      <c r="D8947" s="15"/>
      <c r="E8947" s="18"/>
    </row>
    <row r="8948" spans="2:5" x14ac:dyDescent="0.4">
      <c r="B8948" s="17"/>
      <c r="C8948" s="15"/>
      <c r="D8948" s="15"/>
      <c r="E8948" s="18"/>
    </row>
    <row r="8949" spans="2:5" x14ac:dyDescent="0.4">
      <c r="B8949" s="17"/>
      <c r="C8949" s="15"/>
      <c r="D8949" s="15"/>
      <c r="E8949" s="18"/>
    </row>
    <row r="8950" spans="2:5" x14ac:dyDescent="0.4">
      <c r="B8950" s="17"/>
      <c r="C8950" s="15"/>
      <c r="D8950" s="15"/>
      <c r="E8950" s="18"/>
    </row>
    <row r="8951" spans="2:5" x14ac:dyDescent="0.4">
      <c r="B8951" s="17"/>
      <c r="C8951" s="15"/>
      <c r="D8951" s="15"/>
      <c r="E8951" s="18"/>
    </row>
    <row r="8952" spans="2:5" x14ac:dyDescent="0.4">
      <c r="B8952" s="17"/>
      <c r="C8952" s="15"/>
      <c r="D8952" s="15"/>
      <c r="E8952" s="18"/>
    </row>
    <row r="8953" spans="2:5" x14ac:dyDescent="0.4">
      <c r="B8953" s="17"/>
      <c r="C8953" s="15"/>
      <c r="D8953" s="15"/>
      <c r="E8953" s="18"/>
    </row>
    <row r="8954" spans="2:5" x14ac:dyDescent="0.4">
      <c r="B8954" s="17"/>
      <c r="C8954" s="15"/>
      <c r="D8954" s="15"/>
      <c r="E8954" s="18"/>
    </row>
    <row r="8955" spans="2:5" x14ac:dyDescent="0.4">
      <c r="B8955" s="17"/>
      <c r="C8955" s="15"/>
      <c r="D8955" s="15"/>
      <c r="E8955" s="18"/>
    </row>
    <row r="8956" spans="2:5" x14ac:dyDescent="0.4">
      <c r="B8956" s="17"/>
      <c r="C8956" s="15"/>
      <c r="D8956" s="15"/>
      <c r="E8956" s="18"/>
    </row>
    <row r="8957" spans="2:5" x14ac:dyDescent="0.4">
      <c r="B8957" s="17"/>
      <c r="C8957" s="15"/>
      <c r="D8957" s="15"/>
      <c r="E8957" s="18"/>
    </row>
    <row r="8958" spans="2:5" x14ac:dyDescent="0.4">
      <c r="B8958" s="17"/>
      <c r="C8958" s="15"/>
      <c r="D8958" s="15"/>
      <c r="E8958" s="18"/>
    </row>
    <row r="8959" spans="2:5" x14ac:dyDescent="0.4">
      <c r="B8959" s="17"/>
      <c r="C8959" s="15"/>
      <c r="D8959" s="15"/>
      <c r="E8959" s="18"/>
    </row>
    <row r="8960" spans="2:5" x14ac:dyDescent="0.4">
      <c r="B8960" s="17"/>
      <c r="C8960" s="15"/>
      <c r="D8960" s="15"/>
      <c r="E8960" s="18"/>
    </row>
    <row r="8961" spans="2:5" x14ac:dyDescent="0.4">
      <c r="B8961" s="17"/>
      <c r="C8961" s="15"/>
      <c r="D8961" s="15"/>
      <c r="E8961" s="18"/>
    </row>
    <row r="8962" spans="2:5" x14ac:dyDescent="0.4">
      <c r="B8962" s="17"/>
      <c r="C8962" s="15"/>
      <c r="D8962" s="15"/>
      <c r="E8962" s="18"/>
    </row>
    <row r="8963" spans="2:5" x14ac:dyDescent="0.4">
      <c r="B8963" s="17"/>
      <c r="C8963" s="15"/>
      <c r="D8963" s="15"/>
      <c r="E8963" s="18"/>
    </row>
    <row r="8964" spans="2:5" x14ac:dyDescent="0.4">
      <c r="B8964" s="17"/>
      <c r="C8964" s="15"/>
      <c r="D8964" s="15"/>
      <c r="E8964" s="18"/>
    </row>
    <row r="8965" spans="2:5" x14ac:dyDescent="0.4">
      <c r="B8965" s="17"/>
      <c r="C8965" s="15"/>
      <c r="D8965" s="15"/>
      <c r="E8965" s="18"/>
    </row>
    <row r="8966" spans="2:5" x14ac:dyDescent="0.4">
      <c r="B8966" s="17"/>
      <c r="C8966" s="15"/>
      <c r="D8966" s="15"/>
      <c r="E8966" s="18"/>
    </row>
    <row r="8967" spans="2:5" x14ac:dyDescent="0.4">
      <c r="B8967" s="17"/>
      <c r="C8967" s="15"/>
      <c r="D8967" s="15"/>
      <c r="E8967" s="18"/>
    </row>
    <row r="8968" spans="2:5" x14ac:dyDescent="0.4">
      <c r="B8968" s="17"/>
      <c r="C8968" s="15"/>
      <c r="D8968" s="15"/>
      <c r="E8968" s="18"/>
    </row>
    <row r="8969" spans="2:5" x14ac:dyDescent="0.4">
      <c r="B8969" s="17"/>
      <c r="C8969" s="15"/>
      <c r="D8969" s="15"/>
      <c r="E8969" s="18"/>
    </row>
    <row r="8970" spans="2:5" x14ac:dyDescent="0.4">
      <c r="B8970" s="17"/>
      <c r="C8970" s="15"/>
      <c r="D8970" s="15"/>
      <c r="E8970" s="18"/>
    </row>
    <row r="8971" spans="2:5" x14ac:dyDescent="0.4">
      <c r="B8971" s="17"/>
      <c r="C8971" s="15"/>
      <c r="D8971" s="15"/>
      <c r="E8971" s="18"/>
    </row>
    <row r="8972" spans="2:5" x14ac:dyDescent="0.4">
      <c r="B8972" s="17"/>
      <c r="C8972" s="15"/>
      <c r="D8972" s="15"/>
      <c r="E8972" s="18"/>
    </row>
    <row r="8973" spans="2:5" x14ac:dyDescent="0.4">
      <c r="B8973" s="17"/>
      <c r="C8973" s="15"/>
      <c r="D8973" s="15"/>
      <c r="E8973" s="18"/>
    </row>
    <row r="8974" spans="2:5" x14ac:dyDescent="0.4">
      <c r="B8974" s="17"/>
      <c r="C8974" s="15"/>
      <c r="D8974" s="15"/>
      <c r="E8974" s="18"/>
    </row>
    <row r="8975" spans="2:5" x14ac:dyDescent="0.4">
      <c r="B8975" s="17"/>
      <c r="C8975" s="15"/>
      <c r="D8975" s="15"/>
      <c r="E8975" s="18"/>
    </row>
    <row r="8976" spans="2:5" x14ac:dyDescent="0.4">
      <c r="B8976" s="17"/>
      <c r="C8976" s="15"/>
      <c r="D8976" s="15"/>
      <c r="E8976" s="18"/>
    </row>
    <row r="8977" spans="2:5" x14ac:dyDescent="0.4">
      <c r="B8977" s="17"/>
      <c r="C8977" s="15"/>
      <c r="D8977" s="15"/>
      <c r="E8977" s="18"/>
    </row>
    <row r="8978" spans="2:5" x14ac:dyDescent="0.4">
      <c r="B8978" s="17"/>
      <c r="C8978" s="15"/>
      <c r="D8978" s="15"/>
      <c r="E8978" s="18"/>
    </row>
    <row r="8979" spans="2:5" x14ac:dyDescent="0.4">
      <c r="B8979" s="17"/>
      <c r="C8979" s="15"/>
      <c r="D8979" s="15"/>
      <c r="E8979" s="18"/>
    </row>
    <row r="8980" spans="2:5" x14ac:dyDescent="0.4">
      <c r="B8980" s="17"/>
      <c r="C8980" s="15"/>
      <c r="D8980" s="15"/>
      <c r="E8980" s="18"/>
    </row>
    <row r="8981" spans="2:5" x14ac:dyDescent="0.4">
      <c r="B8981" s="17"/>
      <c r="C8981" s="15"/>
      <c r="D8981" s="15"/>
      <c r="E8981" s="18"/>
    </row>
    <row r="8982" spans="2:5" x14ac:dyDescent="0.4">
      <c r="B8982" s="17"/>
      <c r="C8982" s="15"/>
      <c r="D8982" s="15"/>
      <c r="E8982" s="18"/>
    </row>
    <row r="8983" spans="2:5" x14ac:dyDescent="0.4">
      <c r="B8983" s="17"/>
      <c r="C8983" s="15"/>
      <c r="D8983" s="15"/>
      <c r="E8983" s="18"/>
    </row>
    <row r="8984" spans="2:5" x14ac:dyDescent="0.4">
      <c r="B8984" s="17"/>
      <c r="C8984" s="15"/>
      <c r="D8984" s="15"/>
      <c r="E8984" s="18"/>
    </row>
    <row r="8985" spans="2:5" x14ac:dyDescent="0.4">
      <c r="B8985" s="17"/>
      <c r="C8985" s="15"/>
      <c r="D8985" s="15"/>
      <c r="E8985" s="18"/>
    </row>
    <row r="8986" spans="2:5" x14ac:dyDescent="0.4">
      <c r="B8986" s="17"/>
      <c r="C8986" s="15"/>
      <c r="D8986" s="15"/>
      <c r="E8986" s="18"/>
    </row>
    <row r="8987" spans="2:5" x14ac:dyDescent="0.4">
      <c r="B8987" s="17"/>
      <c r="C8987" s="15"/>
      <c r="D8987" s="15"/>
      <c r="E8987" s="18"/>
    </row>
    <row r="8988" spans="2:5" x14ac:dyDescent="0.4">
      <c r="B8988" s="17"/>
      <c r="C8988" s="15"/>
      <c r="D8988" s="15"/>
      <c r="E8988" s="18"/>
    </row>
    <row r="8989" spans="2:5" x14ac:dyDescent="0.4">
      <c r="B8989" s="17"/>
      <c r="C8989" s="15"/>
      <c r="D8989" s="15"/>
      <c r="E8989" s="18"/>
    </row>
    <row r="8990" spans="2:5" x14ac:dyDescent="0.4">
      <c r="B8990" s="17"/>
      <c r="C8990" s="15"/>
      <c r="D8990" s="15"/>
      <c r="E8990" s="18"/>
    </row>
    <row r="8991" spans="2:5" x14ac:dyDescent="0.4">
      <c r="B8991" s="17"/>
      <c r="C8991" s="15"/>
      <c r="D8991" s="15"/>
      <c r="E8991" s="18"/>
    </row>
    <row r="8992" spans="2:5" x14ac:dyDescent="0.4">
      <c r="B8992" s="17"/>
      <c r="C8992" s="15"/>
      <c r="D8992" s="15"/>
      <c r="E8992" s="18"/>
    </row>
    <row r="8993" spans="2:5" x14ac:dyDescent="0.4">
      <c r="B8993" s="17"/>
      <c r="C8993" s="15"/>
      <c r="D8993" s="15"/>
      <c r="E8993" s="18"/>
    </row>
    <row r="8994" spans="2:5" x14ac:dyDescent="0.4">
      <c r="B8994" s="17"/>
      <c r="C8994" s="15"/>
      <c r="D8994" s="15"/>
      <c r="E8994" s="18"/>
    </row>
    <row r="8995" spans="2:5" x14ac:dyDescent="0.4">
      <c r="B8995" s="17"/>
      <c r="C8995" s="15"/>
      <c r="D8995" s="15"/>
      <c r="E8995" s="18"/>
    </row>
    <row r="8996" spans="2:5" x14ac:dyDescent="0.4">
      <c r="B8996" s="17"/>
      <c r="C8996" s="15"/>
      <c r="D8996" s="15"/>
      <c r="E8996" s="18"/>
    </row>
    <row r="8997" spans="2:5" x14ac:dyDescent="0.4">
      <c r="B8997" s="17"/>
      <c r="C8997" s="15"/>
      <c r="D8997" s="15"/>
      <c r="E8997" s="18"/>
    </row>
    <row r="8998" spans="2:5" x14ac:dyDescent="0.4">
      <c r="B8998" s="17"/>
      <c r="C8998" s="15"/>
      <c r="D8998" s="15"/>
      <c r="E8998" s="18"/>
    </row>
    <row r="8999" spans="2:5" x14ac:dyDescent="0.4">
      <c r="B8999" s="17"/>
      <c r="C8999" s="15"/>
      <c r="D8999" s="15"/>
      <c r="E8999" s="18"/>
    </row>
    <row r="9000" spans="2:5" x14ac:dyDescent="0.4">
      <c r="B9000" s="17"/>
      <c r="C9000" s="15"/>
      <c r="D9000" s="15"/>
      <c r="E9000" s="18"/>
    </row>
    <row r="9001" spans="2:5" x14ac:dyDescent="0.4">
      <c r="B9001" s="17"/>
      <c r="C9001" s="15"/>
      <c r="D9001" s="15"/>
      <c r="E9001" s="18"/>
    </row>
    <row r="9002" spans="2:5" x14ac:dyDescent="0.4">
      <c r="B9002" s="17"/>
      <c r="C9002" s="15"/>
      <c r="D9002" s="15"/>
      <c r="E9002" s="18"/>
    </row>
    <row r="9003" spans="2:5" x14ac:dyDescent="0.4">
      <c r="B9003" s="17"/>
      <c r="C9003" s="15"/>
      <c r="D9003" s="15"/>
      <c r="E9003" s="18"/>
    </row>
    <row r="9004" spans="2:5" x14ac:dyDescent="0.4">
      <c r="B9004" s="17"/>
      <c r="C9004" s="15"/>
      <c r="D9004" s="15"/>
      <c r="E9004" s="18"/>
    </row>
    <row r="9005" spans="2:5" x14ac:dyDescent="0.4">
      <c r="B9005" s="17"/>
      <c r="C9005" s="15"/>
      <c r="D9005" s="15"/>
      <c r="E9005" s="18"/>
    </row>
    <row r="9006" spans="2:5" x14ac:dyDescent="0.4">
      <c r="B9006" s="17"/>
      <c r="C9006" s="15"/>
      <c r="D9006" s="15"/>
      <c r="E9006" s="18"/>
    </row>
    <row r="9007" spans="2:5" x14ac:dyDescent="0.4">
      <c r="B9007" s="17"/>
      <c r="C9007" s="15"/>
      <c r="D9007" s="15"/>
      <c r="E9007" s="18"/>
    </row>
    <row r="9008" spans="2:5" x14ac:dyDescent="0.4">
      <c r="B9008" s="17"/>
      <c r="C9008" s="15"/>
      <c r="D9008" s="15"/>
      <c r="E9008" s="18"/>
    </row>
    <row r="9009" spans="2:5" x14ac:dyDescent="0.4">
      <c r="B9009" s="17"/>
      <c r="C9009" s="15"/>
      <c r="D9009" s="15"/>
      <c r="E9009" s="18"/>
    </row>
    <row r="9010" spans="2:5" x14ac:dyDescent="0.4">
      <c r="B9010" s="17"/>
      <c r="C9010" s="15"/>
      <c r="D9010" s="15"/>
      <c r="E9010" s="18"/>
    </row>
    <row r="9011" spans="2:5" x14ac:dyDescent="0.4">
      <c r="B9011" s="17"/>
      <c r="C9011" s="15"/>
      <c r="D9011" s="15"/>
      <c r="E9011" s="18"/>
    </row>
    <row r="9012" spans="2:5" x14ac:dyDescent="0.4">
      <c r="B9012" s="17"/>
      <c r="C9012" s="15"/>
      <c r="D9012" s="15"/>
      <c r="E9012" s="18"/>
    </row>
    <row r="9013" spans="2:5" x14ac:dyDescent="0.4">
      <c r="B9013" s="17"/>
      <c r="C9013" s="15"/>
      <c r="D9013" s="15"/>
      <c r="E9013" s="18"/>
    </row>
    <row r="9014" spans="2:5" x14ac:dyDescent="0.4">
      <c r="B9014" s="17"/>
      <c r="C9014" s="15"/>
      <c r="D9014" s="15"/>
      <c r="E9014" s="18"/>
    </row>
    <row r="9015" spans="2:5" x14ac:dyDescent="0.4">
      <c r="B9015" s="17"/>
      <c r="C9015" s="15"/>
      <c r="D9015" s="15"/>
      <c r="E9015" s="18"/>
    </row>
    <row r="9016" spans="2:5" x14ac:dyDescent="0.4">
      <c r="B9016" s="17"/>
      <c r="C9016" s="15"/>
      <c r="D9016" s="15"/>
      <c r="E9016" s="18"/>
    </row>
    <row r="9017" spans="2:5" x14ac:dyDescent="0.4">
      <c r="B9017" s="17"/>
      <c r="C9017" s="15"/>
      <c r="D9017" s="15"/>
      <c r="E9017" s="18"/>
    </row>
    <row r="9018" spans="2:5" x14ac:dyDescent="0.4">
      <c r="B9018" s="17"/>
      <c r="C9018" s="15"/>
      <c r="D9018" s="15"/>
      <c r="E9018" s="18"/>
    </row>
    <row r="9019" spans="2:5" x14ac:dyDescent="0.4">
      <c r="B9019" s="17"/>
      <c r="C9019" s="15"/>
      <c r="D9019" s="15"/>
      <c r="E9019" s="18"/>
    </row>
    <row r="9020" spans="2:5" x14ac:dyDescent="0.4">
      <c r="B9020" s="17"/>
      <c r="C9020" s="15"/>
      <c r="D9020" s="15"/>
      <c r="E9020" s="18"/>
    </row>
    <row r="9021" spans="2:5" x14ac:dyDescent="0.4">
      <c r="B9021" s="17"/>
      <c r="C9021" s="15"/>
      <c r="D9021" s="15"/>
      <c r="E9021" s="18"/>
    </row>
    <row r="9022" spans="2:5" x14ac:dyDescent="0.4">
      <c r="B9022" s="17"/>
      <c r="C9022" s="15"/>
      <c r="D9022" s="15"/>
      <c r="E9022" s="18"/>
    </row>
    <row r="9023" spans="2:5" x14ac:dyDescent="0.4">
      <c r="B9023" s="17"/>
      <c r="C9023" s="15"/>
      <c r="D9023" s="15"/>
      <c r="E9023" s="18"/>
    </row>
    <row r="9024" spans="2:5" x14ac:dyDescent="0.4">
      <c r="B9024" s="17"/>
      <c r="C9024" s="15"/>
      <c r="D9024" s="15"/>
      <c r="E9024" s="18"/>
    </row>
    <row r="9025" spans="2:5" x14ac:dyDescent="0.4">
      <c r="B9025" s="17"/>
      <c r="C9025" s="15"/>
      <c r="D9025" s="15"/>
      <c r="E9025" s="18"/>
    </row>
    <row r="9026" spans="2:5" x14ac:dyDescent="0.4">
      <c r="B9026" s="17"/>
      <c r="C9026" s="15"/>
      <c r="D9026" s="15"/>
      <c r="E9026" s="18"/>
    </row>
    <row r="9027" spans="2:5" x14ac:dyDescent="0.4">
      <c r="B9027" s="17"/>
      <c r="C9027" s="15"/>
      <c r="D9027" s="15"/>
      <c r="E9027" s="18"/>
    </row>
    <row r="9028" spans="2:5" x14ac:dyDescent="0.4">
      <c r="B9028" s="17"/>
      <c r="C9028" s="15"/>
      <c r="D9028" s="15"/>
      <c r="E9028" s="18"/>
    </row>
    <row r="9029" spans="2:5" x14ac:dyDescent="0.4">
      <c r="B9029" s="17"/>
      <c r="C9029" s="15"/>
      <c r="D9029" s="15"/>
      <c r="E9029" s="18"/>
    </row>
    <row r="9030" spans="2:5" x14ac:dyDescent="0.4">
      <c r="B9030" s="17"/>
      <c r="C9030" s="15"/>
      <c r="D9030" s="15"/>
      <c r="E9030" s="18"/>
    </row>
    <row r="9031" spans="2:5" x14ac:dyDescent="0.4">
      <c r="B9031" s="17"/>
      <c r="C9031" s="15"/>
      <c r="D9031" s="15"/>
      <c r="E9031" s="18"/>
    </row>
    <row r="9032" spans="2:5" x14ac:dyDescent="0.4">
      <c r="B9032" s="17"/>
      <c r="C9032" s="15"/>
      <c r="D9032" s="15"/>
      <c r="E9032" s="18"/>
    </row>
    <row r="9033" spans="2:5" x14ac:dyDescent="0.4">
      <c r="B9033" s="17"/>
      <c r="C9033" s="15"/>
      <c r="D9033" s="15"/>
      <c r="E9033" s="18"/>
    </row>
    <row r="9034" spans="2:5" x14ac:dyDescent="0.4">
      <c r="B9034" s="17"/>
      <c r="C9034" s="15"/>
      <c r="D9034" s="15"/>
      <c r="E9034" s="18"/>
    </row>
    <row r="9035" spans="2:5" x14ac:dyDescent="0.4">
      <c r="B9035" s="17"/>
      <c r="C9035" s="15"/>
      <c r="D9035" s="15"/>
      <c r="E9035" s="18"/>
    </row>
    <row r="9036" spans="2:5" x14ac:dyDescent="0.4">
      <c r="B9036" s="17"/>
      <c r="C9036" s="15"/>
      <c r="D9036" s="15"/>
      <c r="E9036" s="18"/>
    </row>
    <row r="9037" spans="2:5" x14ac:dyDescent="0.4">
      <c r="B9037" s="17"/>
      <c r="C9037" s="15"/>
      <c r="D9037" s="15"/>
      <c r="E9037" s="18"/>
    </row>
    <row r="9038" spans="2:5" x14ac:dyDescent="0.4">
      <c r="B9038" s="17"/>
      <c r="C9038" s="15"/>
      <c r="D9038" s="15"/>
      <c r="E9038" s="18"/>
    </row>
    <row r="9039" spans="2:5" x14ac:dyDescent="0.4">
      <c r="B9039" s="17"/>
      <c r="C9039" s="15"/>
      <c r="D9039" s="15"/>
      <c r="E9039" s="18"/>
    </row>
    <row r="9040" spans="2:5" x14ac:dyDescent="0.4">
      <c r="B9040" s="17"/>
      <c r="C9040" s="15"/>
      <c r="D9040" s="15"/>
      <c r="E9040" s="18"/>
    </row>
    <row r="9041" spans="2:5" x14ac:dyDescent="0.4">
      <c r="B9041" s="17"/>
      <c r="C9041" s="15"/>
      <c r="D9041" s="15"/>
      <c r="E9041" s="18"/>
    </row>
    <row r="9042" spans="2:5" x14ac:dyDescent="0.4">
      <c r="B9042" s="17"/>
      <c r="C9042" s="15"/>
      <c r="D9042" s="15"/>
      <c r="E9042" s="18"/>
    </row>
    <row r="9043" spans="2:5" x14ac:dyDescent="0.4">
      <c r="B9043" s="17"/>
      <c r="C9043" s="15"/>
      <c r="D9043" s="15"/>
      <c r="E9043" s="18"/>
    </row>
    <row r="9044" spans="2:5" x14ac:dyDescent="0.4">
      <c r="B9044" s="17"/>
      <c r="C9044" s="15"/>
      <c r="D9044" s="15"/>
      <c r="E9044" s="18"/>
    </row>
    <row r="9045" spans="2:5" x14ac:dyDescent="0.4">
      <c r="B9045" s="17"/>
      <c r="C9045" s="15"/>
      <c r="D9045" s="15"/>
      <c r="E9045" s="18"/>
    </row>
    <row r="9046" spans="2:5" x14ac:dyDescent="0.4">
      <c r="B9046" s="17"/>
      <c r="C9046" s="15"/>
      <c r="D9046" s="15"/>
      <c r="E9046" s="18"/>
    </row>
    <row r="9047" spans="2:5" x14ac:dyDescent="0.4">
      <c r="B9047" s="17"/>
      <c r="C9047" s="15"/>
      <c r="D9047" s="15"/>
      <c r="E9047" s="18"/>
    </row>
    <row r="9048" spans="2:5" x14ac:dyDescent="0.4">
      <c r="B9048" s="17"/>
      <c r="C9048" s="15"/>
      <c r="D9048" s="15"/>
      <c r="E9048" s="18"/>
    </row>
    <row r="9049" spans="2:5" x14ac:dyDescent="0.4">
      <c r="B9049" s="17"/>
      <c r="C9049" s="15"/>
      <c r="D9049" s="15"/>
      <c r="E9049" s="18"/>
    </row>
    <row r="9050" spans="2:5" x14ac:dyDescent="0.4">
      <c r="B9050" s="17"/>
      <c r="C9050" s="15"/>
      <c r="D9050" s="15"/>
      <c r="E9050" s="18"/>
    </row>
    <row r="9051" spans="2:5" x14ac:dyDescent="0.4">
      <c r="B9051" s="17"/>
      <c r="C9051" s="15"/>
      <c r="D9051" s="15"/>
      <c r="E9051" s="18"/>
    </row>
    <row r="9052" spans="2:5" x14ac:dyDescent="0.4">
      <c r="B9052" s="17"/>
      <c r="C9052" s="15"/>
      <c r="D9052" s="15"/>
      <c r="E9052" s="18"/>
    </row>
    <row r="9053" spans="2:5" x14ac:dyDescent="0.4">
      <c r="B9053" s="17"/>
      <c r="C9053" s="15"/>
      <c r="D9053" s="15"/>
      <c r="E9053" s="18"/>
    </row>
    <row r="9054" spans="2:5" x14ac:dyDescent="0.4">
      <c r="B9054" s="17"/>
      <c r="C9054" s="15"/>
      <c r="D9054" s="15"/>
      <c r="E9054" s="18"/>
    </row>
    <row r="9055" spans="2:5" x14ac:dyDescent="0.4">
      <c r="B9055" s="17"/>
      <c r="C9055" s="15"/>
      <c r="D9055" s="15"/>
      <c r="E9055" s="18"/>
    </row>
    <row r="9056" spans="2:5" x14ac:dyDescent="0.4">
      <c r="B9056" s="17"/>
      <c r="C9056" s="15"/>
      <c r="D9056" s="15"/>
      <c r="E9056" s="18"/>
    </row>
    <row r="9057" spans="2:5" x14ac:dyDescent="0.4">
      <c r="B9057" s="17"/>
      <c r="C9057" s="15"/>
      <c r="D9057" s="15"/>
      <c r="E9057" s="18"/>
    </row>
    <row r="9058" spans="2:5" x14ac:dyDescent="0.4">
      <c r="B9058" s="17"/>
      <c r="C9058" s="15"/>
      <c r="D9058" s="15"/>
      <c r="E9058" s="18"/>
    </row>
    <row r="9059" spans="2:5" x14ac:dyDescent="0.4">
      <c r="B9059" s="17"/>
      <c r="C9059" s="15"/>
      <c r="D9059" s="15"/>
      <c r="E9059" s="18"/>
    </row>
    <row r="9060" spans="2:5" x14ac:dyDescent="0.4">
      <c r="B9060" s="17"/>
      <c r="C9060" s="15"/>
      <c r="D9060" s="15"/>
      <c r="E9060" s="18"/>
    </row>
    <row r="9061" spans="2:5" x14ac:dyDescent="0.4">
      <c r="B9061" s="17"/>
      <c r="C9061" s="15"/>
      <c r="D9061" s="15"/>
      <c r="E9061" s="18"/>
    </row>
    <row r="9062" spans="2:5" x14ac:dyDescent="0.4">
      <c r="B9062" s="17"/>
      <c r="C9062" s="15"/>
      <c r="D9062" s="15"/>
      <c r="E9062" s="18"/>
    </row>
    <row r="9063" spans="2:5" x14ac:dyDescent="0.4">
      <c r="B9063" s="17"/>
      <c r="C9063" s="15"/>
      <c r="D9063" s="15"/>
      <c r="E9063" s="18"/>
    </row>
    <row r="9064" spans="2:5" x14ac:dyDescent="0.4">
      <c r="B9064" s="17"/>
      <c r="C9064" s="15"/>
      <c r="D9064" s="15"/>
      <c r="E9064" s="18"/>
    </row>
    <row r="9065" spans="2:5" x14ac:dyDescent="0.4">
      <c r="B9065" s="17"/>
      <c r="C9065" s="15"/>
      <c r="D9065" s="15"/>
      <c r="E9065" s="18"/>
    </row>
    <row r="9066" spans="2:5" x14ac:dyDescent="0.4">
      <c r="B9066" s="17"/>
      <c r="C9066" s="15"/>
      <c r="D9066" s="15"/>
      <c r="E9066" s="18"/>
    </row>
    <row r="9067" spans="2:5" x14ac:dyDescent="0.4">
      <c r="B9067" s="17"/>
      <c r="C9067" s="15"/>
      <c r="D9067" s="15"/>
      <c r="E9067" s="18"/>
    </row>
    <row r="9068" spans="2:5" x14ac:dyDescent="0.4">
      <c r="B9068" s="17"/>
      <c r="C9068" s="15"/>
      <c r="D9068" s="15"/>
      <c r="E9068" s="18"/>
    </row>
    <row r="9069" spans="2:5" x14ac:dyDescent="0.4">
      <c r="B9069" s="17"/>
      <c r="C9069" s="15"/>
      <c r="D9069" s="15"/>
      <c r="E9069" s="18"/>
    </row>
    <row r="9070" spans="2:5" x14ac:dyDescent="0.4">
      <c r="B9070" s="17"/>
      <c r="C9070" s="15"/>
      <c r="D9070" s="15"/>
      <c r="E9070" s="18"/>
    </row>
    <row r="9071" spans="2:5" x14ac:dyDescent="0.4">
      <c r="B9071" s="17"/>
      <c r="C9071" s="15"/>
      <c r="D9071" s="15"/>
      <c r="E9071" s="18"/>
    </row>
    <row r="9072" spans="2:5" x14ac:dyDescent="0.4">
      <c r="B9072" s="17"/>
      <c r="C9072" s="15"/>
      <c r="D9072" s="15"/>
      <c r="E9072" s="18"/>
    </row>
    <row r="9073" spans="2:5" x14ac:dyDescent="0.4">
      <c r="B9073" s="17"/>
      <c r="C9073" s="15"/>
      <c r="D9073" s="15"/>
      <c r="E9073" s="18"/>
    </row>
    <row r="9074" spans="2:5" x14ac:dyDescent="0.4">
      <c r="B9074" s="17"/>
      <c r="C9074" s="15"/>
      <c r="D9074" s="15"/>
      <c r="E9074" s="18"/>
    </row>
    <row r="9075" spans="2:5" x14ac:dyDescent="0.4">
      <c r="B9075" s="17"/>
      <c r="C9075" s="15"/>
      <c r="D9075" s="15"/>
      <c r="E9075" s="18"/>
    </row>
    <row r="9076" spans="2:5" x14ac:dyDescent="0.4">
      <c r="B9076" s="17"/>
      <c r="C9076" s="15"/>
      <c r="D9076" s="15"/>
      <c r="E9076" s="18"/>
    </row>
    <row r="9077" spans="2:5" x14ac:dyDescent="0.4">
      <c r="B9077" s="17"/>
      <c r="C9077" s="15"/>
      <c r="D9077" s="15"/>
      <c r="E9077" s="18"/>
    </row>
    <row r="9078" spans="2:5" x14ac:dyDescent="0.4">
      <c r="B9078" s="17"/>
      <c r="C9078" s="15"/>
      <c r="D9078" s="15"/>
      <c r="E9078" s="18"/>
    </row>
    <row r="9079" spans="2:5" x14ac:dyDescent="0.4">
      <c r="B9079" s="17"/>
      <c r="C9079" s="15"/>
      <c r="D9079" s="15"/>
      <c r="E9079" s="18"/>
    </row>
    <row r="9080" spans="2:5" x14ac:dyDescent="0.4">
      <c r="B9080" s="17"/>
      <c r="C9080" s="15"/>
      <c r="D9080" s="15"/>
      <c r="E9080" s="18"/>
    </row>
    <row r="9081" spans="2:5" x14ac:dyDescent="0.4">
      <c r="B9081" s="17"/>
      <c r="C9081" s="15"/>
      <c r="D9081" s="15"/>
      <c r="E9081" s="18"/>
    </row>
    <row r="9082" spans="2:5" x14ac:dyDescent="0.4">
      <c r="B9082" s="17"/>
      <c r="C9082" s="15"/>
      <c r="D9082" s="15"/>
      <c r="E9082" s="18"/>
    </row>
    <row r="9083" spans="2:5" x14ac:dyDescent="0.4">
      <c r="B9083" s="17"/>
      <c r="C9083" s="15"/>
      <c r="D9083" s="15"/>
      <c r="E9083" s="18"/>
    </row>
    <row r="9084" spans="2:5" x14ac:dyDescent="0.4">
      <c r="B9084" s="17"/>
      <c r="C9084" s="15"/>
      <c r="D9084" s="15"/>
      <c r="E9084" s="18"/>
    </row>
    <row r="9085" spans="2:5" x14ac:dyDescent="0.4">
      <c r="B9085" s="17"/>
      <c r="C9085" s="15"/>
      <c r="D9085" s="15"/>
      <c r="E9085" s="18"/>
    </row>
    <row r="9086" spans="2:5" x14ac:dyDescent="0.4">
      <c r="B9086" s="17"/>
      <c r="C9086" s="15"/>
      <c r="D9086" s="15"/>
      <c r="E9086" s="18"/>
    </row>
    <row r="9087" spans="2:5" x14ac:dyDescent="0.4">
      <c r="B9087" s="17"/>
      <c r="C9087" s="15"/>
      <c r="D9087" s="15"/>
      <c r="E9087" s="18"/>
    </row>
    <row r="9088" spans="2:5" x14ac:dyDescent="0.4">
      <c r="B9088" s="17"/>
      <c r="C9088" s="15"/>
      <c r="D9088" s="15"/>
      <c r="E9088" s="18"/>
    </row>
    <row r="9089" spans="2:5" x14ac:dyDescent="0.4">
      <c r="B9089" s="17"/>
      <c r="C9089" s="15"/>
      <c r="D9089" s="15"/>
      <c r="E9089" s="18"/>
    </row>
    <row r="9090" spans="2:5" x14ac:dyDescent="0.4">
      <c r="B9090" s="17"/>
      <c r="C9090" s="15"/>
      <c r="D9090" s="15"/>
      <c r="E9090" s="18"/>
    </row>
    <row r="9091" spans="2:5" x14ac:dyDescent="0.4">
      <c r="B9091" s="17"/>
      <c r="C9091" s="15"/>
      <c r="D9091" s="15"/>
      <c r="E9091" s="18"/>
    </row>
    <row r="9092" spans="2:5" x14ac:dyDescent="0.4">
      <c r="B9092" s="17"/>
      <c r="C9092" s="15"/>
      <c r="D9092" s="15"/>
      <c r="E9092" s="18"/>
    </row>
    <row r="9093" spans="2:5" x14ac:dyDescent="0.4">
      <c r="B9093" s="17"/>
      <c r="C9093" s="15"/>
      <c r="D9093" s="15"/>
      <c r="E9093" s="18"/>
    </row>
    <row r="9094" spans="2:5" x14ac:dyDescent="0.4">
      <c r="B9094" s="17"/>
      <c r="C9094" s="15"/>
      <c r="D9094" s="15"/>
      <c r="E9094" s="18"/>
    </row>
    <row r="9095" spans="2:5" x14ac:dyDescent="0.4">
      <c r="B9095" s="17"/>
      <c r="C9095" s="15"/>
      <c r="D9095" s="15"/>
      <c r="E9095" s="18"/>
    </row>
    <row r="9096" spans="2:5" x14ac:dyDescent="0.4">
      <c r="B9096" s="17"/>
      <c r="C9096" s="15"/>
      <c r="D9096" s="15"/>
      <c r="E9096" s="18"/>
    </row>
    <row r="9097" spans="2:5" x14ac:dyDescent="0.4">
      <c r="B9097" s="17"/>
      <c r="C9097" s="15"/>
      <c r="D9097" s="15"/>
      <c r="E9097" s="18"/>
    </row>
    <row r="9098" spans="2:5" x14ac:dyDescent="0.4">
      <c r="B9098" s="17"/>
      <c r="C9098" s="15"/>
      <c r="D9098" s="15"/>
      <c r="E9098" s="18"/>
    </row>
    <row r="9099" spans="2:5" x14ac:dyDescent="0.4">
      <c r="B9099" s="17"/>
      <c r="C9099" s="15"/>
      <c r="D9099" s="15"/>
      <c r="E9099" s="18"/>
    </row>
    <row r="9100" spans="2:5" x14ac:dyDescent="0.4">
      <c r="B9100" s="17"/>
      <c r="C9100" s="15"/>
      <c r="D9100" s="15"/>
      <c r="E9100" s="18"/>
    </row>
    <row r="9101" spans="2:5" x14ac:dyDescent="0.4">
      <c r="B9101" s="17"/>
      <c r="C9101" s="15"/>
      <c r="D9101" s="15"/>
      <c r="E9101" s="18"/>
    </row>
    <row r="9102" spans="2:5" x14ac:dyDescent="0.4">
      <c r="B9102" s="17"/>
      <c r="C9102" s="15"/>
      <c r="D9102" s="15"/>
      <c r="E9102" s="18"/>
    </row>
    <row r="9103" spans="2:5" x14ac:dyDescent="0.4">
      <c r="B9103" s="17"/>
      <c r="C9103" s="15"/>
      <c r="D9103" s="15"/>
      <c r="E9103" s="18"/>
    </row>
    <row r="9104" spans="2:5" x14ac:dyDescent="0.4">
      <c r="B9104" s="17"/>
      <c r="C9104" s="15"/>
      <c r="D9104" s="15"/>
      <c r="E9104" s="18"/>
    </row>
    <row r="9105" spans="2:5" x14ac:dyDescent="0.4">
      <c r="B9105" s="17"/>
      <c r="C9105" s="15"/>
      <c r="D9105" s="15"/>
      <c r="E9105" s="18"/>
    </row>
    <row r="9106" spans="2:5" x14ac:dyDescent="0.4">
      <c r="B9106" s="17"/>
      <c r="C9106" s="15"/>
      <c r="D9106" s="15"/>
      <c r="E9106" s="18"/>
    </row>
    <row r="9107" spans="2:5" x14ac:dyDescent="0.4">
      <c r="B9107" s="17"/>
      <c r="C9107" s="15"/>
      <c r="D9107" s="15"/>
      <c r="E9107" s="18"/>
    </row>
    <row r="9108" spans="2:5" x14ac:dyDescent="0.4">
      <c r="B9108" s="17"/>
      <c r="C9108" s="15"/>
      <c r="D9108" s="15"/>
      <c r="E9108" s="18"/>
    </row>
    <row r="9109" spans="2:5" x14ac:dyDescent="0.4">
      <c r="B9109" s="17"/>
      <c r="C9109" s="15"/>
      <c r="D9109" s="15"/>
      <c r="E9109" s="18"/>
    </row>
    <row r="9110" spans="2:5" x14ac:dyDescent="0.4">
      <c r="B9110" s="17"/>
      <c r="C9110" s="15"/>
      <c r="D9110" s="15"/>
      <c r="E9110" s="18"/>
    </row>
    <row r="9111" spans="2:5" x14ac:dyDescent="0.4">
      <c r="B9111" s="17"/>
      <c r="C9111" s="15"/>
      <c r="D9111" s="15"/>
      <c r="E9111" s="18"/>
    </row>
    <row r="9112" spans="2:5" x14ac:dyDescent="0.4">
      <c r="B9112" s="17"/>
      <c r="C9112" s="15"/>
      <c r="D9112" s="15"/>
      <c r="E9112" s="18"/>
    </row>
    <row r="9113" spans="2:5" x14ac:dyDescent="0.4">
      <c r="B9113" s="17"/>
      <c r="C9113" s="15"/>
      <c r="D9113" s="15"/>
      <c r="E9113" s="18"/>
    </row>
    <row r="9114" spans="2:5" x14ac:dyDescent="0.4">
      <c r="B9114" s="17"/>
      <c r="C9114" s="15"/>
      <c r="D9114" s="15"/>
      <c r="E9114" s="18"/>
    </row>
    <row r="9115" spans="2:5" x14ac:dyDescent="0.4">
      <c r="B9115" s="17"/>
      <c r="C9115" s="15"/>
      <c r="D9115" s="15"/>
      <c r="E9115" s="18"/>
    </row>
    <row r="9116" spans="2:5" x14ac:dyDescent="0.4">
      <c r="B9116" s="17"/>
      <c r="C9116" s="15"/>
      <c r="D9116" s="15"/>
      <c r="E9116" s="18"/>
    </row>
    <row r="9117" spans="2:5" x14ac:dyDescent="0.4">
      <c r="B9117" s="17"/>
      <c r="C9117" s="15"/>
      <c r="D9117" s="15"/>
      <c r="E9117" s="18"/>
    </row>
    <row r="9118" spans="2:5" x14ac:dyDescent="0.4">
      <c r="B9118" s="17"/>
      <c r="C9118" s="15"/>
      <c r="D9118" s="15"/>
      <c r="E9118" s="18"/>
    </row>
    <row r="9119" spans="2:5" x14ac:dyDescent="0.4">
      <c r="B9119" s="17"/>
      <c r="C9119" s="15"/>
      <c r="D9119" s="15"/>
      <c r="E9119" s="18"/>
    </row>
    <row r="9120" spans="2:5" x14ac:dyDescent="0.4">
      <c r="B9120" s="17"/>
      <c r="C9120" s="15"/>
      <c r="D9120" s="15"/>
      <c r="E9120" s="18"/>
    </row>
    <row r="9121" spans="2:5" x14ac:dyDescent="0.4">
      <c r="B9121" s="17"/>
      <c r="C9121" s="15"/>
      <c r="D9121" s="15"/>
      <c r="E9121" s="18"/>
    </row>
    <row r="9122" spans="2:5" x14ac:dyDescent="0.4">
      <c r="B9122" s="17"/>
      <c r="C9122" s="15"/>
      <c r="D9122" s="15"/>
      <c r="E9122" s="18"/>
    </row>
    <row r="9123" spans="2:5" x14ac:dyDescent="0.4">
      <c r="B9123" s="17"/>
      <c r="C9123" s="15"/>
      <c r="D9123" s="15"/>
      <c r="E9123" s="18"/>
    </row>
    <row r="9124" spans="2:5" x14ac:dyDescent="0.4">
      <c r="B9124" s="17"/>
      <c r="C9124" s="15"/>
      <c r="D9124" s="15"/>
      <c r="E9124" s="18"/>
    </row>
    <row r="9125" spans="2:5" x14ac:dyDescent="0.4">
      <c r="B9125" s="17"/>
      <c r="C9125" s="15"/>
      <c r="D9125" s="15"/>
      <c r="E9125" s="18"/>
    </row>
    <row r="9126" spans="2:5" x14ac:dyDescent="0.4">
      <c r="B9126" s="17"/>
      <c r="C9126" s="15"/>
      <c r="D9126" s="15"/>
      <c r="E9126" s="18"/>
    </row>
    <row r="9127" spans="2:5" x14ac:dyDescent="0.4">
      <c r="B9127" s="17"/>
      <c r="C9127" s="15"/>
      <c r="D9127" s="15"/>
      <c r="E9127" s="18"/>
    </row>
    <row r="9128" spans="2:5" x14ac:dyDescent="0.4">
      <c r="B9128" s="17"/>
      <c r="C9128" s="15"/>
      <c r="D9128" s="15"/>
      <c r="E9128" s="18"/>
    </row>
    <row r="9129" spans="2:5" x14ac:dyDescent="0.4">
      <c r="B9129" s="17"/>
      <c r="C9129" s="15"/>
      <c r="D9129" s="15"/>
      <c r="E9129" s="18"/>
    </row>
    <row r="9130" spans="2:5" x14ac:dyDescent="0.4">
      <c r="B9130" s="17"/>
      <c r="C9130" s="15"/>
      <c r="D9130" s="15"/>
      <c r="E9130" s="18"/>
    </row>
    <row r="9131" spans="2:5" x14ac:dyDescent="0.4">
      <c r="B9131" s="17"/>
      <c r="C9131" s="15"/>
      <c r="D9131" s="15"/>
      <c r="E9131" s="18"/>
    </row>
    <row r="9132" spans="2:5" x14ac:dyDescent="0.4">
      <c r="B9132" s="17"/>
      <c r="C9132" s="15"/>
      <c r="D9132" s="15"/>
      <c r="E9132" s="18"/>
    </row>
    <row r="9133" spans="2:5" x14ac:dyDescent="0.4">
      <c r="B9133" s="17"/>
      <c r="C9133" s="15"/>
      <c r="D9133" s="15"/>
      <c r="E9133" s="18"/>
    </row>
    <row r="9134" spans="2:5" x14ac:dyDescent="0.4">
      <c r="B9134" s="17"/>
      <c r="C9134" s="15"/>
      <c r="D9134" s="15"/>
      <c r="E9134" s="18"/>
    </row>
    <row r="9135" spans="2:5" x14ac:dyDescent="0.4">
      <c r="B9135" s="17"/>
      <c r="C9135" s="15"/>
      <c r="D9135" s="15"/>
      <c r="E9135" s="18"/>
    </row>
    <row r="9136" spans="2:5" x14ac:dyDescent="0.4">
      <c r="B9136" s="17"/>
      <c r="C9136" s="15"/>
      <c r="D9136" s="15"/>
      <c r="E9136" s="18"/>
    </row>
    <row r="9137" spans="2:5" x14ac:dyDescent="0.4">
      <c r="B9137" s="17"/>
      <c r="C9137" s="15"/>
      <c r="D9137" s="15"/>
      <c r="E9137" s="18"/>
    </row>
    <row r="9138" spans="2:5" x14ac:dyDescent="0.4">
      <c r="B9138" s="17"/>
      <c r="C9138" s="15"/>
      <c r="D9138" s="15"/>
      <c r="E9138" s="18"/>
    </row>
    <row r="9139" spans="2:5" x14ac:dyDescent="0.4">
      <c r="B9139" s="17"/>
      <c r="C9139" s="15"/>
      <c r="D9139" s="15"/>
      <c r="E9139" s="18"/>
    </row>
    <row r="9140" spans="2:5" x14ac:dyDescent="0.4">
      <c r="B9140" s="17"/>
      <c r="C9140" s="15"/>
      <c r="D9140" s="15"/>
      <c r="E9140" s="18"/>
    </row>
    <row r="9141" spans="2:5" x14ac:dyDescent="0.4">
      <c r="B9141" s="17"/>
      <c r="C9141" s="15"/>
      <c r="D9141" s="15"/>
      <c r="E9141" s="18"/>
    </row>
    <row r="9142" spans="2:5" x14ac:dyDescent="0.4">
      <c r="B9142" s="17"/>
      <c r="C9142" s="15"/>
      <c r="D9142" s="15"/>
      <c r="E9142" s="18"/>
    </row>
    <row r="9143" spans="2:5" x14ac:dyDescent="0.4">
      <c r="B9143" s="17"/>
      <c r="C9143" s="15"/>
      <c r="D9143" s="15"/>
      <c r="E9143" s="18"/>
    </row>
    <row r="9144" spans="2:5" x14ac:dyDescent="0.4">
      <c r="B9144" s="17"/>
      <c r="C9144" s="15"/>
      <c r="D9144" s="15"/>
      <c r="E9144" s="18"/>
    </row>
    <row r="9145" spans="2:5" x14ac:dyDescent="0.4">
      <c r="B9145" s="17"/>
      <c r="C9145" s="15"/>
      <c r="D9145" s="15"/>
      <c r="E9145" s="18"/>
    </row>
    <row r="9146" spans="2:5" x14ac:dyDescent="0.4">
      <c r="B9146" s="17"/>
      <c r="C9146" s="15"/>
      <c r="D9146" s="15"/>
      <c r="E9146" s="18"/>
    </row>
    <row r="9147" spans="2:5" x14ac:dyDescent="0.4">
      <c r="B9147" s="17"/>
      <c r="C9147" s="15"/>
      <c r="D9147" s="15"/>
      <c r="E9147" s="18"/>
    </row>
    <row r="9148" spans="2:5" x14ac:dyDescent="0.4">
      <c r="B9148" s="17"/>
      <c r="C9148" s="15"/>
      <c r="D9148" s="15"/>
      <c r="E9148" s="18"/>
    </row>
    <row r="9149" spans="2:5" x14ac:dyDescent="0.4">
      <c r="B9149" s="17"/>
      <c r="C9149" s="15"/>
      <c r="D9149" s="15"/>
      <c r="E9149" s="18"/>
    </row>
    <row r="9150" spans="2:5" x14ac:dyDescent="0.4">
      <c r="B9150" s="17"/>
      <c r="C9150" s="15"/>
      <c r="D9150" s="15"/>
      <c r="E9150" s="18"/>
    </row>
    <row r="9151" spans="2:5" x14ac:dyDescent="0.4">
      <c r="B9151" s="17"/>
      <c r="C9151" s="15"/>
      <c r="D9151" s="15"/>
      <c r="E9151" s="18"/>
    </row>
    <row r="9152" spans="2:5" x14ac:dyDescent="0.4">
      <c r="B9152" s="17"/>
      <c r="C9152" s="15"/>
      <c r="D9152" s="15"/>
      <c r="E9152" s="18"/>
    </row>
    <row r="9153" spans="2:5" x14ac:dyDescent="0.4">
      <c r="B9153" s="17"/>
      <c r="C9153" s="15"/>
      <c r="D9153" s="15"/>
      <c r="E9153" s="18"/>
    </row>
    <row r="9154" spans="2:5" x14ac:dyDescent="0.4">
      <c r="B9154" s="17"/>
      <c r="C9154" s="15"/>
      <c r="D9154" s="15"/>
      <c r="E9154" s="18"/>
    </row>
    <row r="9155" spans="2:5" x14ac:dyDescent="0.4">
      <c r="B9155" s="17"/>
      <c r="C9155" s="15"/>
      <c r="D9155" s="15"/>
      <c r="E9155" s="18"/>
    </row>
    <row r="9156" spans="2:5" x14ac:dyDescent="0.4">
      <c r="B9156" s="17"/>
      <c r="C9156" s="15"/>
      <c r="D9156" s="15"/>
      <c r="E9156" s="18"/>
    </row>
    <row r="9157" spans="2:5" x14ac:dyDescent="0.4">
      <c r="B9157" s="17"/>
      <c r="C9157" s="15"/>
      <c r="D9157" s="15"/>
      <c r="E9157" s="18"/>
    </row>
    <row r="9158" spans="2:5" x14ac:dyDescent="0.4">
      <c r="B9158" s="17"/>
      <c r="C9158" s="15"/>
      <c r="D9158" s="15"/>
      <c r="E9158" s="18"/>
    </row>
    <row r="9159" spans="2:5" x14ac:dyDescent="0.4">
      <c r="B9159" s="17"/>
      <c r="C9159" s="15"/>
      <c r="D9159" s="15"/>
      <c r="E9159" s="18"/>
    </row>
    <row r="9160" spans="2:5" x14ac:dyDescent="0.4">
      <c r="B9160" s="17"/>
      <c r="C9160" s="15"/>
      <c r="D9160" s="15"/>
      <c r="E9160" s="18"/>
    </row>
    <row r="9161" spans="2:5" x14ac:dyDescent="0.4">
      <c r="B9161" s="17"/>
      <c r="C9161" s="15"/>
      <c r="D9161" s="15"/>
      <c r="E9161" s="18"/>
    </row>
    <row r="9162" spans="2:5" x14ac:dyDescent="0.4">
      <c r="B9162" s="17"/>
      <c r="C9162" s="15"/>
      <c r="D9162" s="15"/>
      <c r="E9162" s="18"/>
    </row>
    <row r="9163" spans="2:5" x14ac:dyDescent="0.4">
      <c r="B9163" s="17"/>
      <c r="C9163" s="15"/>
      <c r="D9163" s="15"/>
      <c r="E9163" s="18"/>
    </row>
    <row r="9164" spans="2:5" x14ac:dyDescent="0.4">
      <c r="B9164" s="17"/>
      <c r="C9164" s="15"/>
      <c r="D9164" s="15"/>
      <c r="E9164" s="18"/>
    </row>
    <row r="9165" spans="2:5" x14ac:dyDescent="0.4">
      <c r="B9165" s="17"/>
      <c r="C9165" s="15"/>
      <c r="D9165" s="15"/>
      <c r="E9165" s="18"/>
    </row>
    <row r="9166" spans="2:5" x14ac:dyDescent="0.4">
      <c r="B9166" s="17"/>
      <c r="C9166" s="15"/>
      <c r="D9166" s="15"/>
      <c r="E9166" s="18"/>
    </row>
    <row r="9167" spans="2:5" x14ac:dyDescent="0.4">
      <c r="B9167" s="17"/>
      <c r="C9167" s="15"/>
      <c r="D9167" s="15"/>
      <c r="E9167" s="18"/>
    </row>
    <row r="9168" spans="2:5" x14ac:dyDescent="0.4">
      <c r="B9168" s="17"/>
      <c r="C9168" s="15"/>
      <c r="D9168" s="15"/>
      <c r="E9168" s="18"/>
    </row>
    <row r="9169" spans="2:5" x14ac:dyDescent="0.4">
      <c r="B9169" s="17"/>
      <c r="C9169" s="15"/>
      <c r="D9169" s="15"/>
      <c r="E9169" s="18"/>
    </row>
    <row r="9170" spans="2:5" x14ac:dyDescent="0.4">
      <c r="B9170" s="17"/>
      <c r="C9170" s="15"/>
      <c r="D9170" s="15"/>
      <c r="E9170" s="18"/>
    </row>
    <row r="9171" spans="2:5" x14ac:dyDescent="0.4">
      <c r="B9171" s="17"/>
      <c r="C9171" s="15"/>
      <c r="D9171" s="15"/>
      <c r="E9171" s="18"/>
    </row>
    <row r="9172" spans="2:5" x14ac:dyDescent="0.4">
      <c r="B9172" s="17"/>
      <c r="C9172" s="15"/>
      <c r="D9172" s="15"/>
      <c r="E9172" s="18"/>
    </row>
    <row r="9173" spans="2:5" x14ac:dyDescent="0.4">
      <c r="B9173" s="17"/>
      <c r="C9173" s="15"/>
      <c r="D9173" s="15"/>
      <c r="E9173" s="18"/>
    </row>
    <row r="9174" spans="2:5" x14ac:dyDescent="0.4">
      <c r="B9174" s="17"/>
      <c r="C9174" s="15"/>
      <c r="D9174" s="15"/>
      <c r="E9174" s="18"/>
    </row>
    <row r="9175" spans="2:5" x14ac:dyDescent="0.4">
      <c r="B9175" s="17"/>
      <c r="C9175" s="15"/>
      <c r="D9175" s="15"/>
      <c r="E9175" s="18"/>
    </row>
    <row r="9176" spans="2:5" x14ac:dyDescent="0.4">
      <c r="B9176" s="17"/>
      <c r="C9176" s="15"/>
      <c r="D9176" s="15"/>
      <c r="E9176" s="18"/>
    </row>
    <row r="9177" spans="2:5" x14ac:dyDescent="0.4">
      <c r="B9177" s="17"/>
      <c r="C9177" s="15"/>
      <c r="D9177" s="15"/>
      <c r="E9177" s="18"/>
    </row>
    <row r="9178" spans="2:5" x14ac:dyDescent="0.4">
      <c r="B9178" s="17"/>
      <c r="C9178" s="15"/>
      <c r="D9178" s="15"/>
      <c r="E9178" s="18"/>
    </row>
    <row r="9179" spans="2:5" x14ac:dyDescent="0.4">
      <c r="B9179" s="17"/>
      <c r="C9179" s="15"/>
      <c r="D9179" s="15"/>
      <c r="E9179" s="18"/>
    </row>
    <row r="9180" spans="2:5" x14ac:dyDescent="0.4">
      <c r="B9180" s="17"/>
      <c r="C9180" s="15"/>
      <c r="D9180" s="15"/>
      <c r="E9180" s="18"/>
    </row>
    <row r="9181" spans="2:5" x14ac:dyDescent="0.4">
      <c r="B9181" s="17"/>
      <c r="C9181" s="15"/>
      <c r="D9181" s="15"/>
      <c r="E9181" s="18"/>
    </row>
    <row r="9182" spans="2:5" x14ac:dyDescent="0.4">
      <c r="B9182" s="17"/>
      <c r="C9182" s="15"/>
      <c r="D9182" s="15"/>
      <c r="E9182" s="18"/>
    </row>
    <row r="9183" spans="2:5" x14ac:dyDescent="0.4">
      <c r="B9183" s="17"/>
      <c r="C9183" s="15"/>
      <c r="D9183" s="15"/>
      <c r="E9183" s="18"/>
    </row>
    <row r="9184" spans="2:5" x14ac:dyDescent="0.4">
      <c r="B9184" s="17"/>
      <c r="C9184" s="15"/>
      <c r="D9184" s="15"/>
      <c r="E9184" s="18"/>
    </row>
    <row r="9185" spans="2:5" x14ac:dyDescent="0.4">
      <c r="B9185" s="17"/>
      <c r="C9185" s="15"/>
      <c r="D9185" s="15"/>
      <c r="E9185" s="18"/>
    </row>
    <row r="9186" spans="2:5" x14ac:dyDescent="0.4">
      <c r="B9186" s="17"/>
      <c r="C9186" s="15"/>
      <c r="D9186" s="15"/>
      <c r="E9186" s="18"/>
    </row>
    <row r="9187" spans="2:5" x14ac:dyDescent="0.4">
      <c r="B9187" s="17"/>
      <c r="C9187" s="15"/>
      <c r="D9187" s="15"/>
      <c r="E9187" s="18"/>
    </row>
    <row r="9188" spans="2:5" x14ac:dyDescent="0.4">
      <c r="B9188" s="17"/>
      <c r="C9188" s="15"/>
      <c r="D9188" s="15"/>
      <c r="E9188" s="18"/>
    </row>
    <row r="9189" spans="2:5" x14ac:dyDescent="0.4">
      <c r="B9189" s="17"/>
      <c r="C9189" s="15"/>
      <c r="D9189" s="15"/>
      <c r="E9189" s="18"/>
    </row>
    <row r="9190" spans="2:5" x14ac:dyDescent="0.4">
      <c r="B9190" s="17"/>
      <c r="C9190" s="15"/>
      <c r="D9190" s="15"/>
      <c r="E9190" s="18"/>
    </row>
    <row r="9191" spans="2:5" x14ac:dyDescent="0.4">
      <c r="B9191" s="17"/>
      <c r="C9191" s="15"/>
      <c r="D9191" s="15"/>
      <c r="E9191" s="18"/>
    </row>
    <row r="9192" spans="2:5" x14ac:dyDescent="0.4">
      <c r="B9192" s="17"/>
      <c r="C9192" s="15"/>
      <c r="D9192" s="15"/>
      <c r="E9192" s="18"/>
    </row>
    <row r="9193" spans="2:5" x14ac:dyDescent="0.4">
      <c r="B9193" s="17"/>
      <c r="C9193" s="15"/>
      <c r="D9193" s="15"/>
      <c r="E9193" s="18"/>
    </row>
    <row r="9194" spans="2:5" x14ac:dyDescent="0.4">
      <c r="B9194" s="17"/>
      <c r="C9194" s="15"/>
      <c r="D9194" s="15"/>
      <c r="E9194" s="18"/>
    </row>
    <row r="9195" spans="2:5" x14ac:dyDescent="0.4">
      <c r="B9195" s="17"/>
      <c r="C9195" s="15"/>
      <c r="D9195" s="15"/>
      <c r="E9195" s="18"/>
    </row>
    <row r="9196" spans="2:5" x14ac:dyDescent="0.4">
      <c r="B9196" s="17"/>
      <c r="C9196" s="15"/>
      <c r="D9196" s="15"/>
      <c r="E9196" s="18"/>
    </row>
    <row r="9197" spans="2:5" x14ac:dyDescent="0.4">
      <c r="B9197" s="17"/>
      <c r="C9197" s="15"/>
      <c r="D9197" s="15"/>
      <c r="E9197" s="18"/>
    </row>
    <row r="9198" spans="2:5" x14ac:dyDescent="0.4">
      <c r="B9198" s="17"/>
      <c r="C9198" s="15"/>
      <c r="D9198" s="15"/>
      <c r="E9198" s="18"/>
    </row>
    <row r="9199" spans="2:5" x14ac:dyDescent="0.4">
      <c r="B9199" s="17"/>
      <c r="C9199" s="15"/>
      <c r="D9199" s="15"/>
      <c r="E9199" s="18"/>
    </row>
    <row r="9200" spans="2:5" x14ac:dyDescent="0.4">
      <c r="B9200" s="17"/>
      <c r="C9200" s="15"/>
      <c r="D9200" s="15"/>
      <c r="E9200" s="18"/>
    </row>
    <row r="9201" spans="2:5" x14ac:dyDescent="0.4">
      <c r="B9201" s="17"/>
      <c r="C9201" s="15"/>
      <c r="D9201" s="15"/>
      <c r="E9201" s="18"/>
    </row>
    <row r="9202" spans="2:5" x14ac:dyDescent="0.4">
      <c r="B9202" s="17"/>
      <c r="C9202" s="15"/>
      <c r="D9202" s="15"/>
      <c r="E9202" s="18"/>
    </row>
    <row r="9203" spans="2:5" x14ac:dyDescent="0.4">
      <c r="B9203" s="17"/>
      <c r="C9203" s="15"/>
      <c r="D9203" s="15"/>
      <c r="E9203" s="18"/>
    </row>
    <row r="9204" spans="2:5" x14ac:dyDescent="0.4">
      <c r="B9204" s="17"/>
      <c r="C9204" s="15"/>
      <c r="D9204" s="15"/>
      <c r="E9204" s="18"/>
    </row>
    <row r="9205" spans="2:5" x14ac:dyDescent="0.4">
      <c r="B9205" s="17"/>
      <c r="C9205" s="15"/>
      <c r="D9205" s="15"/>
      <c r="E9205" s="18"/>
    </row>
    <row r="9206" spans="2:5" x14ac:dyDescent="0.4">
      <c r="B9206" s="17"/>
      <c r="C9206" s="15"/>
      <c r="D9206" s="15"/>
      <c r="E9206" s="18"/>
    </row>
    <row r="9207" spans="2:5" x14ac:dyDescent="0.4">
      <c r="B9207" s="17"/>
      <c r="C9207" s="15"/>
      <c r="D9207" s="15"/>
      <c r="E9207" s="18"/>
    </row>
    <row r="9208" spans="2:5" x14ac:dyDescent="0.4">
      <c r="B9208" s="17"/>
      <c r="C9208" s="15"/>
      <c r="D9208" s="15"/>
      <c r="E9208" s="18"/>
    </row>
    <row r="9209" spans="2:5" x14ac:dyDescent="0.4">
      <c r="B9209" s="17"/>
      <c r="C9209" s="15"/>
      <c r="D9209" s="15"/>
      <c r="E9209" s="18"/>
    </row>
    <row r="9210" spans="2:5" x14ac:dyDescent="0.4">
      <c r="B9210" s="17"/>
      <c r="C9210" s="15"/>
      <c r="D9210" s="15"/>
      <c r="E9210" s="18"/>
    </row>
    <row r="9211" spans="2:5" x14ac:dyDescent="0.4">
      <c r="B9211" s="17"/>
      <c r="C9211" s="15"/>
      <c r="D9211" s="15"/>
      <c r="E9211" s="18"/>
    </row>
    <row r="9212" spans="2:5" x14ac:dyDescent="0.4">
      <c r="B9212" s="17"/>
      <c r="C9212" s="15"/>
      <c r="D9212" s="15"/>
      <c r="E9212" s="18"/>
    </row>
    <row r="9213" spans="2:5" x14ac:dyDescent="0.4">
      <c r="B9213" s="17"/>
      <c r="C9213" s="15"/>
      <c r="D9213" s="15"/>
      <c r="E9213" s="18"/>
    </row>
    <row r="9214" spans="2:5" x14ac:dyDescent="0.4">
      <c r="B9214" s="17"/>
      <c r="C9214" s="15"/>
      <c r="D9214" s="15"/>
      <c r="E9214" s="18"/>
    </row>
    <row r="9215" spans="2:5" x14ac:dyDescent="0.4">
      <c r="B9215" s="17"/>
      <c r="C9215" s="15"/>
      <c r="D9215" s="15"/>
      <c r="E9215" s="18"/>
    </row>
    <row r="9216" spans="2:5" x14ac:dyDescent="0.4">
      <c r="B9216" s="17"/>
      <c r="C9216" s="15"/>
      <c r="D9216" s="15"/>
      <c r="E9216" s="18"/>
    </row>
    <row r="9217" spans="2:5" x14ac:dyDescent="0.4">
      <c r="B9217" s="17"/>
      <c r="C9217" s="15"/>
      <c r="D9217" s="15"/>
      <c r="E9217" s="18"/>
    </row>
    <row r="9218" spans="2:5" x14ac:dyDescent="0.4">
      <c r="B9218" s="17"/>
      <c r="C9218" s="15"/>
      <c r="D9218" s="15"/>
      <c r="E9218" s="18"/>
    </row>
    <row r="9219" spans="2:5" x14ac:dyDescent="0.4">
      <c r="B9219" s="17"/>
      <c r="C9219" s="15"/>
      <c r="D9219" s="15"/>
      <c r="E9219" s="18"/>
    </row>
    <row r="9220" spans="2:5" x14ac:dyDescent="0.4">
      <c r="B9220" s="17"/>
      <c r="C9220" s="15"/>
      <c r="D9220" s="15"/>
      <c r="E9220" s="18"/>
    </row>
    <row r="9221" spans="2:5" x14ac:dyDescent="0.4">
      <c r="B9221" s="17"/>
      <c r="C9221" s="15"/>
      <c r="D9221" s="15"/>
      <c r="E9221" s="18"/>
    </row>
    <row r="9222" spans="2:5" x14ac:dyDescent="0.4">
      <c r="B9222" s="17"/>
      <c r="C9222" s="15"/>
      <c r="D9222" s="15"/>
      <c r="E9222" s="18"/>
    </row>
    <row r="9223" spans="2:5" x14ac:dyDescent="0.4">
      <c r="B9223" s="17"/>
      <c r="C9223" s="15"/>
      <c r="D9223" s="15"/>
      <c r="E9223" s="18"/>
    </row>
    <row r="9224" spans="2:5" x14ac:dyDescent="0.4">
      <c r="B9224" s="17"/>
      <c r="C9224" s="15"/>
      <c r="D9224" s="15"/>
      <c r="E9224" s="18"/>
    </row>
    <row r="9225" spans="2:5" x14ac:dyDescent="0.4">
      <c r="B9225" s="17"/>
      <c r="C9225" s="15"/>
      <c r="D9225" s="15"/>
      <c r="E9225" s="18"/>
    </row>
    <row r="9226" spans="2:5" x14ac:dyDescent="0.4">
      <c r="B9226" s="17"/>
      <c r="C9226" s="15"/>
      <c r="D9226" s="15"/>
      <c r="E9226" s="18"/>
    </row>
    <row r="9227" spans="2:5" x14ac:dyDescent="0.4">
      <c r="B9227" s="17"/>
      <c r="C9227" s="15"/>
      <c r="D9227" s="15"/>
      <c r="E9227" s="18"/>
    </row>
    <row r="9228" spans="2:5" x14ac:dyDescent="0.4">
      <c r="B9228" s="17"/>
      <c r="C9228" s="15"/>
      <c r="D9228" s="15"/>
      <c r="E9228" s="18"/>
    </row>
    <row r="9229" spans="2:5" x14ac:dyDescent="0.4">
      <c r="B9229" s="17"/>
      <c r="C9229" s="15"/>
      <c r="D9229" s="15"/>
      <c r="E9229" s="18"/>
    </row>
    <row r="9230" spans="2:5" x14ac:dyDescent="0.4">
      <c r="B9230" s="17"/>
      <c r="C9230" s="15"/>
      <c r="D9230" s="15"/>
      <c r="E9230" s="18"/>
    </row>
    <row r="9231" spans="2:5" x14ac:dyDescent="0.4">
      <c r="B9231" s="17"/>
      <c r="C9231" s="15"/>
      <c r="D9231" s="15"/>
      <c r="E9231" s="18"/>
    </row>
    <row r="9232" spans="2:5" x14ac:dyDescent="0.4">
      <c r="B9232" s="17"/>
      <c r="C9232" s="15"/>
      <c r="D9232" s="15"/>
      <c r="E9232" s="18"/>
    </row>
    <row r="9233" spans="2:5" x14ac:dyDescent="0.4">
      <c r="B9233" s="17"/>
      <c r="C9233" s="15"/>
      <c r="D9233" s="15"/>
      <c r="E9233" s="18"/>
    </row>
    <row r="9234" spans="2:5" x14ac:dyDescent="0.4">
      <c r="B9234" s="17"/>
      <c r="C9234" s="15"/>
      <c r="D9234" s="15"/>
      <c r="E9234" s="18"/>
    </row>
    <row r="9235" spans="2:5" x14ac:dyDescent="0.4">
      <c r="B9235" s="17"/>
      <c r="C9235" s="15"/>
      <c r="D9235" s="15"/>
      <c r="E9235" s="18"/>
    </row>
    <row r="9236" spans="2:5" x14ac:dyDescent="0.4">
      <c r="B9236" s="17"/>
      <c r="C9236" s="15"/>
      <c r="D9236" s="15"/>
      <c r="E9236" s="18"/>
    </row>
    <row r="9237" spans="2:5" x14ac:dyDescent="0.4">
      <c r="B9237" s="17"/>
      <c r="C9237" s="15"/>
      <c r="D9237" s="15"/>
      <c r="E9237" s="18"/>
    </row>
    <row r="9238" spans="2:5" x14ac:dyDescent="0.4">
      <c r="B9238" s="17"/>
      <c r="C9238" s="15"/>
      <c r="D9238" s="15"/>
      <c r="E9238" s="18"/>
    </row>
    <row r="9239" spans="2:5" x14ac:dyDescent="0.4">
      <c r="B9239" s="17"/>
      <c r="C9239" s="15"/>
      <c r="D9239" s="15"/>
      <c r="E9239" s="18"/>
    </row>
    <row r="9240" spans="2:5" x14ac:dyDescent="0.4">
      <c r="B9240" s="17"/>
      <c r="C9240" s="15"/>
      <c r="D9240" s="15"/>
      <c r="E9240" s="18"/>
    </row>
    <row r="9241" spans="2:5" x14ac:dyDescent="0.4">
      <c r="B9241" s="17"/>
      <c r="C9241" s="15"/>
      <c r="D9241" s="15"/>
      <c r="E9241" s="18"/>
    </row>
    <row r="9242" spans="2:5" x14ac:dyDescent="0.4">
      <c r="B9242" s="17"/>
      <c r="C9242" s="15"/>
      <c r="D9242" s="15"/>
      <c r="E9242" s="18"/>
    </row>
    <row r="9243" spans="2:5" x14ac:dyDescent="0.4">
      <c r="B9243" s="17"/>
      <c r="C9243" s="15"/>
      <c r="D9243" s="15"/>
      <c r="E9243" s="18"/>
    </row>
    <row r="9244" spans="2:5" x14ac:dyDescent="0.4">
      <c r="B9244" s="17"/>
      <c r="C9244" s="15"/>
      <c r="D9244" s="15"/>
      <c r="E9244" s="18"/>
    </row>
    <row r="9245" spans="2:5" x14ac:dyDescent="0.4">
      <c r="B9245" s="17"/>
      <c r="C9245" s="15"/>
      <c r="D9245" s="15"/>
      <c r="E9245" s="18"/>
    </row>
    <row r="9246" spans="2:5" x14ac:dyDescent="0.4">
      <c r="B9246" s="17"/>
      <c r="C9246" s="15"/>
      <c r="D9246" s="15"/>
      <c r="E9246" s="18"/>
    </row>
    <row r="9247" spans="2:5" x14ac:dyDescent="0.4">
      <c r="B9247" s="17"/>
      <c r="C9247" s="15"/>
      <c r="D9247" s="15"/>
      <c r="E9247" s="18"/>
    </row>
    <row r="9248" spans="2:5" x14ac:dyDescent="0.4">
      <c r="B9248" s="17"/>
      <c r="C9248" s="15"/>
      <c r="D9248" s="15"/>
      <c r="E9248" s="18"/>
    </row>
    <row r="9249" spans="2:5" x14ac:dyDescent="0.4">
      <c r="B9249" s="17"/>
      <c r="C9249" s="15"/>
      <c r="D9249" s="15"/>
      <c r="E9249" s="18"/>
    </row>
    <row r="9250" spans="2:5" x14ac:dyDescent="0.4">
      <c r="B9250" s="17"/>
      <c r="C9250" s="15"/>
      <c r="D9250" s="15"/>
      <c r="E9250" s="18"/>
    </row>
    <row r="9251" spans="2:5" x14ac:dyDescent="0.4">
      <c r="B9251" s="17"/>
      <c r="C9251" s="15"/>
      <c r="D9251" s="15"/>
      <c r="E9251" s="18"/>
    </row>
    <row r="9252" spans="2:5" x14ac:dyDescent="0.4">
      <c r="B9252" s="17"/>
      <c r="C9252" s="15"/>
      <c r="D9252" s="15"/>
      <c r="E9252" s="18"/>
    </row>
    <row r="9253" spans="2:5" x14ac:dyDescent="0.4">
      <c r="B9253" s="17"/>
      <c r="C9253" s="15"/>
      <c r="D9253" s="15"/>
      <c r="E9253" s="18"/>
    </row>
    <row r="9254" spans="2:5" x14ac:dyDescent="0.4">
      <c r="B9254" s="17"/>
      <c r="C9254" s="15"/>
      <c r="D9254" s="15"/>
      <c r="E9254" s="18"/>
    </row>
    <row r="9255" spans="2:5" x14ac:dyDescent="0.4">
      <c r="B9255" s="17"/>
      <c r="C9255" s="15"/>
      <c r="D9255" s="15"/>
      <c r="E9255" s="18"/>
    </row>
    <row r="9256" spans="2:5" x14ac:dyDescent="0.4">
      <c r="B9256" s="17"/>
      <c r="C9256" s="15"/>
      <c r="D9256" s="15"/>
      <c r="E9256" s="18"/>
    </row>
    <row r="9257" spans="2:5" x14ac:dyDescent="0.4">
      <c r="B9257" s="17"/>
      <c r="C9257" s="15"/>
      <c r="D9257" s="15"/>
      <c r="E9257" s="18"/>
    </row>
    <row r="9258" spans="2:5" x14ac:dyDescent="0.4">
      <c r="B9258" s="17"/>
      <c r="C9258" s="15"/>
      <c r="D9258" s="15"/>
      <c r="E9258" s="18"/>
    </row>
    <row r="9259" spans="2:5" x14ac:dyDescent="0.4">
      <c r="B9259" s="17"/>
      <c r="C9259" s="15"/>
      <c r="D9259" s="15"/>
      <c r="E9259" s="18"/>
    </row>
    <row r="9260" spans="2:5" x14ac:dyDescent="0.4">
      <c r="B9260" s="17"/>
      <c r="C9260" s="15"/>
      <c r="D9260" s="15"/>
      <c r="E9260" s="18"/>
    </row>
    <row r="9261" spans="2:5" x14ac:dyDescent="0.4">
      <c r="B9261" s="17"/>
      <c r="C9261" s="15"/>
      <c r="D9261" s="15"/>
      <c r="E9261" s="18"/>
    </row>
    <row r="9262" spans="2:5" x14ac:dyDescent="0.4">
      <c r="B9262" s="17"/>
      <c r="C9262" s="15"/>
      <c r="D9262" s="15"/>
      <c r="E9262" s="18"/>
    </row>
    <row r="9263" spans="2:5" x14ac:dyDescent="0.4">
      <c r="B9263" s="17"/>
      <c r="C9263" s="15"/>
      <c r="D9263" s="15"/>
      <c r="E9263" s="18"/>
    </row>
    <row r="9264" spans="2:5" x14ac:dyDescent="0.4">
      <c r="B9264" s="17"/>
      <c r="C9264" s="15"/>
      <c r="D9264" s="15"/>
      <c r="E9264" s="18"/>
    </row>
    <row r="9265" spans="2:5" x14ac:dyDescent="0.4">
      <c r="B9265" s="17"/>
      <c r="C9265" s="15"/>
      <c r="D9265" s="15"/>
      <c r="E9265" s="18"/>
    </row>
    <row r="9266" spans="2:5" x14ac:dyDescent="0.4">
      <c r="B9266" s="17"/>
      <c r="C9266" s="15"/>
      <c r="D9266" s="15"/>
      <c r="E9266" s="18"/>
    </row>
    <row r="9267" spans="2:5" x14ac:dyDescent="0.4">
      <c r="B9267" s="17"/>
      <c r="C9267" s="15"/>
      <c r="D9267" s="15"/>
      <c r="E9267" s="18"/>
    </row>
    <row r="9268" spans="2:5" x14ac:dyDescent="0.4">
      <c r="B9268" s="17"/>
      <c r="C9268" s="15"/>
      <c r="D9268" s="15"/>
      <c r="E9268" s="18"/>
    </row>
    <row r="9269" spans="2:5" x14ac:dyDescent="0.4">
      <c r="B9269" s="17"/>
      <c r="C9269" s="15"/>
      <c r="D9269" s="15"/>
      <c r="E9269" s="18"/>
    </row>
    <row r="9270" spans="2:5" x14ac:dyDescent="0.4">
      <c r="B9270" s="17"/>
      <c r="C9270" s="15"/>
      <c r="D9270" s="15"/>
      <c r="E9270" s="18"/>
    </row>
    <row r="9271" spans="2:5" x14ac:dyDescent="0.4">
      <c r="B9271" s="17"/>
      <c r="C9271" s="15"/>
      <c r="D9271" s="15"/>
      <c r="E9271" s="18"/>
    </row>
    <row r="9272" spans="2:5" x14ac:dyDescent="0.4">
      <c r="B9272" s="17"/>
      <c r="C9272" s="15"/>
      <c r="D9272" s="15"/>
      <c r="E9272" s="18"/>
    </row>
    <row r="9273" spans="2:5" x14ac:dyDescent="0.4">
      <c r="B9273" s="17"/>
      <c r="C9273" s="15"/>
      <c r="D9273" s="15"/>
      <c r="E9273" s="18"/>
    </row>
    <row r="9274" spans="2:5" x14ac:dyDescent="0.4">
      <c r="B9274" s="17"/>
      <c r="C9274" s="15"/>
      <c r="D9274" s="15"/>
      <c r="E9274" s="18"/>
    </row>
    <row r="9275" spans="2:5" x14ac:dyDescent="0.4">
      <c r="B9275" s="17"/>
      <c r="C9275" s="15"/>
      <c r="D9275" s="15"/>
      <c r="E9275" s="18"/>
    </row>
    <row r="9276" spans="2:5" x14ac:dyDescent="0.4">
      <c r="B9276" s="17"/>
      <c r="C9276" s="15"/>
      <c r="D9276" s="15"/>
      <c r="E9276" s="18"/>
    </row>
    <row r="9277" spans="2:5" x14ac:dyDescent="0.4">
      <c r="B9277" s="17"/>
      <c r="C9277" s="15"/>
      <c r="D9277" s="15"/>
      <c r="E9277" s="18"/>
    </row>
    <row r="9278" spans="2:5" x14ac:dyDescent="0.4">
      <c r="B9278" s="17"/>
      <c r="C9278" s="15"/>
      <c r="D9278" s="15"/>
      <c r="E9278" s="18"/>
    </row>
    <row r="9279" spans="2:5" x14ac:dyDescent="0.4">
      <c r="B9279" s="17"/>
      <c r="C9279" s="15"/>
      <c r="D9279" s="15"/>
      <c r="E9279" s="18"/>
    </row>
    <row r="9280" spans="2:5" x14ac:dyDescent="0.4">
      <c r="B9280" s="17"/>
      <c r="C9280" s="15"/>
      <c r="D9280" s="15"/>
      <c r="E9280" s="18"/>
    </row>
    <row r="9281" spans="2:5" x14ac:dyDescent="0.4">
      <c r="B9281" s="17"/>
      <c r="C9281" s="15"/>
      <c r="D9281" s="15"/>
      <c r="E9281" s="18"/>
    </row>
    <row r="9282" spans="2:5" x14ac:dyDescent="0.4">
      <c r="B9282" s="17"/>
      <c r="C9282" s="15"/>
      <c r="D9282" s="15"/>
      <c r="E9282" s="18"/>
    </row>
    <row r="9283" spans="2:5" x14ac:dyDescent="0.4">
      <c r="B9283" s="17"/>
      <c r="C9283" s="15"/>
      <c r="D9283" s="15"/>
      <c r="E9283" s="18"/>
    </row>
    <row r="9284" spans="2:5" x14ac:dyDescent="0.4">
      <c r="B9284" s="17"/>
      <c r="C9284" s="15"/>
      <c r="D9284" s="15"/>
      <c r="E9284" s="18"/>
    </row>
    <row r="9285" spans="2:5" x14ac:dyDescent="0.4">
      <c r="B9285" s="17"/>
      <c r="C9285" s="15"/>
      <c r="D9285" s="15"/>
      <c r="E9285" s="18"/>
    </row>
    <row r="9286" spans="2:5" x14ac:dyDescent="0.4">
      <c r="B9286" s="17"/>
      <c r="C9286" s="15"/>
      <c r="D9286" s="15"/>
      <c r="E9286" s="18"/>
    </row>
    <row r="9287" spans="2:5" x14ac:dyDescent="0.4">
      <c r="B9287" s="17"/>
      <c r="C9287" s="15"/>
      <c r="D9287" s="15"/>
      <c r="E9287" s="18"/>
    </row>
    <row r="9288" spans="2:5" x14ac:dyDescent="0.4">
      <c r="B9288" s="17"/>
      <c r="C9288" s="15"/>
      <c r="D9288" s="15"/>
      <c r="E9288" s="18"/>
    </row>
    <row r="9289" spans="2:5" x14ac:dyDescent="0.4">
      <c r="B9289" s="17"/>
      <c r="C9289" s="15"/>
      <c r="D9289" s="15"/>
      <c r="E9289" s="18"/>
    </row>
    <row r="9290" spans="2:5" x14ac:dyDescent="0.4">
      <c r="B9290" s="17"/>
      <c r="C9290" s="15"/>
      <c r="D9290" s="15"/>
      <c r="E9290" s="18"/>
    </row>
    <row r="9291" spans="2:5" x14ac:dyDescent="0.4">
      <c r="B9291" s="17"/>
      <c r="C9291" s="15"/>
      <c r="D9291" s="15"/>
      <c r="E9291" s="18"/>
    </row>
    <row r="9292" spans="2:5" x14ac:dyDescent="0.4">
      <c r="B9292" s="17"/>
      <c r="C9292" s="15"/>
      <c r="D9292" s="15"/>
      <c r="E9292" s="18"/>
    </row>
    <row r="9293" spans="2:5" x14ac:dyDescent="0.4">
      <c r="B9293" s="17"/>
      <c r="C9293" s="15"/>
      <c r="D9293" s="15"/>
      <c r="E9293" s="18"/>
    </row>
    <row r="9294" spans="2:5" x14ac:dyDescent="0.4">
      <c r="B9294" s="17"/>
      <c r="C9294" s="15"/>
      <c r="D9294" s="15"/>
      <c r="E9294" s="18"/>
    </row>
    <row r="9295" spans="2:5" x14ac:dyDescent="0.4">
      <c r="B9295" s="17"/>
      <c r="C9295" s="15"/>
      <c r="D9295" s="15"/>
      <c r="E9295" s="18"/>
    </row>
    <row r="9296" spans="2:5" x14ac:dyDescent="0.4">
      <c r="B9296" s="17"/>
      <c r="C9296" s="15"/>
      <c r="D9296" s="15"/>
      <c r="E9296" s="18"/>
    </row>
    <row r="9297" spans="2:5" x14ac:dyDescent="0.4">
      <c r="B9297" s="17"/>
      <c r="C9297" s="15"/>
      <c r="D9297" s="15"/>
      <c r="E9297" s="18"/>
    </row>
    <row r="9298" spans="2:5" x14ac:dyDescent="0.4">
      <c r="B9298" s="17"/>
      <c r="C9298" s="15"/>
      <c r="D9298" s="15"/>
      <c r="E9298" s="18"/>
    </row>
    <row r="9299" spans="2:5" x14ac:dyDescent="0.4">
      <c r="B9299" s="17"/>
      <c r="C9299" s="15"/>
      <c r="D9299" s="15"/>
      <c r="E9299" s="18"/>
    </row>
    <row r="9300" spans="2:5" x14ac:dyDescent="0.4">
      <c r="B9300" s="17"/>
      <c r="C9300" s="15"/>
      <c r="D9300" s="15"/>
      <c r="E9300" s="18"/>
    </row>
    <row r="9301" spans="2:5" x14ac:dyDescent="0.4">
      <c r="B9301" s="17"/>
      <c r="C9301" s="15"/>
      <c r="D9301" s="15"/>
      <c r="E9301" s="18"/>
    </row>
    <row r="9302" spans="2:5" x14ac:dyDescent="0.4">
      <c r="B9302" s="17"/>
      <c r="C9302" s="15"/>
      <c r="D9302" s="15"/>
      <c r="E9302" s="18"/>
    </row>
    <row r="9303" spans="2:5" x14ac:dyDescent="0.4">
      <c r="B9303" s="17"/>
      <c r="C9303" s="15"/>
      <c r="D9303" s="15"/>
      <c r="E9303" s="18"/>
    </row>
    <row r="9304" spans="2:5" x14ac:dyDescent="0.4">
      <c r="B9304" s="17"/>
      <c r="C9304" s="15"/>
      <c r="D9304" s="15"/>
      <c r="E9304" s="18"/>
    </row>
    <row r="9305" spans="2:5" x14ac:dyDescent="0.4">
      <c r="B9305" s="17"/>
      <c r="C9305" s="15"/>
      <c r="D9305" s="15"/>
      <c r="E9305" s="18"/>
    </row>
    <row r="9306" spans="2:5" x14ac:dyDescent="0.4">
      <c r="B9306" s="17"/>
      <c r="C9306" s="15"/>
      <c r="D9306" s="15"/>
      <c r="E9306" s="18"/>
    </row>
    <row r="9307" spans="2:5" x14ac:dyDescent="0.4">
      <c r="B9307" s="17"/>
      <c r="C9307" s="15"/>
      <c r="D9307" s="15"/>
      <c r="E9307" s="18"/>
    </row>
    <row r="9308" spans="2:5" x14ac:dyDescent="0.4">
      <c r="B9308" s="17"/>
      <c r="C9308" s="15"/>
      <c r="D9308" s="15"/>
      <c r="E9308" s="18"/>
    </row>
    <row r="9309" spans="2:5" x14ac:dyDescent="0.4">
      <c r="B9309" s="17"/>
      <c r="C9309" s="15"/>
      <c r="D9309" s="15"/>
      <c r="E9309" s="18"/>
    </row>
    <row r="9310" spans="2:5" x14ac:dyDescent="0.4">
      <c r="B9310" s="17"/>
      <c r="C9310" s="15"/>
      <c r="D9310" s="15"/>
      <c r="E9310" s="18"/>
    </row>
    <row r="9311" spans="2:5" x14ac:dyDescent="0.4">
      <c r="B9311" s="17"/>
      <c r="C9311" s="15"/>
      <c r="D9311" s="15"/>
      <c r="E9311" s="18"/>
    </row>
    <row r="9312" spans="2:5" x14ac:dyDescent="0.4">
      <c r="B9312" s="17"/>
      <c r="C9312" s="15"/>
      <c r="D9312" s="15"/>
      <c r="E9312" s="18"/>
    </row>
    <row r="9313" spans="2:5" x14ac:dyDescent="0.4">
      <c r="B9313" s="17"/>
      <c r="C9313" s="15"/>
      <c r="D9313" s="15"/>
      <c r="E9313" s="18"/>
    </row>
    <row r="9314" spans="2:5" x14ac:dyDescent="0.4">
      <c r="B9314" s="17"/>
      <c r="C9314" s="15"/>
      <c r="D9314" s="15"/>
      <c r="E9314" s="18"/>
    </row>
    <row r="9315" spans="2:5" x14ac:dyDescent="0.4">
      <c r="B9315" s="17"/>
      <c r="C9315" s="15"/>
      <c r="D9315" s="15"/>
      <c r="E9315" s="18"/>
    </row>
    <row r="9316" spans="2:5" x14ac:dyDescent="0.4">
      <c r="B9316" s="17"/>
      <c r="C9316" s="15"/>
      <c r="D9316" s="15"/>
      <c r="E9316" s="18"/>
    </row>
    <row r="9317" spans="2:5" x14ac:dyDescent="0.4">
      <c r="B9317" s="17"/>
      <c r="C9317" s="15"/>
      <c r="D9317" s="15"/>
      <c r="E9317" s="18"/>
    </row>
    <row r="9318" spans="2:5" x14ac:dyDescent="0.4">
      <c r="B9318" s="17"/>
      <c r="C9318" s="15"/>
      <c r="D9318" s="15"/>
      <c r="E9318" s="18"/>
    </row>
    <row r="9319" spans="2:5" x14ac:dyDescent="0.4">
      <c r="B9319" s="17"/>
      <c r="C9319" s="15"/>
      <c r="D9319" s="15"/>
      <c r="E9319" s="18"/>
    </row>
    <row r="9320" spans="2:5" x14ac:dyDescent="0.4">
      <c r="B9320" s="17"/>
      <c r="C9320" s="15"/>
      <c r="D9320" s="15"/>
      <c r="E9320" s="18"/>
    </row>
    <row r="9321" spans="2:5" x14ac:dyDescent="0.4">
      <c r="B9321" s="17"/>
      <c r="C9321" s="15"/>
      <c r="D9321" s="15"/>
      <c r="E9321" s="18"/>
    </row>
    <row r="9322" spans="2:5" x14ac:dyDescent="0.4">
      <c r="B9322" s="17"/>
      <c r="C9322" s="15"/>
      <c r="D9322" s="15"/>
      <c r="E9322" s="18"/>
    </row>
    <row r="9323" spans="2:5" x14ac:dyDescent="0.4">
      <c r="B9323" s="17"/>
      <c r="C9323" s="15"/>
      <c r="D9323" s="15"/>
      <c r="E9323" s="18"/>
    </row>
    <row r="9324" spans="2:5" x14ac:dyDescent="0.4">
      <c r="B9324" s="17"/>
      <c r="C9324" s="15"/>
      <c r="D9324" s="15"/>
      <c r="E9324" s="18"/>
    </row>
    <row r="9325" spans="2:5" x14ac:dyDescent="0.4">
      <c r="B9325" s="17"/>
      <c r="C9325" s="15"/>
      <c r="D9325" s="15"/>
      <c r="E9325" s="18"/>
    </row>
    <row r="9326" spans="2:5" x14ac:dyDescent="0.4">
      <c r="B9326" s="17"/>
      <c r="C9326" s="15"/>
      <c r="D9326" s="15"/>
      <c r="E9326" s="18"/>
    </row>
    <row r="9327" spans="2:5" x14ac:dyDescent="0.4">
      <c r="B9327" s="17"/>
      <c r="C9327" s="15"/>
      <c r="D9327" s="15"/>
      <c r="E9327" s="18"/>
    </row>
    <row r="9328" spans="2:5" x14ac:dyDescent="0.4">
      <c r="B9328" s="17"/>
      <c r="C9328" s="15"/>
      <c r="D9328" s="15"/>
      <c r="E9328" s="18"/>
    </row>
    <row r="9329" spans="2:5" x14ac:dyDescent="0.4">
      <c r="B9329" s="17"/>
      <c r="C9329" s="15"/>
      <c r="D9329" s="15"/>
      <c r="E9329" s="18"/>
    </row>
    <row r="9330" spans="2:5" x14ac:dyDescent="0.4">
      <c r="B9330" s="17"/>
      <c r="C9330" s="15"/>
      <c r="D9330" s="15"/>
      <c r="E9330" s="18"/>
    </row>
    <row r="9331" spans="2:5" x14ac:dyDescent="0.4">
      <c r="B9331" s="17"/>
      <c r="C9331" s="15"/>
      <c r="D9331" s="15"/>
      <c r="E9331" s="18"/>
    </row>
    <row r="9332" spans="2:5" x14ac:dyDescent="0.4">
      <c r="B9332" s="17"/>
      <c r="C9332" s="15"/>
      <c r="D9332" s="15"/>
      <c r="E9332" s="18"/>
    </row>
    <row r="9333" spans="2:5" x14ac:dyDescent="0.4">
      <c r="B9333" s="17"/>
      <c r="C9333" s="15"/>
      <c r="D9333" s="15"/>
      <c r="E9333" s="18"/>
    </row>
    <row r="9334" spans="2:5" x14ac:dyDescent="0.4">
      <c r="B9334" s="17"/>
      <c r="C9334" s="15"/>
      <c r="D9334" s="15"/>
      <c r="E9334" s="18"/>
    </row>
    <row r="9335" spans="2:5" x14ac:dyDescent="0.4">
      <c r="B9335" s="17"/>
      <c r="C9335" s="15"/>
      <c r="D9335" s="15"/>
      <c r="E9335" s="18"/>
    </row>
    <row r="9336" spans="2:5" x14ac:dyDescent="0.4">
      <c r="B9336" s="17"/>
      <c r="C9336" s="15"/>
      <c r="D9336" s="15"/>
      <c r="E9336" s="18"/>
    </row>
    <row r="9337" spans="2:5" x14ac:dyDescent="0.4">
      <c r="B9337" s="17"/>
      <c r="C9337" s="15"/>
      <c r="D9337" s="15"/>
      <c r="E9337" s="18"/>
    </row>
    <row r="9338" spans="2:5" x14ac:dyDescent="0.4">
      <c r="B9338" s="17"/>
      <c r="C9338" s="15"/>
      <c r="D9338" s="15"/>
      <c r="E9338" s="18"/>
    </row>
    <row r="9339" spans="2:5" x14ac:dyDescent="0.4">
      <c r="B9339" s="17"/>
      <c r="C9339" s="15"/>
      <c r="D9339" s="15"/>
      <c r="E9339" s="18"/>
    </row>
    <row r="9340" spans="2:5" x14ac:dyDescent="0.4">
      <c r="B9340" s="17"/>
      <c r="C9340" s="15"/>
      <c r="D9340" s="15"/>
      <c r="E9340" s="18"/>
    </row>
    <row r="9341" spans="2:5" x14ac:dyDescent="0.4">
      <c r="B9341" s="17"/>
      <c r="C9341" s="15"/>
      <c r="D9341" s="15"/>
      <c r="E9341" s="18"/>
    </row>
    <row r="9342" spans="2:5" x14ac:dyDescent="0.4">
      <c r="B9342" s="17"/>
      <c r="C9342" s="15"/>
      <c r="D9342" s="15"/>
      <c r="E9342" s="18"/>
    </row>
    <row r="9343" spans="2:5" x14ac:dyDescent="0.4">
      <c r="B9343" s="17"/>
      <c r="C9343" s="15"/>
      <c r="D9343" s="15"/>
      <c r="E9343" s="18"/>
    </row>
    <row r="9344" spans="2:5" x14ac:dyDescent="0.4">
      <c r="B9344" s="17"/>
      <c r="C9344" s="15"/>
      <c r="D9344" s="15"/>
      <c r="E9344" s="18"/>
    </row>
    <row r="9345" spans="2:5" x14ac:dyDescent="0.4">
      <c r="B9345" s="17"/>
      <c r="C9345" s="15"/>
      <c r="D9345" s="15"/>
      <c r="E9345" s="18"/>
    </row>
    <row r="9346" spans="2:5" x14ac:dyDescent="0.4">
      <c r="B9346" s="17"/>
      <c r="C9346" s="15"/>
      <c r="D9346" s="15"/>
      <c r="E9346" s="18"/>
    </row>
    <row r="9347" spans="2:5" x14ac:dyDescent="0.4">
      <c r="B9347" s="17"/>
      <c r="C9347" s="15"/>
      <c r="D9347" s="15"/>
      <c r="E9347" s="18"/>
    </row>
    <row r="9348" spans="2:5" x14ac:dyDescent="0.4">
      <c r="B9348" s="17"/>
      <c r="C9348" s="15"/>
      <c r="D9348" s="15"/>
      <c r="E9348" s="18"/>
    </row>
    <row r="9349" spans="2:5" x14ac:dyDescent="0.4">
      <c r="B9349" s="17"/>
      <c r="C9349" s="15"/>
      <c r="D9349" s="15"/>
      <c r="E9349" s="18"/>
    </row>
    <row r="9350" spans="2:5" x14ac:dyDescent="0.4">
      <c r="B9350" s="17"/>
      <c r="C9350" s="15"/>
      <c r="D9350" s="15"/>
      <c r="E9350" s="18"/>
    </row>
    <row r="9351" spans="2:5" x14ac:dyDescent="0.4">
      <c r="B9351" s="17"/>
      <c r="C9351" s="15"/>
      <c r="D9351" s="15"/>
      <c r="E9351" s="18"/>
    </row>
    <row r="9352" spans="2:5" x14ac:dyDescent="0.4">
      <c r="B9352" s="17"/>
      <c r="C9352" s="15"/>
      <c r="D9352" s="15"/>
      <c r="E9352" s="18"/>
    </row>
    <row r="9353" spans="2:5" x14ac:dyDescent="0.4">
      <c r="B9353" s="17"/>
      <c r="C9353" s="15"/>
      <c r="D9353" s="15"/>
      <c r="E9353" s="18"/>
    </row>
    <row r="9354" spans="2:5" x14ac:dyDescent="0.4">
      <c r="B9354" s="17"/>
      <c r="C9354" s="15"/>
      <c r="D9354" s="15"/>
      <c r="E9354" s="18"/>
    </row>
    <row r="9355" spans="2:5" x14ac:dyDescent="0.4">
      <c r="B9355" s="17"/>
      <c r="C9355" s="15"/>
      <c r="D9355" s="15"/>
      <c r="E9355" s="18"/>
    </row>
    <row r="9356" spans="2:5" x14ac:dyDescent="0.4">
      <c r="B9356" s="17"/>
      <c r="C9356" s="15"/>
      <c r="D9356" s="15"/>
      <c r="E9356" s="18"/>
    </row>
    <row r="9357" spans="2:5" x14ac:dyDescent="0.4">
      <c r="B9357" s="17"/>
      <c r="C9357" s="15"/>
      <c r="D9357" s="15"/>
      <c r="E9357" s="18"/>
    </row>
    <row r="9358" spans="2:5" x14ac:dyDescent="0.4">
      <c r="B9358" s="17"/>
      <c r="C9358" s="15"/>
      <c r="D9358" s="15"/>
      <c r="E9358" s="18"/>
    </row>
    <row r="9359" spans="2:5" x14ac:dyDescent="0.4">
      <c r="B9359" s="17"/>
      <c r="C9359" s="15"/>
      <c r="D9359" s="15"/>
      <c r="E9359" s="18"/>
    </row>
    <row r="9360" spans="2:5" x14ac:dyDescent="0.4">
      <c r="B9360" s="17"/>
      <c r="C9360" s="15"/>
      <c r="D9360" s="15"/>
      <c r="E9360" s="18"/>
    </row>
    <row r="9361" spans="2:5" x14ac:dyDescent="0.4">
      <c r="B9361" s="17"/>
      <c r="C9361" s="15"/>
      <c r="D9361" s="15"/>
      <c r="E9361" s="18"/>
    </row>
    <row r="9362" spans="2:5" x14ac:dyDescent="0.4">
      <c r="B9362" s="17"/>
      <c r="C9362" s="15"/>
      <c r="D9362" s="15"/>
      <c r="E9362" s="18"/>
    </row>
    <row r="9363" spans="2:5" x14ac:dyDescent="0.4">
      <c r="B9363" s="17"/>
      <c r="C9363" s="15"/>
      <c r="D9363" s="15"/>
      <c r="E9363" s="18"/>
    </row>
    <row r="9364" spans="2:5" x14ac:dyDescent="0.4">
      <c r="B9364" s="17"/>
      <c r="C9364" s="15"/>
      <c r="D9364" s="15"/>
      <c r="E9364" s="18"/>
    </row>
    <row r="9365" spans="2:5" x14ac:dyDescent="0.4">
      <c r="B9365" s="17"/>
      <c r="C9365" s="15"/>
      <c r="D9365" s="15"/>
      <c r="E9365" s="18"/>
    </row>
    <row r="9366" spans="2:5" x14ac:dyDescent="0.4">
      <c r="B9366" s="17"/>
      <c r="C9366" s="15"/>
      <c r="D9366" s="15"/>
      <c r="E9366" s="18"/>
    </row>
    <row r="9367" spans="2:5" x14ac:dyDescent="0.4">
      <c r="B9367" s="17"/>
      <c r="C9367" s="15"/>
      <c r="D9367" s="15"/>
      <c r="E9367" s="18"/>
    </row>
    <row r="9368" spans="2:5" x14ac:dyDescent="0.4">
      <c r="B9368" s="17"/>
      <c r="C9368" s="15"/>
      <c r="D9368" s="15"/>
      <c r="E9368" s="18"/>
    </row>
    <row r="9369" spans="2:5" x14ac:dyDescent="0.4">
      <c r="B9369" s="17"/>
      <c r="C9369" s="15"/>
      <c r="D9369" s="15"/>
      <c r="E9369" s="18"/>
    </row>
    <row r="9370" spans="2:5" x14ac:dyDescent="0.4">
      <c r="B9370" s="17"/>
      <c r="C9370" s="15"/>
      <c r="D9370" s="15"/>
      <c r="E9370" s="18"/>
    </row>
    <row r="9371" spans="2:5" x14ac:dyDescent="0.4">
      <c r="B9371" s="17"/>
      <c r="C9371" s="15"/>
      <c r="D9371" s="15"/>
      <c r="E9371" s="18"/>
    </row>
    <row r="9372" spans="2:5" x14ac:dyDescent="0.4">
      <c r="B9372" s="17"/>
      <c r="C9372" s="15"/>
      <c r="D9372" s="15"/>
      <c r="E9372" s="18"/>
    </row>
    <row r="9373" spans="2:5" x14ac:dyDescent="0.4">
      <c r="B9373" s="17"/>
      <c r="C9373" s="15"/>
      <c r="D9373" s="15"/>
      <c r="E9373" s="18"/>
    </row>
    <row r="9374" spans="2:5" x14ac:dyDescent="0.4">
      <c r="B9374" s="17"/>
      <c r="C9374" s="15"/>
      <c r="D9374" s="15"/>
      <c r="E9374" s="18"/>
    </row>
    <row r="9375" spans="2:5" x14ac:dyDescent="0.4">
      <c r="B9375" s="17"/>
      <c r="C9375" s="15"/>
      <c r="D9375" s="15"/>
      <c r="E9375" s="18"/>
    </row>
    <row r="9376" spans="2:5" x14ac:dyDescent="0.4">
      <c r="B9376" s="17"/>
      <c r="C9376" s="15"/>
      <c r="D9376" s="15"/>
      <c r="E9376" s="18"/>
    </row>
    <row r="9377" spans="2:5" x14ac:dyDescent="0.4">
      <c r="B9377" s="17"/>
      <c r="C9377" s="15"/>
      <c r="D9377" s="15"/>
      <c r="E9377" s="18"/>
    </row>
    <row r="9378" spans="2:5" x14ac:dyDescent="0.4">
      <c r="B9378" s="17"/>
      <c r="C9378" s="15"/>
      <c r="D9378" s="15"/>
      <c r="E9378" s="18"/>
    </row>
    <row r="9379" spans="2:5" x14ac:dyDescent="0.4">
      <c r="B9379" s="17"/>
      <c r="C9379" s="15"/>
      <c r="D9379" s="15"/>
      <c r="E9379" s="18"/>
    </row>
    <row r="9380" spans="2:5" x14ac:dyDescent="0.4">
      <c r="B9380" s="17"/>
      <c r="C9380" s="15"/>
      <c r="D9380" s="15"/>
      <c r="E9380" s="18"/>
    </row>
    <row r="9381" spans="2:5" x14ac:dyDescent="0.4">
      <c r="B9381" s="17"/>
      <c r="C9381" s="15"/>
      <c r="D9381" s="15"/>
      <c r="E9381" s="18"/>
    </row>
    <row r="9382" spans="2:5" x14ac:dyDescent="0.4">
      <c r="B9382" s="17"/>
      <c r="C9382" s="15"/>
      <c r="D9382" s="15"/>
      <c r="E9382" s="18"/>
    </row>
    <row r="9383" spans="2:5" x14ac:dyDescent="0.4">
      <c r="B9383" s="17"/>
      <c r="C9383" s="15"/>
      <c r="D9383" s="15"/>
      <c r="E9383" s="18"/>
    </row>
    <row r="9384" spans="2:5" x14ac:dyDescent="0.4">
      <c r="B9384" s="17"/>
      <c r="C9384" s="15"/>
      <c r="D9384" s="15"/>
      <c r="E9384" s="18"/>
    </row>
    <row r="9385" spans="2:5" x14ac:dyDescent="0.4">
      <c r="B9385" s="17"/>
      <c r="C9385" s="15"/>
      <c r="D9385" s="15"/>
      <c r="E9385" s="18"/>
    </row>
    <row r="9386" spans="2:5" x14ac:dyDescent="0.4">
      <c r="B9386" s="17"/>
      <c r="C9386" s="15"/>
      <c r="D9386" s="15"/>
      <c r="E9386" s="18"/>
    </row>
    <row r="9387" spans="2:5" x14ac:dyDescent="0.4">
      <c r="B9387" s="17"/>
      <c r="C9387" s="15"/>
      <c r="D9387" s="15"/>
      <c r="E9387" s="18"/>
    </row>
    <row r="9388" spans="2:5" x14ac:dyDescent="0.4">
      <c r="B9388" s="17"/>
      <c r="C9388" s="15"/>
      <c r="D9388" s="15"/>
      <c r="E9388" s="18"/>
    </row>
    <row r="9389" spans="2:5" x14ac:dyDescent="0.4">
      <c r="B9389" s="17"/>
      <c r="C9389" s="15"/>
      <c r="D9389" s="15"/>
      <c r="E9389" s="18"/>
    </row>
    <row r="9390" spans="2:5" x14ac:dyDescent="0.4">
      <c r="B9390" s="17"/>
      <c r="C9390" s="15"/>
      <c r="D9390" s="15"/>
      <c r="E9390" s="18"/>
    </row>
    <row r="9391" spans="2:5" x14ac:dyDescent="0.4">
      <c r="B9391" s="17"/>
      <c r="C9391" s="15"/>
      <c r="D9391" s="15"/>
      <c r="E9391" s="18"/>
    </row>
    <row r="9392" spans="2:5" x14ac:dyDescent="0.4">
      <c r="B9392" s="17"/>
      <c r="C9392" s="15"/>
      <c r="D9392" s="15"/>
      <c r="E9392" s="18"/>
    </row>
    <row r="9393" spans="2:5" x14ac:dyDescent="0.4">
      <c r="B9393" s="17"/>
      <c r="C9393" s="15"/>
      <c r="D9393" s="15"/>
      <c r="E9393" s="18"/>
    </row>
    <row r="9394" spans="2:5" x14ac:dyDescent="0.4">
      <c r="B9394" s="17"/>
      <c r="C9394" s="15"/>
      <c r="D9394" s="15"/>
      <c r="E9394" s="18"/>
    </row>
    <row r="9395" spans="2:5" x14ac:dyDescent="0.4">
      <c r="B9395" s="17"/>
      <c r="C9395" s="15"/>
      <c r="D9395" s="15"/>
      <c r="E9395" s="18"/>
    </row>
    <row r="9396" spans="2:5" x14ac:dyDescent="0.4">
      <c r="B9396" s="17"/>
      <c r="C9396" s="15"/>
      <c r="D9396" s="15"/>
      <c r="E9396" s="18"/>
    </row>
    <row r="9397" spans="2:5" x14ac:dyDescent="0.4">
      <c r="B9397" s="17"/>
      <c r="C9397" s="15"/>
      <c r="D9397" s="15"/>
      <c r="E9397" s="18"/>
    </row>
    <row r="9398" spans="2:5" x14ac:dyDescent="0.4">
      <c r="B9398" s="17"/>
      <c r="C9398" s="15"/>
      <c r="D9398" s="15"/>
      <c r="E9398" s="18"/>
    </row>
    <row r="9399" spans="2:5" x14ac:dyDescent="0.4">
      <c r="B9399" s="17"/>
      <c r="C9399" s="15"/>
      <c r="D9399" s="15"/>
      <c r="E9399" s="18"/>
    </row>
    <row r="9400" spans="2:5" x14ac:dyDescent="0.4">
      <c r="B9400" s="17"/>
      <c r="C9400" s="15"/>
      <c r="D9400" s="15"/>
      <c r="E9400" s="18"/>
    </row>
    <row r="9401" spans="2:5" x14ac:dyDescent="0.4">
      <c r="B9401" s="17"/>
      <c r="C9401" s="15"/>
      <c r="D9401" s="15"/>
      <c r="E9401" s="18"/>
    </row>
    <row r="9402" spans="2:5" x14ac:dyDescent="0.4">
      <c r="B9402" s="17"/>
      <c r="C9402" s="15"/>
      <c r="D9402" s="15"/>
      <c r="E9402" s="18"/>
    </row>
    <row r="9403" spans="2:5" x14ac:dyDescent="0.4">
      <c r="B9403" s="17"/>
      <c r="C9403" s="15"/>
      <c r="D9403" s="15"/>
      <c r="E9403" s="18"/>
    </row>
    <row r="9404" spans="2:5" x14ac:dyDescent="0.4">
      <c r="B9404" s="17"/>
      <c r="C9404" s="15"/>
      <c r="D9404" s="15"/>
      <c r="E9404" s="18"/>
    </row>
    <row r="9405" spans="2:5" x14ac:dyDescent="0.4">
      <c r="B9405" s="17"/>
      <c r="C9405" s="15"/>
      <c r="D9405" s="15"/>
      <c r="E9405" s="18"/>
    </row>
    <row r="9406" spans="2:5" x14ac:dyDescent="0.4">
      <c r="B9406" s="17"/>
      <c r="C9406" s="15"/>
      <c r="D9406" s="15"/>
      <c r="E9406" s="18"/>
    </row>
    <row r="9407" spans="2:5" x14ac:dyDescent="0.4">
      <c r="B9407" s="17"/>
      <c r="C9407" s="15"/>
      <c r="D9407" s="15"/>
      <c r="E9407" s="18"/>
    </row>
    <row r="9408" spans="2:5" x14ac:dyDescent="0.4">
      <c r="B9408" s="17"/>
      <c r="C9408" s="15"/>
      <c r="D9408" s="15"/>
      <c r="E9408" s="18"/>
    </row>
    <row r="9409" spans="2:5" x14ac:dyDescent="0.4">
      <c r="B9409" s="17"/>
      <c r="C9409" s="15"/>
      <c r="D9409" s="15"/>
      <c r="E9409" s="18"/>
    </row>
    <row r="9410" spans="2:5" x14ac:dyDescent="0.4">
      <c r="B9410" s="17"/>
      <c r="C9410" s="15"/>
      <c r="D9410" s="15"/>
      <c r="E9410" s="18"/>
    </row>
    <row r="9411" spans="2:5" x14ac:dyDescent="0.4">
      <c r="B9411" s="17"/>
      <c r="C9411" s="15"/>
      <c r="D9411" s="15"/>
      <c r="E9411" s="18"/>
    </row>
    <row r="9412" spans="2:5" x14ac:dyDescent="0.4">
      <c r="B9412" s="17"/>
      <c r="C9412" s="15"/>
      <c r="D9412" s="15"/>
      <c r="E9412" s="18"/>
    </row>
    <row r="9413" spans="2:5" x14ac:dyDescent="0.4">
      <c r="B9413" s="17"/>
      <c r="C9413" s="15"/>
      <c r="D9413" s="15"/>
      <c r="E9413" s="18"/>
    </row>
    <row r="9414" spans="2:5" x14ac:dyDescent="0.4">
      <c r="B9414" s="17"/>
      <c r="C9414" s="15"/>
      <c r="D9414" s="15"/>
      <c r="E9414" s="18"/>
    </row>
    <row r="9415" spans="2:5" x14ac:dyDescent="0.4">
      <c r="B9415" s="17"/>
      <c r="C9415" s="15"/>
      <c r="D9415" s="15"/>
      <c r="E9415" s="18"/>
    </row>
    <row r="9416" spans="2:5" x14ac:dyDescent="0.4">
      <c r="B9416" s="17"/>
      <c r="C9416" s="15"/>
      <c r="D9416" s="15"/>
      <c r="E9416" s="18"/>
    </row>
    <row r="9417" spans="2:5" x14ac:dyDescent="0.4">
      <c r="B9417" s="17"/>
      <c r="C9417" s="15"/>
      <c r="D9417" s="15"/>
      <c r="E9417" s="18"/>
    </row>
    <row r="9418" spans="2:5" x14ac:dyDescent="0.4">
      <c r="B9418" s="17"/>
      <c r="C9418" s="15"/>
      <c r="D9418" s="15"/>
      <c r="E9418" s="18"/>
    </row>
    <row r="9419" spans="2:5" x14ac:dyDescent="0.4">
      <c r="B9419" s="17"/>
      <c r="C9419" s="15"/>
      <c r="D9419" s="15"/>
      <c r="E9419" s="18"/>
    </row>
    <row r="9420" spans="2:5" x14ac:dyDescent="0.4">
      <c r="B9420" s="17"/>
      <c r="C9420" s="15"/>
      <c r="D9420" s="15"/>
      <c r="E9420" s="18"/>
    </row>
    <row r="9421" spans="2:5" x14ac:dyDescent="0.4">
      <c r="B9421" s="17"/>
      <c r="C9421" s="15"/>
      <c r="D9421" s="15"/>
      <c r="E9421" s="18"/>
    </row>
    <row r="9422" spans="2:5" x14ac:dyDescent="0.4">
      <c r="B9422" s="17"/>
      <c r="C9422" s="15"/>
      <c r="D9422" s="15"/>
      <c r="E9422" s="18"/>
    </row>
    <row r="9423" spans="2:5" x14ac:dyDescent="0.4">
      <c r="B9423" s="17"/>
      <c r="C9423" s="15"/>
      <c r="D9423" s="15"/>
      <c r="E9423" s="18"/>
    </row>
    <row r="9424" spans="2:5" x14ac:dyDescent="0.4">
      <c r="B9424" s="17"/>
      <c r="C9424" s="15"/>
      <c r="D9424" s="15"/>
      <c r="E9424" s="18"/>
    </row>
    <row r="9425" spans="2:5" x14ac:dyDescent="0.4">
      <c r="B9425" s="17"/>
      <c r="C9425" s="15"/>
      <c r="D9425" s="15"/>
      <c r="E9425" s="18"/>
    </row>
    <row r="9426" spans="2:5" x14ac:dyDescent="0.4">
      <c r="B9426" s="17"/>
      <c r="C9426" s="15"/>
      <c r="D9426" s="15"/>
      <c r="E9426" s="18"/>
    </row>
    <row r="9427" spans="2:5" x14ac:dyDescent="0.4">
      <c r="B9427" s="17"/>
      <c r="C9427" s="15"/>
      <c r="D9427" s="15"/>
      <c r="E9427" s="18"/>
    </row>
    <row r="9428" spans="2:5" x14ac:dyDescent="0.4">
      <c r="B9428" s="17"/>
      <c r="C9428" s="15"/>
      <c r="D9428" s="15"/>
      <c r="E9428" s="18"/>
    </row>
    <row r="9429" spans="2:5" x14ac:dyDescent="0.4">
      <c r="B9429" s="17"/>
      <c r="C9429" s="15"/>
      <c r="D9429" s="15"/>
      <c r="E9429" s="18"/>
    </row>
    <row r="9430" spans="2:5" x14ac:dyDescent="0.4">
      <c r="B9430" s="17"/>
      <c r="C9430" s="15"/>
      <c r="D9430" s="15"/>
      <c r="E9430" s="18"/>
    </row>
    <row r="9431" spans="2:5" x14ac:dyDescent="0.4">
      <c r="B9431" s="17"/>
      <c r="C9431" s="15"/>
      <c r="D9431" s="15"/>
      <c r="E9431" s="18"/>
    </row>
    <row r="9432" spans="2:5" x14ac:dyDescent="0.4">
      <c r="B9432" s="17"/>
      <c r="C9432" s="15"/>
      <c r="D9432" s="15"/>
      <c r="E9432" s="18"/>
    </row>
    <row r="9433" spans="2:5" x14ac:dyDescent="0.4">
      <c r="B9433" s="17"/>
      <c r="C9433" s="15"/>
      <c r="D9433" s="15"/>
      <c r="E9433" s="18"/>
    </row>
    <row r="9434" spans="2:5" x14ac:dyDescent="0.4">
      <c r="B9434" s="17"/>
      <c r="C9434" s="15"/>
      <c r="D9434" s="15"/>
      <c r="E9434" s="18"/>
    </row>
    <row r="9435" spans="2:5" x14ac:dyDescent="0.4">
      <c r="B9435" s="17"/>
      <c r="C9435" s="15"/>
      <c r="D9435" s="15"/>
      <c r="E9435" s="18"/>
    </row>
    <row r="9436" spans="2:5" x14ac:dyDescent="0.4">
      <c r="B9436" s="17"/>
      <c r="C9436" s="15"/>
      <c r="D9436" s="15"/>
      <c r="E9436" s="18"/>
    </row>
    <row r="9437" spans="2:5" x14ac:dyDescent="0.4">
      <c r="B9437" s="17"/>
      <c r="C9437" s="15"/>
      <c r="D9437" s="15"/>
      <c r="E9437" s="18"/>
    </row>
    <row r="9438" spans="2:5" x14ac:dyDescent="0.4">
      <c r="B9438" s="17"/>
      <c r="C9438" s="15"/>
      <c r="D9438" s="15"/>
      <c r="E9438" s="18"/>
    </row>
    <row r="9439" spans="2:5" x14ac:dyDescent="0.4">
      <c r="B9439" s="17"/>
      <c r="C9439" s="15"/>
      <c r="D9439" s="15"/>
      <c r="E9439" s="18"/>
    </row>
    <row r="9440" spans="2:5" x14ac:dyDescent="0.4">
      <c r="B9440" s="17"/>
      <c r="C9440" s="15"/>
      <c r="D9440" s="15"/>
      <c r="E9440" s="18"/>
    </row>
    <row r="9441" spans="2:5" x14ac:dyDescent="0.4">
      <c r="B9441" s="17"/>
      <c r="C9441" s="15"/>
      <c r="D9441" s="15"/>
      <c r="E9441" s="18"/>
    </row>
    <row r="9442" spans="2:5" x14ac:dyDescent="0.4">
      <c r="B9442" s="17"/>
      <c r="C9442" s="15"/>
      <c r="D9442" s="15"/>
      <c r="E9442" s="18"/>
    </row>
    <row r="9443" spans="2:5" x14ac:dyDescent="0.4">
      <c r="B9443" s="17"/>
      <c r="C9443" s="15"/>
      <c r="D9443" s="15"/>
      <c r="E9443" s="18"/>
    </row>
    <row r="9444" spans="2:5" x14ac:dyDescent="0.4">
      <c r="B9444" s="17"/>
      <c r="C9444" s="15"/>
      <c r="D9444" s="15"/>
      <c r="E9444" s="18"/>
    </row>
    <row r="9445" spans="2:5" x14ac:dyDescent="0.4">
      <c r="B9445" s="17"/>
      <c r="C9445" s="15"/>
      <c r="D9445" s="15"/>
      <c r="E9445" s="18"/>
    </row>
    <row r="9446" spans="2:5" x14ac:dyDescent="0.4">
      <c r="B9446" s="17"/>
      <c r="C9446" s="15"/>
      <c r="D9446" s="15"/>
      <c r="E9446" s="18"/>
    </row>
    <row r="9447" spans="2:5" x14ac:dyDescent="0.4">
      <c r="B9447" s="17"/>
      <c r="C9447" s="15"/>
      <c r="D9447" s="15"/>
      <c r="E9447" s="18"/>
    </row>
    <row r="9448" spans="2:5" x14ac:dyDescent="0.4">
      <c r="B9448" s="17"/>
      <c r="C9448" s="15"/>
      <c r="D9448" s="15"/>
      <c r="E9448" s="18"/>
    </row>
    <row r="9449" spans="2:5" x14ac:dyDescent="0.4">
      <c r="B9449" s="17"/>
      <c r="C9449" s="15"/>
      <c r="D9449" s="15"/>
      <c r="E9449" s="18"/>
    </row>
    <row r="9450" spans="2:5" x14ac:dyDescent="0.4">
      <c r="B9450" s="17"/>
      <c r="C9450" s="15"/>
      <c r="D9450" s="15"/>
      <c r="E9450" s="18"/>
    </row>
    <row r="9451" spans="2:5" x14ac:dyDescent="0.4">
      <c r="B9451" s="17"/>
      <c r="C9451" s="15"/>
      <c r="D9451" s="15"/>
      <c r="E9451" s="18"/>
    </row>
    <row r="9452" spans="2:5" x14ac:dyDescent="0.4">
      <c r="B9452" s="17"/>
      <c r="C9452" s="15"/>
      <c r="D9452" s="15"/>
      <c r="E9452" s="18"/>
    </row>
    <row r="9453" spans="2:5" x14ac:dyDescent="0.4">
      <c r="B9453" s="17"/>
      <c r="C9453" s="15"/>
      <c r="D9453" s="15"/>
      <c r="E9453" s="18"/>
    </row>
    <row r="9454" spans="2:5" x14ac:dyDescent="0.4">
      <c r="B9454" s="17"/>
      <c r="C9454" s="15"/>
      <c r="D9454" s="15"/>
      <c r="E9454" s="18"/>
    </row>
    <row r="9455" spans="2:5" x14ac:dyDescent="0.4">
      <c r="B9455" s="17"/>
      <c r="C9455" s="15"/>
      <c r="D9455" s="15"/>
      <c r="E9455" s="18"/>
    </row>
    <row r="9456" spans="2:5" x14ac:dyDescent="0.4">
      <c r="B9456" s="17"/>
      <c r="C9456" s="15"/>
      <c r="D9456" s="15"/>
      <c r="E9456" s="18"/>
    </row>
    <row r="9457" spans="2:5" x14ac:dyDescent="0.4">
      <c r="B9457" s="17"/>
      <c r="C9457" s="15"/>
      <c r="D9457" s="15"/>
      <c r="E9457" s="18"/>
    </row>
    <row r="9458" spans="2:5" x14ac:dyDescent="0.4">
      <c r="B9458" s="17"/>
      <c r="C9458" s="15"/>
      <c r="D9458" s="15"/>
      <c r="E9458" s="18"/>
    </row>
    <row r="9459" spans="2:5" x14ac:dyDescent="0.4">
      <c r="B9459" s="17"/>
      <c r="C9459" s="15"/>
      <c r="D9459" s="15"/>
      <c r="E9459" s="18"/>
    </row>
    <row r="9460" spans="2:5" x14ac:dyDescent="0.4">
      <c r="B9460" s="17"/>
      <c r="C9460" s="15"/>
      <c r="D9460" s="15"/>
      <c r="E9460" s="18"/>
    </row>
    <row r="9461" spans="2:5" x14ac:dyDescent="0.4">
      <c r="B9461" s="17"/>
      <c r="C9461" s="15"/>
      <c r="D9461" s="15"/>
      <c r="E9461" s="18"/>
    </row>
    <row r="9462" spans="2:5" x14ac:dyDescent="0.4">
      <c r="B9462" s="17"/>
      <c r="C9462" s="15"/>
      <c r="D9462" s="15"/>
      <c r="E9462" s="18"/>
    </row>
    <row r="9463" spans="2:5" x14ac:dyDescent="0.4">
      <c r="B9463" s="17"/>
      <c r="C9463" s="15"/>
      <c r="D9463" s="15"/>
      <c r="E9463" s="18"/>
    </row>
    <row r="9464" spans="2:5" x14ac:dyDescent="0.4">
      <c r="B9464" s="17"/>
      <c r="C9464" s="15"/>
      <c r="D9464" s="15"/>
      <c r="E9464" s="18"/>
    </row>
    <row r="9465" spans="2:5" x14ac:dyDescent="0.4">
      <c r="B9465" s="17"/>
      <c r="C9465" s="15"/>
      <c r="D9465" s="15"/>
      <c r="E9465" s="18"/>
    </row>
    <row r="9466" spans="2:5" x14ac:dyDescent="0.4">
      <c r="B9466" s="17"/>
      <c r="C9466" s="15"/>
      <c r="D9466" s="15"/>
      <c r="E9466" s="18"/>
    </row>
    <row r="9467" spans="2:5" x14ac:dyDescent="0.4">
      <c r="B9467" s="17"/>
      <c r="C9467" s="15"/>
      <c r="D9467" s="15"/>
      <c r="E9467" s="18"/>
    </row>
    <row r="9468" spans="2:5" x14ac:dyDescent="0.4">
      <c r="B9468" s="17"/>
      <c r="C9468" s="15"/>
      <c r="D9468" s="15"/>
      <c r="E9468" s="18"/>
    </row>
    <row r="9469" spans="2:5" x14ac:dyDescent="0.4">
      <c r="B9469" s="17"/>
      <c r="C9469" s="15"/>
      <c r="D9469" s="15"/>
      <c r="E9469" s="18"/>
    </row>
    <row r="9470" spans="2:5" x14ac:dyDescent="0.4">
      <c r="B9470" s="17"/>
      <c r="C9470" s="15"/>
      <c r="D9470" s="15"/>
      <c r="E9470" s="18"/>
    </row>
    <row r="9471" spans="2:5" x14ac:dyDescent="0.4">
      <c r="B9471" s="17"/>
      <c r="C9471" s="15"/>
      <c r="D9471" s="15"/>
      <c r="E9471" s="18"/>
    </row>
    <row r="9472" spans="2:5" x14ac:dyDescent="0.4">
      <c r="B9472" s="17"/>
      <c r="C9472" s="15"/>
      <c r="D9472" s="15"/>
      <c r="E9472" s="18"/>
    </row>
    <row r="9473" spans="2:5" x14ac:dyDescent="0.4">
      <c r="B9473" s="17"/>
      <c r="C9473" s="15"/>
      <c r="D9473" s="15"/>
      <c r="E9473" s="18"/>
    </row>
    <row r="9474" spans="2:5" x14ac:dyDescent="0.4">
      <c r="B9474" s="17"/>
      <c r="C9474" s="15"/>
      <c r="D9474" s="15"/>
      <c r="E9474" s="18"/>
    </row>
    <row r="9475" spans="2:5" x14ac:dyDescent="0.4">
      <c r="B9475" s="17"/>
      <c r="C9475" s="15"/>
      <c r="D9475" s="15"/>
      <c r="E9475" s="18"/>
    </row>
    <row r="9476" spans="2:5" x14ac:dyDescent="0.4">
      <c r="B9476" s="17"/>
      <c r="C9476" s="15"/>
      <c r="D9476" s="15"/>
      <c r="E9476" s="18"/>
    </row>
    <row r="9477" spans="2:5" x14ac:dyDescent="0.4">
      <c r="B9477" s="17"/>
      <c r="C9477" s="15"/>
      <c r="D9477" s="15"/>
      <c r="E9477" s="18"/>
    </row>
    <row r="9478" spans="2:5" x14ac:dyDescent="0.4">
      <c r="B9478" s="17"/>
      <c r="C9478" s="15"/>
      <c r="D9478" s="15"/>
      <c r="E9478" s="18"/>
    </row>
    <row r="9479" spans="2:5" x14ac:dyDescent="0.4">
      <c r="B9479" s="17"/>
      <c r="C9479" s="15"/>
      <c r="D9479" s="15"/>
      <c r="E9479" s="18"/>
    </row>
    <row r="9480" spans="2:5" x14ac:dyDescent="0.4">
      <c r="B9480" s="17"/>
      <c r="C9480" s="15"/>
      <c r="D9480" s="15"/>
      <c r="E9480" s="18"/>
    </row>
    <row r="9481" spans="2:5" x14ac:dyDescent="0.4">
      <c r="B9481" s="17"/>
      <c r="C9481" s="15"/>
      <c r="D9481" s="15"/>
      <c r="E9481" s="18"/>
    </row>
    <row r="9482" spans="2:5" x14ac:dyDescent="0.4">
      <c r="B9482" s="17"/>
      <c r="C9482" s="15"/>
      <c r="D9482" s="15"/>
      <c r="E9482" s="18"/>
    </row>
    <row r="9483" spans="2:5" x14ac:dyDescent="0.4">
      <c r="B9483" s="17"/>
      <c r="C9483" s="15"/>
      <c r="D9483" s="15"/>
      <c r="E9483" s="18"/>
    </row>
    <row r="9484" spans="2:5" x14ac:dyDescent="0.4">
      <c r="B9484" s="17"/>
      <c r="C9484" s="15"/>
      <c r="D9484" s="15"/>
      <c r="E9484" s="18"/>
    </row>
    <row r="9485" spans="2:5" x14ac:dyDescent="0.4">
      <c r="B9485" s="17"/>
      <c r="C9485" s="15"/>
      <c r="D9485" s="15"/>
      <c r="E9485" s="18"/>
    </row>
    <row r="9486" spans="2:5" x14ac:dyDescent="0.4">
      <c r="B9486" s="17"/>
      <c r="C9486" s="15"/>
      <c r="D9486" s="15"/>
      <c r="E9486" s="18"/>
    </row>
    <row r="9487" spans="2:5" x14ac:dyDescent="0.4">
      <c r="B9487" s="17"/>
      <c r="C9487" s="15"/>
      <c r="D9487" s="15"/>
      <c r="E9487" s="18"/>
    </row>
    <row r="9488" spans="2:5" x14ac:dyDescent="0.4">
      <c r="B9488" s="17"/>
      <c r="C9488" s="15"/>
      <c r="D9488" s="15"/>
      <c r="E9488" s="18"/>
    </row>
    <row r="9489" spans="2:5" x14ac:dyDescent="0.4">
      <c r="B9489" s="17"/>
      <c r="C9489" s="15"/>
      <c r="D9489" s="15"/>
      <c r="E9489" s="18"/>
    </row>
    <row r="9490" spans="2:5" x14ac:dyDescent="0.4">
      <c r="B9490" s="17"/>
      <c r="C9490" s="15"/>
      <c r="D9490" s="15"/>
      <c r="E9490" s="18"/>
    </row>
    <row r="9491" spans="2:5" x14ac:dyDescent="0.4">
      <c r="B9491" s="17"/>
      <c r="C9491" s="15"/>
      <c r="D9491" s="15"/>
      <c r="E9491" s="18"/>
    </row>
    <row r="9492" spans="2:5" x14ac:dyDescent="0.4">
      <c r="B9492" s="17"/>
      <c r="C9492" s="15"/>
      <c r="D9492" s="15"/>
      <c r="E9492" s="18"/>
    </row>
    <row r="9493" spans="2:5" x14ac:dyDescent="0.4">
      <c r="B9493" s="17"/>
      <c r="C9493" s="15"/>
      <c r="D9493" s="15"/>
      <c r="E9493" s="18"/>
    </row>
    <row r="9494" spans="2:5" x14ac:dyDescent="0.4">
      <c r="B9494" s="17"/>
      <c r="C9494" s="15"/>
      <c r="D9494" s="15"/>
      <c r="E9494" s="18"/>
    </row>
    <row r="9495" spans="2:5" x14ac:dyDescent="0.4">
      <c r="B9495" s="17"/>
      <c r="C9495" s="15"/>
      <c r="D9495" s="15"/>
      <c r="E9495" s="18"/>
    </row>
    <row r="9496" spans="2:5" x14ac:dyDescent="0.4">
      <c r="B9496" s="17"/>
      <c r="C9496" s="15"/>
      <c r="D9496" s="15"/>
      <c r="E9496" s="18"/>
    </row>
    <row r="9497" spans="2:5" x14ac:dyDescent="0.4">
      <c r="B9497" s="17"/>
      <c r="C9497" s="15"/>
      <c r="D9497" s="15"/>
      <c r="E9497" s="18"/>
    </row>
    <row r="9498" spans="2:5" x14ac:dyDescent="0.4">
      <c r="B9498" s="17"/>
      <c r="C9498" s="15"/>
      <c r="D9498" s="15"/>
      <c r="E9498" s="18"/>
    </row>
    <row r="9499" spans="2:5" x14ac:dyDescent="0.4">
      <c r="B9499" s="17"/>
      <c r="C9499" s="15"/>
      <c r="D9499" s="15"/>
      <c r="E9499" s="18"/>
    </row>
    <row r="9500" spans="2:5" x14ac:dyDescent="0.4">
      <c r="B9500" s="17"/>
      <c r="C9500" s="15"/>
      <c r="D9500" s="15"/>
      <c r="E9500" s="18"/>
    </row>
    <row r="9501" spans="2:5" x14ac:dyDescent="0.4">
      <c r="B9501" s="17"/>
      <c r="C9501" s="15"/>
      <c r="D9501" s="15"/>
      <c r="E9501" s="18"/>
    </row>
    <row r="9502" spans="2:5" x14ac:dyDescent="0.4">
      <c r="B9502" s="17"/>
      <c r="C9502" s="15"/>
      <c r="D9502" s="15"/>
      <c r="E9502" s="18"/>
    </row>
    <row r="9503" spans="2:5" x14ac:dyDescent="0.4">
      <c r="B9503" s="17"/>
      <c r="C9503" s="15"/>
      <c r="D9503" s="15"/>
      <c r="E9503" s="18"/>
    </row>
    <row r="9504" spans="2:5" x14ac:dyDescent="0.4">
      <c r="B9504" s="17"/>
      <c r="C9504" s="15"/>
      <c r="D9504" s="15"/>
      <c r="E9504" s="18"/>
    </row>
    <row r="9505" spans="2:5" x14ac:dyDescent="0.4">
      <c r="B9505" s="17"/>
      <c r="C9505" s="15"/>
      <c r="D9505" s="15"/>
      <c r="E9505" s="18"/>
    </row>
    <row r="9506" spans="2:5" x14ac:dyDescent="0.4">
      <c r="B9506" s="17"/>
      <c r="C9506" s="15"/>
      <c r="D9506" s="15"/>
      <c r="E9506" s="18"/>
    </row>
    <row r="9507" spans="2:5" x14ac:dyDescent="0.4">
      <c r="B9507" s="17"/>
      <c r="C9507" s="15"/>
      <c r="D9507" s="15"/>
      <c r="E9507" s="18"/>
    </row>
    <row r="9508" spans="2:5" x14ac:dyDescent="0.4">
      <c r="B9508" s="17"/>
      <c r="C9508" s="15"/>
      <c r="D9508" s="15"/>
      <c r="E9508" s="18"/>
    </row>
    <row r="9509" spans="2:5" x14ac:dyDescent="0.4">
      <c r="B9509" s="17"/>
      <c r="C9509" s="15"/>
      <c r="D9509" s="15"/>
      <c r="E9509" s="18"/>
    </row>
    <row r="9510" spans="2:5" x14ac:dyDescent="0.4">
      <c r="B9510" s="17"/>
      <c r="C9510" s="15"/>
      <c r="D9510" s="15"/>
      <c r="E9510" s="18"/>
    </row>
    <row r="9511" spans="2:5" x14ac:dyDescent="0.4">
      <c r="B9511" s="17"/>
      <c r="C9511" s="15"/>
      <c r="D9511" s="15"/>
      <c r="E9511" s="18"/>
    </row>
    <row r="9512" spans="2:5" x14ac:dyDescent="0.4">
      <c r="B9512" s="17"/>
      <c r="C9512" s="15"/>
      <c r="D9512" s="15"/>
      <c r="E9512" s="18"/>
    </row>
    <row r="9513" spans="2:5" x14ac:dyDescent="0.4">
      <c r="B9513" s="17"/>
      <c r="C9513" s="15"/>
      <c r="D9513" s="15"/>
      <c r="E9513" s="18"/>
    </row>
    <row r="9514" spans="2:5" x14ac:dyDescent="0.4">
      <c r="B9514" s="17"/>
      <c r="C9514" s="15"/>
      <c r="D9514" s="15"/>
      <c r="E9514" s="18"/>
    </row>
    <row r="9515" spans="2:5" x14ac:dyDescent="0.4">
      <c r="B9515" s="17"/>
      <c r="C9515" s="15"/>
      <c r="D9515" s="15"/>
      <c r="E9515" s="18"/>
    </row>
    <row r="9516" spans="2:5" x14ac:dyDescent="0.4">
      <c r="B9516" s="17"/>
      <c r="C9516" s="15"/>
      <c r="D9516" s="15"/>
      <c r="E9516" s="18"/>
    </row>
    <row r="9517" spans="2:5" x14ac:dyDescent="0.4">
      <c r="B9517" s="17"/>
      <c r="C9517" s="15"/>
      <c r="D9517" s="15"/>
      <c r="E9517" s="18"/>
    </row>
    <row r="9518" spans="2:5" x14ac:dyDescent="0.4">
      <c r="B9518" s="17"/>
      <c r="C9518" s="15"/>
      <c r="D9518" s="15"/>
      <c r="E9518" s="18"/>
    </row>
    <row r="9519" spans="2:5" x14ac:dyDescent="0.4">
      <c r="B9519" s="17"/>
      <c r="C9519" s="15"/>
      <c r="D9519" s="15"/>
      <c r="E9519" s="18"/>
    </row>
    <row r="9520" spans="2:5" x14ac:dyDescent="0.4">
      <c r="B9520" s="17"/>
      <c r="C9520" s="15"/>
      <c r="D9520" s="15"/>
      <c r="E9520" s="18"/>
    </row>
    <row r="9521" spans="2:5" x14ac:dyDescent="0.4">
      <c r="B9521" s="17"/>
      <c r="C9521" s="15"/>
      <c r="D9521" s="15"/>
      <c r="E9521" s="18"/>
    </row>
    <row r="9522" spans="2:5" x14ac:dyDescent="0.4">
      <c r="B9522" s="17"/>
      <c r="C9522" s="15"/>
      <c r="D9522" s="15"/>
      <c r="E9522" s="18"/>
    </row>
    <row r="9523" spans="2:5" x14ac:dyDescent="0.4">
      <c r="B9523" s="17"/>
      <c r="C9523" s="15"/>
      <c r="D9523" s="15"/>
      <c r="E9523" s="18"/>
    </row>
    <row r="9524" spans="2:5" x14ac:dyDescent="0.4">
      <c r="B9524" s="17"/>
      <c r="C9524" s="15"/>
      <c r="D9524" s="15"/>
      <c r="E9524" s="18"/>
    </row>
    <row r="9525" spans="2:5" x14ac:dyDescent="0.4">
      <c r="B9525" s="17"/>
      <c r="C9525" s="15"/>
      <c r="D9525" s="15"/>
      <c r="E9525" s="18"/>
    </row>
    <row r="9526" spans="2:5" x14ac:dyDescent="0.4">
      <c r="B9526" s="17"/>
      <c r="C9526" s="15"/>
      <c r="D9526" s="15"/>
      <c r="E9526" s="18"/>
    </row>
    <row r="9527" spans="2:5" x14ac:dyDescent="0.4">
      <c r="B9527" s="17"/>
      <c r="C9527" s="15"/>
      <c r="D9527" s="15"/>
      <c r="E9527" s="18"/>
    </row>
    <row r="9528" spans="2:5" x14ac:dyDescent="0.4">
      <c r="B9528" s="17"/>
      <c r="C9528" s="15"/>
      <c r="D9528" s="15"/>
      <c r="E9528" s="18"/>
    </row>
    <row r="9529" spans="2:5" x14ac:dyDescent="0.4">
      <c r="B9529" s="17"/>
      <c r="C9529" s="15"/>
      <c r="D9529" s="15"/>
      <c r="E9529" s="18"/>
    </row>
    <row r="9530" spans="2:5" x14ac:dyDescent="0.4">
      <c r="B9530" s="17"/>
      <c r="C9530" s="15"/>
      <c r="D9530" s="15"/>
      <c r="E9530" s="18"/>
    </row>
    <row r="9531" spans="2:5" x14ac:dyDescent="0.4">
      <c r="B9531" s="17"/>
      <c r="C9531" s="15"/>
      <c r="D9531" s="15"/>
      <c r="E9531" s="18"/>
    </row>
    <row r="9532" spans="2:5" x14ac:dyDescent="0.4">
      <c r="B9532" s="17"/>
      <c r="C9532" s="15"/>
      <c r="D9532" s="15"/>
      <c r="E9532" s="18"/>
    </row>
    <row r="9533" spans="2:5" x14ac:dyDescent="0.4">
      <c r="B9533" s="17"/>
      <c r="C9533" s="15"/>
      <c r="D9533" s="15"/>
      <c r="E9533" s="18"/>
    </row>
    <row r="9534" spans="2:5" x14ac:dyDescent="0.4">
      <c r="B9534" s="17"/>
      <c r="C9534" s="15"/>
      <c r="D9534" s="15"/>
      <c r="E9534" s="18"/>
    </row>
    <row r="9535" spans="2:5" x14ac:dyDescent="0.4">
      <c r="B9535" s="17"/>
      <c r="C9535" s="15"/>
      <c r="D9535" s="15"/>
      <c r="E9535" s="18"/>
    </row>
    <row r="9536" spans="2:5" x14ac:dyDescent="0.4">
      <c r="B9536" s="17"/>
      <c r="C9536" s="15"/>
      <c r="D9536" s="15"/>
      <c r="E9536" s="18"/>
    </row>
    <row r="9537" spans="2:5" x14ac:dyDescent="0.4">
      <c r="B9537" s="17"/>
      <c r="C9537" s="15"/>
      <c r="D9537" s="15"/>
      <c r="E9537" s="18"/>
    </row>
    <row r="9538" spans="2:5" x14ac:dyDescent="0.4">
      <c r="B9538" s="17"/>
      <c r="C9538" s="15"/>
      <c r="D9538" s="15"/>
      <c r="E9538" s="18"/>
    </row>
    <row r="9539" spans="2:5" x14ac:dyDescent="0.4">
      <c r="B9539" s="17"/>
      <c r="C9539" s="15"/>
      <c r="D9539" s="15"/>
      <c r="E9539" s="18"/>
    </row>
    <row r="9540" spans="2:5" x14ac:dyDescent="0.4">
      <c r="B9540" s="17"/>
      <c r="C9540" s="15"/>
      <c r="D9540" s="15"/>
      <c r="E9540" s="18"/>
    </row>
    <row r="9541" spans="2:5" x14ac:dyDescent="0.4">
      <c r="B9541" s="17"/>
      <c r="C9541" s="15"/>
      <c r="D9541" s="15"/>
      <c r="E9541" s="18"/>
    </row>
    <row r="9542" spans="2:5" x14ac:dyDescent="0.4">
      <c r="B9542" s="17"/>
      <c r="C9542" s="15"/>
      <c r="D9542" s="15"/>
      <c r="E9542" s="18"/>
    </row>
    <row r="9543" spans="2:5" x14ac:dyDescent="0.4">
      <c r="B9543" s="17"/>
      <c r="C9543" s="15"/>
      <c r="D9543" s="15"/>
      <c r="E9543" s="18"/>
    </row>
    <row r="9544" spans="2:5" x14ac:dyDescent="0.4">
      <c r="B9544" s="17"/>
      <c r="C9544" s="15"/>
      <c r="D9544" s="15"/>
      <c r="E9544" s="18"/>
    </row>
    <row r="9545" spans="2:5" x14ac:dyDescent="0.4">
      <c r="B9545" s="17"/>
      <c r="C9545" s="15"/>
      <c r="D9545" s="15"/>
      <c r="E9545" s="18"/>
    </row>
    <row r="9546" spans="2:5" x14ac:dyDescent="0.4">
      <c r="B9546" s="17"/>
      <c r="C9546" s="15"/>
      <c r="D9546" s="15"/>
      <c r="E9546" s="18"/>
    </row>
    <row r="9547" spans="2:5" x14ac:dyDescent="0.4">
      <c r="B9547" s="17"/>
      <c r="C9547" s="15"/>
      <c r="D9547" s="15"/>
      <c r="E9547" s="18"/>
    </row>
    <row r="9548" spans="2:5" x14ac:dyDescent="0.4">
      <c r="B9548" s="17"/>
      <c r="C9548" s="15"/>
      <c r="D9548" s="15"/>
      <c r="E9548" s="18"/>
    </row>
    <row r="9549" spans="2:5" x14ac:dyDescent="0.4">
      <c r="B9549" s="17"/>
      <c r="C9549" s="15"/>
      <c r="D9549" s="15"/>
      <c r="E9549" s="18"/>
    </row>
    <row r="9550" spans="2:5" x14ac:dyDescent="0.4">
      <c r="B9550" s="17"/>
      <c r="C9550" s="15"/>
      <c r="D9550" s="15"/>
      <c r="E9550" s="18"/>
    </row>
    <row r="9551" spans="2:5" x14ac:dyDescent="0.4">
      <c r="B9551" s="17"/>
      <c r="C9551" s="15"/>
      <c r="D9551" s="15"/>
      <c r="E9551" s="18"/>
    </row>
    <row r="9552" spans="2:5" x14ac:dyDescent="0.4">
      <c r="B9552" s="17"/>
      <c r="C9552" s="15"/>
      <c r="D9552" s="15"/>
      <c r="E9552" s="18"/>
    </row>
    <row r="9553" spans="2:5" x14ac:dyDescent="0.4">
      <c r="B9553" s="17"/>
      <c r="C9553" s="15"/>
      <c r="D9553" s="15"/>
      <c r="E9553" s="18"/>
    </row>
    <row r="9554" spans="2:5" x14ac:dyDescent="0.4">
      <c r="B9554" s="17"/>
      <c r="C9554" s="15"/>
      <c r="D9554" s="15"/>
      <c r="E9554" s="18"/>
    </row>
    <row r="9555" spans="2:5" x14ac:dyDescent="0.4">
      <c r="B9555" s="17"/>
      <c r="C9555" s="15"/>
      <c r="D9555" s="15"/>
      <c r="E9555" s="18"/>
    </row>
    <row r="9556" spans="2:5" x14ac:dyDescent="0.4">
      <c r="B9556" s="17"/>
      <c r="C9556" s="15"/>
      <c r="D9556" s="15"/>
      <c r="E9556" s="18"/>
    </row>
    <row r="9557" spans="2:5" x14ac:dyDescent="0.4">
      <c r="B9557" s="17"/>
      <c r="C9557" s="15"/>
      <c r="D9557" s="15"/>
      <c r="E9557" s="18"/>
    </row>
    <row r="9558" spans="2:5" x14ac:dyDescent="0.4">
      <c r="B9558" s="17"/>
      <c r="C9558" s="15"/>
      <c r="D9558" s="15"/>
      <c r="E9558" s="18"/>
    </row>
    <row r="9559" spans="2:5" x14ac:dyDescent="0.4">
      <c r="B9559" s="17"/>
      <c r="C9559" s="15"/>
      <c r="D9559" s="15"/>
      <c r="E9559" s="18"/>
    </row>
    <row r="9560" spans="2:5" x14ac:dyDescent="0.4">
      <c r="B9560" s="17"/>
      <c r="C9560" s="15"/>
      <c r="D9560" s="15"/>
      <c r="E9560" s="18"/>
    </row>
    <row r="9561" spans="2:5" x14ac:dyDescent="0.4">
      <c r="B9561" s="17"/>
      <c r="C9561" s="15"/>
      <c r="D9561" s="15"/>
      <c r="E9561" s="18"/>
    </row>
    <row r="9562" spans="2:5" x14ac:dyDescent="0.4">
      <c r="B9562" s="17"/>
      <c r="C9562" s="15"/>
      <c r="D9562" s="15"/>
      <c r="E9562" s="18"/>
    </row>
    <row r="9563" spans="2:5" x14ac:dyDescent="0.4">
      <c r="B9563" s="17"/>
      <c r="C9563" s="15"/>
      <c r="D9563" s="15"/>
      <c r="E9563" s="18"/>
    </row>
    <row r="9564" spans="2:5" x14ac:dyDescent="0.4">
      <c r="B9564" s="17"/>
      <c r="C9564" s="15"/>
      <c r="D9564" s="15"/>
      <c r="E9564" s="18"/>
    </row>
    <row r="9565" spans="2:5" x14ac:dyDescent="0.4">
      <c r="B9565" s="17"/>
      <c r="C9565" s="15"/>
      <c r="D9565" s="15"/>
      <c r="E9565" s="18"/>
    </row>
    <row r="9566" spans="2:5" x14ac:dyDescent="0.4">
      <c r="B9566" s="17"/>
      <c r="C9566" s="15"/>
      <c r="D9566" s="15"/>
      <c r="E9566" s="18"/>
    </row>
    <row r="9567" spans="2:5" x14ac:dyDescent="0.4">
      <c r="B9567" s="17"/>
      <c r="C9567" s="15"/>
      <c r="D9567" s="15"/>
      <c r="E9567" s="18"/>
    </row>
    <row r="9568" spans="2:5" x14ac:dyDescent="0.4">
      <c r="B9568" s="17"/>
      <c r="C9568" s="15"/>
      <c r="D9568" s="15"/>
      <c r="E9568" s="18"/>
    </row>
    <row r="9569" spans="2:5" x14ac:dyDescent="0.4">
      <c r="B9569" s="17"/>
      <c r="C9569" s="15"/>
      <c r="D9569" s="15"/>
      <c r="E9569" s="18"/>
    </row>
    <row r="9570" spans="2:5" x14ac:dyDescent="0.4">
      <c r="B9570" s="17"/>
      <c r="C9570" s="15"/>
      <c r="D9570" s="15"/>
      <c r="E9570" s="18"/>
    </row>
    <row r="9571" spans="2:5" x14ac:dyDescent="0.4">
      <c r="B9571" s="17"/>
      <c r="C9571" s="15"/>
      <c r="D9571" s="15"/>
      <c r="E9571" s="18"/>
    </row>
    <row r="9572" spans="2:5" x14ac:dyDescent="0.4">
      <c r="B9572" s="17"/>
      <c r="C9572" s="15"/>
      <c r="D9572" s="15"/>
      <c r="E9572" s="18"/>
    </row>
    <row r="9573" spans="2:5" x14ac:dyDescent="0.4">
      <c r="B9573" s="17"/>
      <c r="C9573" s="15"/>
      <c r="D9573" s="15"/>
      <c r="E9573" s="18"/>
    </row>
    <row r="9574" spans="2:5" x14ac:dyDescent="0.4">
      <c r="B9574" s="17"/>
      <c r="C9574" s="15"/>
      <c r="D9574" s="15"/>
      <c r="E9574" s="18"/>
    </row>
    <row r="9575" spans="2:5" x14ac:dyDescent="0.4">
      <c r="B9575" s="17"/>
      <c r="C9575" s="15"/>
      <c r="D9575" s="15"/>
      <c r="E9575" s="18"/>
    </row>
    <row r="9576" spans="2:5" x14ac:dyDescent="0.4">
      <c r="B9576" s="17"/>
      <c r="C9576" s="15"/>
      <c r="D9576" s="15"/>
      <c r="E9576" s="18"/>
    </row>
    <row r="9577" spans="2:5" x14ac:dyDescent="0.4">
      <c r="B9577" s="17"/>
      <c r="C9577" s="15"/>
      <c r="D9577" s="15"/>
      <c r="E9577" s="18"/>
    </row>
    <row r="9578" spans="2:5" x14ac:dyDescent="0.4">
      <c r="B9578" s="17"/>
      <c r="C9578" s="15"/>
      <c r="D9578" s="15"/>
      <c r="E9578" s="18"/>
    </row>
    <row r="9579" spans="2:5" x14ac:dyDescent="0.4">
      <c r="B9579" s="17"/>
      <c r="C9579" s="15"/>
      <c r="D9579" s="15"/>
      <c r="E9579" s="18"/>
    </row>
    <row r="9580" spans="2:5" x14ac:dyDescent="0.4">
      <c r="B9580" s="17"/>
      <c r="C9580" s="15"/>
      <c r="D9580" s="15"/>
      <c r="E9580" s="18"/>
    </row>
    <row r="9581" spans="2:5" x14ac:dyDescent="0.4">
      <c r="B9581" s="17"/>
      <c r="C9581" s="15"/>
      <c r="D9581" s="15"/>
      <c r="E9581" s="18"/>
    </row>
    <row r="9582" spans="2:5" x14ac:dyDescent="0.4">
      <c r="B9582" s="17"/>
      <c r="C9582" s="15"/>
      <c r="D9582" s="15"/>
      <c r="E9582" s="18"/>
    </row>
    <row r="9583" spans="2:5" x14ac:dyDescent="0.4">
      <c r="B9583" s="17"/>
      <c r="C9583" s="15"/>
      <c r="D9583" s="15"/>
      <c r="E9583" s="18"/>
    </row>
    <row r="9584" spans="2:5" x14ac:dyDescent="0.4">
      <c r="B9584" s="17"/>
      <c r="C9584" s="15"/>
      <c r="D9584" s="15"/>
      <c r="E9584" s="18"/>
    </row>
    <row r="9585" spans="2:5" x14ac:dyDescent="0.4">
      <c r="B9585" s="17"/>
      <c r="C9585" s="15"/>
      <c r="D9585" s="15"/>
      <c r="E9585" s="18"/>
    </row>
    <row r="9586" spans="2:5" x14ac:dyDescent="0.4">
      <c r="B9586" s="17"/>
      <c r="C9586" s="15"/>
      <c r="D9586" s="15"/>
      <c r="E9586" s="18"/>
    </row>
    <row r="9587" spans="2:5" x14ac:dyDescent="0.4">
      <c r="B9587" s="17"/>
      <c r="C9587" s="15"/>
      <c r="D9587" s="15"/>
      <c r="E9587" s="18"/>
    </row>
    <row r="9588" spans="2:5" x14ac:dyDescent="0.4">
      <c r="B9588" s="17"/>
      <c r="C9588" s="15"/>
      <c r="D9588" s="15"/>
      <c r="E9588" s="18"/>
    </row>
    <row r="9589" spans="2:5" x14ac:dyDescent="0.4">
      <c r="B9589" s="17"/>
      <c r="C9589" s="15"/>
      <c r="D9589" s="15"/>
      <c r="E9589" s="18"/>
    </row>
    <row r="9590" spans="2:5" x14ac:dyDescent="0.4">
      <c r="B9590" s="17"/>
      <c r="C9590" s="15"/>
      <c r="D9590" s="15"/>
      <c r="E9590" s="18"/>
    </row>
    <row r="9591" spans="2:5" x14ac:dyDescent="0.4">
      <c r="B9591" s="17"/>
      <c r="C9591" s="15"/>
      <c r="D9591" s="15"/>
      <c r="E9591" s="18"/>
    </row>
    <row r="9592" spans="2:5" x14ac:dyDescent="0.4">
      <c r="B9592" s="17"/>
      <c r="C9592" s="15"/>
      <c r="D9592" s="15"/>
      <c r="E9592" s="18"/>
    </row>
    <row r="9593" spans="2:5" x14ac:dyDescent="0.4">
      <c r="B9593" s="17"/>
      <c r="C9593" s="15"/>
      <c r="D9593" s="15"/>
      <c r="E9593" s="18"/>
    </row>
    <row r="9594" spans="2:5" x14ac:dyDescent="0.4">
      <c r="B9594" s="17"/>
      <c r="C9594" s="15"/>
      <c r="D9594" s="15"/>
      <c r="E9594" s="18"/>
    </row>
    <row r="9595" spans="2:5" x14ac:dyDescent="0.4">
      <c r="B9595" s="17"/>
      <c r="C9595" s="15"/>
      <c r="D9595" s="15"/>
      <c r="E9595" s="18"/>
    </row>
    <row r="9596" spans="2:5" x14ac:dyDescent="0.4">
      <c r="B9596" s="17"/>
      <c r="C9596" s="15"/>
      <c r="D9596" s="15"/>
      <c r="E9596" s="18"/>
    </row>
    <row r="9597" spans="2:5" x14ac:dyDescent="0.4">
      <c r="B9597" s="17"/>
      <c r="C9597" s="15"/>
      <c r="D9597" s="15"/>
      <c r="E9597" s="18"/>
    </row>
    <row r="9598" spans="2:5" x14ac:dyDescent="0.4">
      <c r="B9598" s="17"/>
      <c r="C9598" s="15"/>
      <c r="D9598" s="15"/>
      <c r="E9598" s="18"/>
    </row>
    <row r="9599" spans="2:5" x14ac:dyDescent="0.4">
      <c r="B9599" s="17"/>
      <c r="C9599" s="15"/>
      <c r="D9599" s="15"/>
      <c r="E9599" s="18"/>
    </row>
    <row r="9600" spans="2:5" x14ac:dyDescent="0.4">
      <c r="B9600" s="17"/>
      <c r="C9600" s="15"/>
      <c r="D9600" s="15"/>
      <c r="E9600" s="18"/>
    </row>
    <row r="9601" spans="2:5" x14ac:dyDescent="0.4">
      <c r="B9601" s="17"/>
      <c r="C9601" s="15"/>
      <c r="D9601" s="15"/>
      <c r="E9601" s="18"/>
    </row>
    <row r="9602" spans="2:5" x14ac:dyDescent="0.4">
      <c r="B9602" s="17"/>
      <c r="C9602" s="15"/>
      <c r="D9602" s="15"/>
      <c r="E9602" s="18"/>
    </row>
    <row r="9603" spans="2:5" x14ac:dyDescent="0.4">
      <c r="B9603" s="17"/>
      <c r="C9603" s="15"/>
      <c r="D9603" s="15"/>
      <c r="E9603" s="18"/>
    </row>
    <row r="9604" spans="2:5" x14ac:dyDescent="0.4">
      <c r="B9604" s="17"/>
      <c r="C9604" s="15"/>
      <c r="D9604" s="15"/>
      <c r="E9604" s="18"/>
    </row>
    <row r="9605" spans="2:5" x14ac:dyDescent="0.4">
      <c r="B9605" s="17"/>
      <c r="C9605" s="15"/>
      <c r="D9605" s="15"/>
      <c r="E9605" s="18"/>
    </row>
    <row r="9606" spans="2:5" x14ac:dyDescent="0.4">
      <c r="B9606" s="17"/>
      <c r="C9606" s="15"/>
      <c r="D9606" s="15"/>
      <c r="E9606" s="18"/>
    </row>
    <row r="9607" spans="2:5" x14ac:dyDescent="0.4">
      <c r="B9607" s="17"/>
      <c r="C9607" s="15"/>
      <c r="D9607" s="15"/>
      <c r="E9607" s="18"/>
    </row>
    <row r="9608" spans="2:5" x14ac:dyDescent="0.4">
      <c r="B9608" s="17"/>
      <c r="C9608" s="15"/>
      <c r="D9608" s="15"/>
      <c r="E9608" s="18"/>
    </row>
    <row r="9609" spans="2:5" x14ac:dyDescent="0.4">
      <c r="B9609" s="17"/>
      <c r="C9609" s="15"/>
      <c r="D9609" s="15"/>
      <c r="E9609" s="18"/>
    </row>
    <row r="9610" spans="2:5" x14ac:dyDescent="0.4">
      <c r="B9610" s="17"/>
      <c r="C9610" s="15"/>
      <c r="D9610" s="15"/>
      <c r="E9610" s="18"/>
    </row>
    <row r="9611" spans="2:5" x14ac:dyDescent="0.4">
      <c r="B9611" s="17"/>
      <c r="C9611" s="15"/>
      <c r="D9611" s="15"/>
      <c r="E9611" s="18"/>
    </row>
    <row r="9612" spans="2:5" x14ac:dyDescent="0.4">
      <c r="B9612" s="17"/>
      <c r="C9612" s="15"/>
      <c r="D9612" s="15"/>
      <c r="E9612" s="18"/>
    </row>
    <row r="9613" spans="2:5" x14ac:dyDescent="0.4">
      <c r="B9613" s="17"/>
      <c r="C9613" s="15"/>
      <c r="D9613" s="15"/>
      <c r="E9613" s="18"/>
    </row>
    <row r="9614" spans="2:5" x14ac:dyDescent="0.4">
      <c r="B9614" s="17"/>
      <c r="C9614" s="15"/>
      <c r="D9614" s="15"/>
      <c r="E9614" s="18"/>
    </row>
    <row r="9615" spans="2:5" x14ac:dyDescent="0.4">
      <c r="B9615" s="17"/>
      <c r="C9615" s="15"/>
      <c r="D9615" s="15"/>
      <c r="E9615" s="18"/>
    </row>
    <row r="9616" spans="2:5" x14ac:dyDescent="0.4">
      <c r="B9616" s="17"/>
      <c r="C9616" s="15"/>
      <c r="D9616" s="15"/>
      <c r="E9616" s="18"/>
    </row>
    <row r="9617" spans="2:5" x14ac:dyDescent="0.4">
      <c r="B9617" s="17"/>
      <c r="C9617" s="15"/>
      <c r="D9617" s="15"/>
      <c r="E9617" s="18"/>
    </row>
    <row r="9618" spans="2:5" x14ac:dyDescent="0.4">
      <c r="B9618" s="17"/>
      <c r="C9618" s="15"/>
      <c r="D9618" s="15"/>
      <c r="E9618" s="18"/>
    </row>
    <row r="9619" spans="2:5" x14ac:dyDescent="0.4">
      <c r="B9619" s="17"/>
      <c r="C9619" s="15"/>
      <c r="D9619" s="15"/>
      <c r="E9619" s="18"/>
    </row>
    <row r="9620" spans="2:5" x14ac:dyDescent="0.4">
      <c r="B9620" s="17"/>
      <c r="C9620" s="15"/>
      <c r="D9620" s="15"/>
      <c r="E9620" s="18"/>
    </row>
    <row r="9621" spans="2:5" x14ac:dyDescent="0.4">
      <c r="B9621" s="17"/>
      <c r="C9621" s="15"/>
      <c r="D9621" s="15"/>
      <c r="E9621" s="18"/>
    </row>
    <row r="9622" spans="2:5" x14ac:dyDescent="0.4">
      <c r="B9622" s="17"/>
      <c r="C9622" s="15"/>
      <c r="D9622" s="15"/>
      <c r="E9622" s="18"/>
    </row>
    <row r="9623" spans="2:5" x14ac:dyDescent="0.4">
      <c r="B9623" s="17"/>
      <c r="C9623" s="15"/>
      <c r="D9623" s="15"/>
      <c r="E9623" s="18"/>
    </row>
    <row r="9624" spans="2:5" x14ac:dyDescent="0.4">
      <c r="B9624" s="17"/>
      <c r="C9624" s="15"/>
      <c r="D9624" s="15"/>
      <c r="E9624" s="18"/>
    </row>
    <row r="9625" spans="2:5" x14ac:dyDescent="0.4">
      <c r="B9625" s="17"/>
      <c r="C9625" s="15"/>
      <c r="D9625" s="15"/>
      <c r="E9625" s="18"/>
    </row>
    <row r="9626" spans="2:5" x14ac:dyDescent="0.4">
      <c r="B9626" s="17"/>
      <c r="C9626" s="15"/>
      <c r="D9626" s="15"/>
      <c r="E9626" s="18"/>
    </row>
    <row r="9627" spans="2:5" x14ac:dyDescent="0.4">
      <c r="B9627" s="17"/>
      <c r="C9627" s="15"/>
      <c r="D9627" s="15"/>
      <c r="E9627" s="18"/>
    </row>
    <row r="9628" spans="2:5" x14ac:dyDescent="0.4">
      <c r="B9628" s="17"/>
      <c r="C9628" s="15"/>
      <c r="D9628" s="15"/>
      <c r="E9628" s="18"/>
    </row>
    <row r="9629" spans="2:5" x14ac:dyDescent="0.4">
      <c r="B9629" s="17"/>
      <c r="C9629" s="15"/>
      <c r="D9629" s="15"/>
      <c r="E9629" s="18"/>
    </row>
    <row r="9630" spans="2:5" x14ac:dyDescent="0.4">
      <c r="B9630" s="17"/>
      <c r="C9630" s="15"/>
      <c r="D9630" s="15"/>
      <c r="E9630" s="18"/>
    </row>
    <row r="9631" spans="2:5" x14ac:dyDescent="0.4">
      <c r="B9631" s="17"/>
      <c r="C9631" s="15"/>
      <c r="D9631" s="15"/>
      <c r="E9631" s="18"/>
    </row>
    <row r="9632" spans="2:5" x14ac:dyDescent="0.4">
      <c r="B9632" s="17"/>
      <c r="C9632" s="15"/>
      <c r="D9632" s="15"/>
      <c r="E9632" s="18"/>
    </row>
    <row r="9633" spans="2:5" x14ac:dyDescent="0.4">
      <c r="B9633" s="17"/>
      <c r="C9633" s="15"/>
      <c r="D9633" s="15"/>
      <c r="E9633" s="18"/>
    </row>
    <row r="9634" spans="2:5" x14ac:dyDescent="0.4">
      <c r="B9634" s="17"/>
      <c r="C9634" s="15"/>
      <c r="D9634" s="15"/>
      <c r="E9634" s="18"/>
    </row>
    <row r="9635" spans="2:5" x14ac:dyDescent="0.4">
      <c r="B9635" s="17"/>
      <c r="C9635" s="15"/>
      <c r="D9635" s="15"/>
      <c r="E9635" s="18"/>
    </row>
    <row r="9636" spans="2:5" x14ac:dyDescent="0.4">
      <c r="B9636" s="17"/>
      <c r="C9636" s="15"/>
      <c r="D9636" s="15"/>
      <c r="E9636" s="18"/>
    </row>
    <row r="9637" spans="2:5" x14ac:dyDescent="0.4">
      <c r="B9637" s="17"/>
      <c r="C9637" s="15"/>
      <c r="D9637" s="15"/>
      <c r="E9637" s="18"/>
    </row>
    <row r="9638" spans="2:5" x14ac:dyDescent="0.4">
      <c r="B9638" s="17"/>
      <c r="C9638" s="15"/>
      <c r="D9638" s="15"/>
      <c r="E9638" s="18"/>
    </row>
    <row r="9639" spans="2:5" x14ac:dyDescent="0.4">
      <c r="B9639" s="17"/>
      <c r="C9639" s="15"/>
      <c r="D9639" s="15"/>
      <c r="E9639" s="18"/>
    </row>
    <row r="9640" spans="2:5" x14ac:dyDescent="0.4">
      <c r="B9640" s="17"/>
      <c r="C9640" s="15"/>
      <c r="D9640" s="15"/>
      <c r="E9640" s="18"/>
    </row>
    <row r="9641" spans="2:5" x14ac:dyDescent="0.4">
      <c r="B9641" s="17"/>
      <c r="C9641" s="15"/>
      <c r="D9641" s="15"/>
      <c r="E9641" s="18"/>
    </row>
    <row r="9642" spans="2:5" x14ac:dyDescent="0.4">
      <c r="B9642" s="17"/>
      <c r="C9642" s="15"/>
      <c r="D9642" s="15"/>
      <c r="E9642" s="18"/>
    </row>
    <row r="9643" spans="2:5" x14ac:dyDescent="0.4">
      <c r="B9643" s="17"/>
      <c r="C9643" s="15"/>
      <c r="D9643" s="15"/>
      <c r="E9643" s="18"/>
    </row>
    <row r="9644" spans="2:5" x14ac:dyDescent="0.4">
      <c r="B9644" s="17"/>
      <c r="C9644" s="15"/>
      <c r="D9644" s="15"/>
      <c r="E9644" s="18"/>
    </row>
    <row r="9645" spans="2:5" x14ac:dyDescent="0.4">
      <c r="B9645" s="17"/>
      <c r="C9645" s="15"/>
      <c r="D9645" s="15"/>
      <c r="E9645" s="18"/>
    </row>
    <row r="9646" spans="2:5" x14ac:dyDescent="0.4">
      <c r="B9646" s="17"/>
      <c r="C9646" s="15"/>
      <c r="D9646" s="15"/>
      <c r="E9646" s="18"/>
    </row>
    <row r="9647" spans="2:5" x14ac:dyDescent="0.4">
      <c r="B9647" s="17"/>
      <c r="C9647" s="15"/>
      <c r="D9647" s="15"/>
      <c r="E9647" s="18"/>
    </row>
    <row r="9648" spans="2:5" x14ac:dyDescent="0.4">
      <c r="B9648" s="17"/>
      <c r="C9648" s="15"/>
      <c r="D9648" s="15"/>
      <c r="E9648" s="18"/>
    </row>
    <row r="9649" spans="2:5" x14ac:dyDescent="0.4">
      <c r="B9649" s="17"/>
      <c r="C9649" s="15"/>
      <c r="D9649" s="15"/>
      <c r="E9649" s="18"/>
    </row>
    <row r="9650" spans="2:5" x14ac:dyDescent="0.4">
      <c r="B9650" s="17"/>
      <c r="C9650" s="15"/>
      <c r="D9650" s="15"/>
      <c r="E9650" s="18"/>
    </row>
    <row r="9651" spans="2:5" x14ac:dyDescent="0.4">
      <c r="B9651" s="17"/>
      <c r="C9651" s="15"/>
      <c r="D9651" s="15"/>
      <c r="E9651" s="18"/>
    </row>
    <row r="9652" spans="2:5" x14ac:dyDescent="0.4">
      <c r="B9652" s="17"/>
      <c r="C9652" s="15"/>
      <c r="D9652" s="15"/>
      <c r="E9652" s="18"/>
    </row>
    <row r="9653" spans="2:5" x14ac:dyDescent="0.4">
      <c r="B9653" s="17"/>
      <c r="C9653" s="15"/>
      <c r="D9653" s="15"/>
      <c r="E9653" s="18"/>
    </row>
    <row r="9654" spans="2:5" x14ac:dyDescent="0.4">
      <c r="B9654" s="17"/>
      <c r="C9654" s="15"/>
      <c r="D9654" s="15"/>
      <c r="E9654" s="18"/>
    </row>
    <row r="9655" spans="2:5" x14ac:dyDescent="0.4">
      <c r="B9655" s="17"/>
      <c r="C9655" s="15"/>
      <c r="D9655" s="15"/>
      <c r="E9655" s="18"/>
    </row>
    <row r="9656" spans="2:5" x14ac:dyDescent="0.4">
      <c r="B9656" s="17"/>
      <c r="C9656" s="15"/>
      <c r="D9656" s="15"/>
      <c r="E9656" s="18"/>
    </row>
    <row r="9657" spans="2:5" x14ac:dyDescent="0.4">
      <c r="B9657" s="17"/>
      <c r="C9657" s="15"/>
      <c r="D9657" s="15"/>
      <c r="E9657" s="18"/>
    </row>
    <row r="9658" spans="2:5" x14ac:dyDescent="0.4">
      <c r="B9658" s="17"/>
      <c r="C9658" s="15"/>
      <c r="D9658" s="15"/>
      <c r="E9658" s="18"/>
    </row>
    <row r="9659" spans="2:5" x14ac:dyDescent="0.4">
      <c r="B9659" s="17"/>
      <c r="C9659" s="15"/>
      <c r="D9659" s="15"/>
      <c r="E9659" s="18"/>
    </row>
    <row r="9660" spans="2:5" x14ac:dyDescent="0.4">
      <c r="B9660" s="17"/>
      <c r="C9660" s="15"/>
      <c r="D9660" s="15"/>
      <c r="E9660" s="18"/>
    </row>
    <row r="9661" spans="2:5" x14ac:dyDescent="0.4">
      <c r="B9661" s="17"/>
      <c r="C9661" s="15"/>
      <c r="D9661" s="15"/>
      <c r="E9661" s="18"/>
    </row>
    <row r="9662" spans="2:5" x14ac:dyDescent="0.4">
      <c r="B9662" s="17"/>
      <c r="C9662" s="15"/>
      <c r="D9662" s="15"/>
      <c r="E9662" s="18"/>
    </row>
    <row r="9663" spans="2:5" x14ac:dyDescent="0.4">
      <c r="B9663" s="17"/>
      <c r="C9663" s="15"/>
      <c r="D9663" s="15"/>
      <c r="E9663" s="18"/>
    </row>
    <row r="9664" spans="2:5" x14ac:dyDescent="0.4">
      <c r="B9664" s="17"/>
      <c r="C9664" s="15"/>
      <c r="D9664" s="15"/>
      <c r="E9664" s="18"/>
    </row>
    <row r="9665" spans="2:5" x14ac:dyDescent="0.4">
      <c r="B9665" s="17"/>
      <c r="C9665" s="15"/>
      <c r="D9665" s="15"/>
      <c r="E9665" s="18"/>
    </row>
    <row r="9666" spans="2:5" x14ac:dyDescent="0.4">
      <c r="B9666" s="17"/>
      <c r="C9666" s="15"/>
      <c r="D9666" s="15"/>
      <c r="E9666" s="18"/>
    </row>
    <row r="9667" spans="2:5" x14ac:dyDescent="0.4">
      <c r="B9667" s="17"/>
      <c r="C9667" s="15"/>
      <c r="D9667" s="15"/>
      <c r="E9667" s="18"/>
    </row>
    <row r="9668" spans="2:5" x14ac:dyDescent="0.4">
      <c r="B9668" s="17"/>
      <c r="C9668" s="15"/>
      <c r="D9668" s="15"/>
      <c r="E9668" s="18"/>
    </row>
    <row r="9669" spans="2:5" x14ac:dyDescent="0.4">
      <c r="B9669" s="17"/>
      <c r="C9669" s="15"/>
      <c r="D9669" s="15"/>
      <c r="E9669" s="18"/>
    </row>
    <row r="9670" spans="2:5" x14ac:dyDescent="0.4">
      <c r="B9670" s="17"/>
      <c r="C9670" s="15"/>
      <c r="D9670" s="15"/>
      <c r="E9670" s="18"/>
    </row>
    <row r="9671" spans="2:5" x14ac:dyDescent="0.4">
      <c r="B9671" s="17"/>
      <c r="C9671" s="15"/>
      <c r="D9671" s="15"/>
      <c r="E9671" s="18"/>
    </row>
    <row r="9672" spans="2:5" x14ac:dyDescent="0.4">
      <c r="B9672" s="17"/>
      <c r="C9672" s="15"/>
      <c r="D9672" s="15"/>
      <c r="E9672" s="18"/>
    </row>
    <row r="9673" spans="2:5" x14ac:dyDescent="0.4">
      <c r="B9673" s="17"/>
      <c r="C9673" s="15"/>
      <c r="D9673" s="15"/>
      <c r="E9673" s="18"/>
    </row>
    <row r="9674" spans="2:5" x14ac:dyDescent="0.4">
      <c r="B9674" s="17"/>
      <c r="C9674" s="15"/>
      <c r="D9674" s="15"/>
      <c r="E9674" s="18"/>
    </row>
    <row r="9675" spans="2:5" x14ac:dyDescent="0.4">
      <c r="B9675" s="17"/>
      <c r="C9675" s="15"/>
      <c r="D9675" s="15"/>
      <c r="E9675" s="18"/>
    </row>
    <row r="9676" spans="2:5" x14ac:dyDescent="0.4">
      <c r="B9676" s="17"/>
      <c r="C9676" s="15"/>
      <c r="D9676" s="15"/>
      <c r="E9676" s="18"/>
    </row>
    <row r="9677" spans="2:5" x14ac:dyDescent="0.4">
      <c r="B9677" s="17"/>
      <c r="C9677" s="15"/>
      <c r="D9677" s="15"/>
      <c r="E9677" s="18"/>
    </row>
    <row r="9678" spans="2:5" x14ac:dyDescent="0.4">
      <c r="B9678" s="17"/>
      <c r="C9678" s="15"/>
      <c r="D9678" s="15"/>
      <c r="E9678" s="18"/>
    </row>
    <row r="9679" spans="2:5" x14ac:dyDescent="0.4">
      <c r="B9679" s="17"/>
      <c r="C9679" s="15"/>
      <c r="D9679" s="15"/>
      <c r="E9679" s="18"/>
    </row>
    <row r="9680" spans="2:5" x14ac:dyDescent="0.4">
      <c r="B9680" s="17"/>
      <c r="C9680" s="15"/>
      <c r="D9680" s="15"/>
      <c r="E9680" s="18"/>
    </row>
    <row r="9681" spans="2:5" x14ac:dyDescent="0.4">
      <c r="B9681" s="17"/>
      <c r="C9681" s="15"/>
      <c r="D9681" s="15"/>
      <c r="E9681" s="18"/>
    </row>
    <row r="9682" spans="2:5" x14ac:dyDescent="0.4">
      <c r="B9682" s="17"/>
      <c r="C9682" s="15"/>
      <c r="D9682" s="15"/>
      <c r="E9682" s="18"/>
    </row>
    <row r="9683" spans="2:5" x14ac:dyDescent="0.4">
      <c r="B9683" s="17"/>
      <c r="C9683" s="15"/>
      <c r="D9683" s="15"/>
      <c r="E9683" s="18"/>
    </row>
    <row r="9684" spans="2:5" x14ac:dyDescent="0.4">
      <c r="B9684" s="17"/>
      <c r="C9684" s="15"/>
      <c r="D9684" s="15"/>
      <c r="E9684" s="18"/>
    </row>
    <row r="9685" spans="2:5" x14ac:dyDescent="0.4">
      <c r="B9685" s="17"/>
      <c r="C9685" s="15"/>
      <c r="D9685" s="15"/>
      <c r="E9685" s="18"/>
    </row>
    <row r="9686" spans="2:5" x14ac:dyDescent="0.4">
      <c r="B9686" s="17"/>
      <c r="C9686" s="15"/>
      <c r="D9686" s="15"/>
      <c r="E9686" s="18"/>
    </row>
    <row r="9687" spans="2:5" x14ac:dyDescent="0.4">
      <c r="B9687" s="17"/>
      <c r="C9687" s="15"/>
      <c r="D9687" s="15"/>
      <c r="E9687" s="18"/>
    </row>
    <row r="9688" spans="2:5" x14ac:dyDescent="0.4">
      <c r="B9688" s="17"/>
      <c r="C9688" s="15"/>
      <c r="D9688" s="15"/>
      <c r="E9688" s="18"/>
    </row>
    <row r="9689" spans="2:5" x14ac:dyDescent="0.4">
      <c r="B9689" s="17"/>
      <c r="C9689" s="15"/>
      <c r="D9689" s="15"/>
      <c r="E9689" s="18"/>
    </row>
    <row r="9690" spans="2:5" x14ac:dyDescent="0.4">
      <c r="B9690" s="17"/>
      <c r="C9690" s="15"/>
      <c r="D9690" s="15"/>
      <c r="E9690" s="18"/>
    </row>
    <row r="9691" spans="2:5" x14ac:dyDescent="0.4">
      <c r="B9691" s="17"/>
      <c r="C9691" s="15"/>
      <c r="D9691" s="15"/>
      <c r="E9691" s="18"/>
    </row>
    <row r="9692" spans="2:5" x14ac:dyDescent="0.4">
      <c r="B9692" s="17"/>
      <c r="C9692" s="15"/>
      <c r="D9692" s="15"/>
      <c r="E9692" s="18"/>
    </row>
    <row r="9693" spans="2:5" x14ac:dyDescent="0.4">
      <c r="B9693" s="17"/>
      <c r="C9693" s="15"/>
      <c r="D9693" s="15"/>
      <c r="E9693" s="18"/>
    </row>
    <row r="9694" spans="2:5" x14ac:dyDescent="0.4">
      <c r="B9694" s="17"/>
      <c r="C9694" s="15"/>
      <c r="D9694" s="15"/>
      <c r="E9694" s="18"/>
    </row>
    <row r="9695" spans="2:5" x14ac:dyDescent="0.4">
      <c r="B9695" s="17"/>
      <c r="C9695" s="15"/>
      <c r="D9695" s="15"/>
      <c r="E9695" s="18"/>
    </row>
    <row r="9696" spans="2:5" x14ac:dyDescent="0.4">
      <c r="B9696" s="17"/>
      <c r="C9696" s="15"/>
      <c r="D9696" s="15"/>
      <c r="E9696" s="18"/>
    </row>
    <row r="9697" spans="2:5" x14ac:dyDescent="0.4">
      <c r="B9697" s="17"/>
      <c r="C9697" s="15"/>
      <c r="D9697" s="15"/>
      <c r="E9697" s="18"/>
    </row>
    <row r="9698" spans="2:5" x14ac:dyDescent="0.4">
      <c r="B9698" s="17"/>
      <c r="C9698" s="15"/>
      <c r="D9698" s="15"/>
      <c r="E9698" s="18"/>
    </row>
    <row r="9699" spans="2:5" x14ac:dyDescent="0.4">
      <c r="B9699" s="17"/>
      <c r="C9699" s="15"/>
      <c r="D9699" s="15"/>
      <c r="E9699" s="18"/>
    </row>
    <row r="9700" spans="2:5" x14ac:dyDescent="0.4">
      <c r="B9700" s="17"/>
      <c r="C9700" s="15"/>
      <c r="D9700" s="15"/>
      <c r="E9700" s="18"/>
    </row>
    <row r="9701" spans="2:5" x14ac:dyDescent="0.4">
      <c r="B9701" s="17"/>
      <c r="C9701" s="15"/>
      <c r="D9701" s="15"/>
      <c r="E9701" s="18"/>
    </row>
    <row r="9702" spans="2:5" x14ac:dyDescent="0.4">
      <c r="B9702" s="17"/>
      <c r="C9702" s="15"/>
      <c r="D9702" s="15"/>
      <c r="E9702" s="18"/>
    </row>
    <row r="9703" spans="2:5" x14ac:dyDescent="0.4">
      <c r="B9703" s="17"/>
      <c r="C9703" s="15"/>
      <c r="D9703" s="15"/>
      <c r="E9703" s="18"/>
    </row>
    <row r="9704" spans="2:5" x14ac:dyDescent="0.4">
      <c r="B9704" s="17"/>
      <c r="C9704" s="15"/>
      <c r="D9704" s="15"/>
      <c r="E9704" s="18"/>
    </row>
    <row r="9705" spans="2:5" x14ac:dyDescent="0.4">
      <c r="B9705" s="17"/>
      <c r="C9705" s="15"/>
      <c r="D9705" s="15"/>
      <c r="E9705" s="18"/>
    </row>
    <row r="9706" spans="2:5" x14ac:dyDescent="0.4">
      <c r="B9706" s="17"/>
      <c r="C9706" s="15"/>
      <c r="D9706" s="15"/>
      <c r="E9706" s="18"/>
    </row>
    <row r="9707" spans="2:5" x14ac:dyDescent="0.4">
      <c r="B9707" s="17"/>
      <c r="C9707" s="15"/>
      <c r="D9707" s="15"/>
      <c r="E9707" s="18"/>
    </row>
    <row r="9708" spans="2:5" x14ac:dyDescent="0.4">
      <c r="B9708" s="17"/>
      <c r="C9708" s="15"/>
      <c r="D9708" s="15"/>
      <c r="E9708" s="18"/>
    </row>
    <row r="9709" spans="2:5" x14ac:dyDescent="0.4">
      <c r="B9709" s="17"/>
      <c r="C9709" s="15"/>
      <c r="D9709" s="15"/>
      <c r="E9709" s="18"/>
    </row>
    <row r="9710" spans="2:5" x14ac:dyDescent="0.4">
      <c r="B9710" s="17"/>
      <c r="C9710" s="15"/>
      <c r="D9710" s="15"/>
      <c r="E9710" s="18"/>
    </row>
    <row r="9711" spans="2:5" x14ac:dyDescent="0.4">
      <c r="B9711" s="17"/>
      <c r="C9711" s="15"/>
      <c r="D9711" s="15"/>
      <c r="E9711" s="18"/>
    </row>
    <row r="9712" spans="2:5" x14ac:dyDescent="0.4">
      <c r="B9712" s="17"/>
      <c r="C9712" s="15"/>
      <c r="D9712" s="15"/>
      <c r="E9712" s="18"/>
    </row>
    <row r="9713" spans="2:5" x14ac:dyDescent="0.4">
      <c r="B9713" s="17"/>
      <c r="C9713" s="15"/>
      <c r="D9713" s="15"/>
      <c r="E9713" s="18"/>
    </row>
    <row r="9714" spans="2:5" x14ac:dyDescent="0.4">
      <c r="B9714" s="17"/>
      <c r="C9714" s="15"/>
      <c r="D9714" s="15"/>
      <c r="E9714" s="18"/>
    </row>
    <row r="9715" spans="2:5" x14ac:dyDescent="0.4">
      <c r="B9715" s="17"/>
      <c r="C9715" s="15"/>
      <c r="D9715" s="15"/>
      <c r="E9715" s="18"/>
    </row>
    <row r="9716" spans="2:5" x14ac:dyDescent="0.4">
      <c r="B9716" s="17"/>
      <c r="C9716" s="15"/>
      <c r="D9716" s="15"/>
      <c r="E9716" s="18"/>
    </row>
    <row r="9717" spans="2:5" x14ac:dyDescent="0.4">
      <c r="B9717" s="17"/>
      <c r="C9717" s="15"/>
      <c r="D9717" s="15"/>
      <c r="E9717" s="18"/>
    </row>
    <row r="9718" spans="2:5" x14ac:dyDescent="0.4">
      <c r="B9718" s="17"/>
      <c r="C9718" s="15"/>
      <c r="D9718" s="15"/>
      <c r="E9718" s="18"/>
    </row>
    <row r="9719" spans="2:5" x14ac:dyDescent="0.4">
      <c r="B9719" s="17"/>
      <c r="C9719" s="15"/>
      <c r="D9719" s="15"/>
      <c r="E9719" s="18"/>
    </row>
    <row r="9720" spans="2:5" x14ac:dyDescent="0.4">
      <c r="B9720" s="17"/>
      <c r="C9720" s="15"/>
      <c r="D9720" s="15"/>
      <c r="E9720" s="18"/>
    </row>
    <row r="9721" spans="2:5" x14ac:dyDescent="0.4">
      <c r="B9721" s="17"/>
      <c r="C9721" s="15"/>
      <c r="D9721" s="15"/>
      <c r="E9721" s="18"/>
    </row>
    <row r="9722" spans="2:5" x14ac:dyDescent="0.4">
      <c r="B9722" s="17"/>
      <c r="C9722" s="15"/>
      <c r="D9722" s="15"/>
      <c r="E9722" s="18"/>
    </row>
    <row r="9723" spans="2:5" x14ac:dyDescent="0.4">
      <c r="B9723" s="17"/>
      <c r="C9723" s="15"/>
      <c r="D9723" s="15"/>
      <c r="E9723" s="18"/>
    </row>
    <row r="9724" spans="2:5" x14ac:dyDescent="0.4">
      <c r="B9724" s="17"/>
      <c r="C9724" s="15"/>
      <c r="D9724" s="15"/>
      <c r="E9724" s="18"/>
    </row>
    <row r="9725" spans="2:5" x14ac:dyDescent="0.4">
      <c r="B9725" s="17"/>
      <c r="C9725" s="15"/>
      <c r="D9725" s="15"/>
      <c r="E9725" s="18"/>
    </row>
    <row r="9726" spans="2:5" x14ac:dyDescent="0.4">
      <c r="B9726" s="17"/>
      <c r="C9726" s="15"/>
      <c r="D9726" s="15"/>
      <c r="E9726" s="18"/>
    </row>
    <row r="9727" spans="2:5" x14ac:dyDescent="0.4">
      <c r="B9727" s="17"/>
      <c r="C9727" s="15"/>
      <c r="D9727" s="15"/>
      <c r="E9727" s="18"/>
    </row>
    <row r="9728" spans="2:5" x14ac:dyDescent="0.4">
      <c r="B9728" s="17"/>
      <c r="C9728" s="15"/>
      <c r="D9728" s="15"/>
      <c r="E9728" s="18"/>
    </row>
    <row r="9729" spans="2:5" x14ac:dyDescent="0.4">
      <c r="B9729" s="17"/>
      <c r="C9729" s="15"/>
      <c r="D9729" s="15"/>
      <c r="E9729" s="18"/>
    </row>
    <row r="9730" spans="2:5" x14ac:dyDescent="0.4">
      <c r="B9730" s="17"/>
      <c r="C9730" s="15"/>
      <c r="D9730" s="15"/>
      <c r="E9730" s="18"/>
    </row>
    <row r="9731" spans="2:5" x14ac:dyDescent="0.4">
      <c r="B9731" s="17"/>
      <c r="C9731" s="15"/>
      <c r="D9731" s="15"/>
      <c r="E9731" s="18"/>
    </row>
    <row r="9732" spans="2:5" x14ac:dyDescent="0.4">
      <c r="B9732" s="17"/>
      <c r="C9732" s="15"/>
      <c r="D9732" s="15"/>
      <c r="E9732" s="18"/>
    </row>
    <row r="9733" spans="2:5" x14ac:dyDescent="0.4">
      <c r="B9733" s="17"/>
      <c r="C9733" s="15"/>
      <c r="D9733" s="15"/>
      <c r="E9733" s="18"/>
    </row>
    <row r="9734" spans="2:5" x14ac:dyDescent="0.4">
      <c r="B9734" s="17"/>
      <c r="C9734" s="15"/>
      <c r="D9734" s="15"/>
      <c r="E9734" s="18"/>
    </row>
    <row r="9735" spans="2:5" x14ac:dyDescent="0.4">
      <c r="B9735" s="17"/>
      <c r="C9735" s="15"/>
      <c r="D9735" s="15"/>
      <c r="E9735" s="18"/>
    </row>
    <row r="9736" spans="2:5" x14ac:dyDescent="0.4">
      <c r="B9736" s="17"/>
      <c r="C9736" s="15"/>
      <c r="D9736" s="15"/>
      <c r="E9736" s="18"/>
    </row>
    <row r="9737" spans="2:5" x14ac:dyDescent="0.4">
      <c r="B9737" s="17"/>
      <c r="C9737" s="15"/>
      <c r="D9737" s="15"/>
      <c r="E9737" s="18"/>
    </row>
    <row r="9738" spans="2:5" x14ac:dyDescent="0.4">
      <c r="B9738" s="17"/>
      <c r="C9738" s="15"/>
      <c r="D9738" s="15"/>
      <c r="E9738" s="18"/>
    </row>
    <row r="9739" spans="2:5" x14ac:dyDescent="0.4">
      <c r="B9739" s="17"/>
      <c r="C9739" s="15"/>
      <c r="D9739" s="15"/>
      <c r="E9739" s="18"/>
    </row>
    <row r="9740" spans="2:5" x14ac:dyDescent="0.4">
      <c r="B9740" s="17"/>
      <c r="C9740" s="15"/>
      <c r="D9740" s="15"/>
      <c r="E9740" s="18"/>
    </row>
    <row r="9741" spans="2:5" x14ac:dyDescent="0.4">
      <c r="B9741" s="17"/>
      <c r="C9741" s="15"/>
      <c r="D9741" s="15"/>
      <c r="E9741" s="18"/>
    </row>
    <row r="9742" spans="2:5" x14ac:dyDescent="0.4">
      <c r="B9742" s="17"/>
      <c r="C9742" s="15"/>
      <c r="D9742" s="15"/>
      <c r="E9742" s="18"/>
    </row>
    <row r="9743" spans="2:5" x14ac:dyDescent="0.4">
      <c r="B9743" s="17"/>
      <c r="C9743" s="15"/>
      <c r="D9743" s="15"/>
      <c r="E9743" s="18"/>
    </row>
    <row r="9744" spans="2:5" x14ac:dyDescent="0.4">
      <c r="B9744" s="17"/>
      <c r="C9744" s="15"/>
      <c r="D9744" s="15"/>
      <c r="E9744" s="18"/>
    </row>
    <row r="9745" spans="2:5" x14ac:dyDescent="0.4">
      <c r="B9745" s="17"/>
      <c r="C9745" s="15"/>
      <c r="D9745" s="15"/>
      <c r="E9745" s="18"/>
    </row>
    <row r="9746" spans="2:5" x14ac:dyDescent="0.4">
      <c r="B9746" s="17"/>
      <c r="C9746" s="15"/>
      <c r="D9746" s="15"/>
      <c r="E9746" s="18"/>
    </row>
    <row r="9747" spans="2:5" x14ac:dyDescent="0.4">
      <c r="B9747" s="17"/>
      <c r="C9747" s="15"/>
      <c r="D9747" s="15"/>
      <c r="E9747" s="18"/>
    </row>
    <row r="9748" spans="2:5" x14ac:dyDescent="0.4">
      <c r="B9748" s="17"/>
      <c r="C9748" s="15"/>
      <c r="D9748" s="15"/>
      <c r="E9748" s="18"/>
    </row>
    <row r="9749" spans="2:5" x14ac:dyDescent="0.4">
      <c r="B9749" s="17"/>
      <c r="C9749" s="15"/>
      <c r="D9749" s="15"/>
      <c r="E9749" s="18"/>
    </row>
    <row r="9750" spans="2:5" x14ac:dyDescent="0.4">
      <c r="B9750" s="17"/>
      <c r="C9750" s="15"/>
      <c r="D9750" s="15"/>
      <c r="E9750" s="18"/>
    </row>
    <row r="9751" spans="2:5" x14ac:dyDescent="0.4">
      <c r="B9751" s="17"/>
      <c r="C9751" s="15"/>
      <c r="D9751" s="15"/>
      <c r="E9751" s="18"/>
    </row>
    <row r="9752" spans="2:5" x14ac:dyDescent="0.4">
      <c r="B9752" s="17"/>
      <c r="C9752" s="15"/>
      <c r="D9752" s="15"/>
      <c r="E9752" s="18"/>
    </row>
    <row r="9753" spans="2:5" x14ac:dyDescent="0.4">
      <c r="B9753" s="17"/>
      <c r="C9753" s="15"/>
      <c r="D9753" s="15"/>
      <c r="E9753" s="18"/>
    </row>
    <row r="9754" spans="2:5" x14ac:dyDescent="0.4">
      <c r="B9754" s="17"/>
      <c r="C9754" s="15"/>
      <c r="D9754" s="15"/>
      <c r="E9754" s="18"/>
    </row>
    <row r="9755" spans="2:5" x14ac:dyDescent="0.4">
      <c r="B9755" s="17"/>
      <c r="C9755" s="15"/>
      <c r="D9755" s="15"/>
      <c r="E9755" s="18"/>
    </row>
    <row r="9756" spans="2:5" x14ac:dyDescent="0.4">
      <c r="B9756" s="17"/>
      <c r="C9756" s="15"/>
      <c r="D9756" s="15"/>
      <c r="E9756" s="18"/>
    </row>
    <row r="9757" spans="2:5" x14ac:dyDescent="0.4">
      <c r="B9757" s="17"/>
      <c r="C9757" s="15"/>
      <c r="D9757" s="15"/>
      <c r="E9757" s="18"/>
    </row>
    <row r="9758" spans="2:5" x14ac:dyDescent="0.4">
      <c r="B9758" s="17"/>
      <c r="C9758" s="15"/>
      <c r="D9758" s="15"/>
      <c r="E9758" s="18"/>
    </row>
    <row r="9759" spans="2:5" x14ac:dyDescent="0.4">
      <c r="B9759" s="17"/>
      <c r="C9759" s="15"/>
      <c r="D9759" s="15"/>
      <c r="E9759" s="18"/>
    </row>
    <row r="9760" spans="2:5" x14ac:dyDescent="0.4">
      <c r="B9760" s="17"/>
      <c r="C9760" s="15"/>
      <c r="D9760" s="15"/>
      <c r="E9760" s="18"/>
    </row>
    <row r="9761" spans="2:5" x14ac:dyDescent="0.4">
      <c r="B9761" s="17"/>
      <c r="C9761" s="15"/>
      <c r="D9761" s="15"/>
      <c r="E9761" s="18"/>
    </row>
    <row r="9762" spans="2:5" x14ac:dyDescent="0.4">
      <c r="B9762" s="17"/>
      <c r="C9762" s="15"/>
      <c r="D9762" s="15"/>
      <c r="E9762" s="18"/>
    </row>
    <row r="9763" spans="2:5" x14ac:dyDescent="0.4">
      <c r="B9763" s="17"/>
      <c r="C9763" s="15"/>
      <c r="D9763" s="15"/>
      <c r="E9763" s="18"/>
    </row>
    <row r="9764" spans="2:5" x14ac:dyDescent="0.4">
      <c r="B9764" s="17"/>
      <c r="C9764" s="15"/>
      <c r="D9764" s="15"/>
      <c r="E9764" s="18"/>
    </row>
    <row r="9765" spans="2:5" x14ac:dyDescent="0.4">
      <c r="B9765" s="17"/>
      <c r="C9765" s="15"/>
      <c r="D9765" s="15"/>
      <c r="E9765" s="18"/>
    </row>
    <row r="9766" spans="2:5" x14ac:dyDescent="0.4">
      <c r="B9766" s="17"/>
      <c r="C9766" s="15"/>
      <c r="D9766" s="15"/>
      <c r="E9766" s="18"/>
    </row>
    <row r="9767" spans="2:5" x14ac:dyDescent="0.4">
      <c r="B9767" s="17"/>
      <c r="C9767" s="15"/>
      <c r="D9767" s="15"/>
      <c r="E9767" s="18"/>
    </row>
    <row r="9768" spans="2:5" x14ac:dyDescent="0.4">
      <c r="B9768" s="17"/>
      <c r="C9768" s="15"/>
      <c r="D9768" s="15"/>
      <c r="E9768" s="18"/>
    </row>
    <row r="9769" spans="2:5" x14ac:dyDescent="0.4">
      <c r="B9769" s="17"/>
      <c r="C9769" s="15"/>
      <c r="D9769" s="15"/>
      <c r="E9769" s="18"/>
    </row>
    <row r="9770" spans="2:5" x14ac:dyDescent="0.4">
      <c r="B9770" s="17"/>
      <c r="C9770" s="15"/>
      <c r="D9770" s="15"/>
      <c r="E9770" s="18"/>
    </row>
    <row r="9771" spans="2:5" x14ac:dyDescent="0.4">
      <c r="B9771" s="17"/>
      <c r="C9771" s="15"/>
      <c r="D9771" s="15"/>
      <c r="E9771" s="18"/>
    </row>
    <row r="9772" spans="2:5" x14ac:dyDescent="0.4">
      <c r="B9772" s="17"/>
      <c r="C9772" s="15"/>
      <c r="D9772" s="15"/>
      <c r="E9772" s="18"/>
    </row>
    <row r="9773" spans="2:5" x14ac:dyDescent="0.4">
      <c r="B9773" s="17"/>
      <c r="C9773" s="15"/>
      <c r="D9773" s="15"/>
      <c r="E9773" s="18"/>
    </row>
    <row r="9774" spans="2:5" x14ac:dyDescent="0.4">
      <c r="B9774" s="17"/>
      <c r="C9774" s="15"/>
      <c r="D9774" s="15"/>
      <c r="E9774" s="18"/>
    </row>
    <row r="9775" spans="2:5" x14ac:dyDescent="0.4">
      <c r="B9775" s="17"/>
      <c r="C9775" s="15"/>
      <c r="D9775" s="15"/>
      <c r="E9775" s="18"/>
    </row>
    <row r="9776" spans="2:5" x14ac:dyDescent="0.4">
      <c r="B9776" s="17"/>
      <c r="C9776" s="15"/>
      <c r="D9776" s="15"/>
      <c r="E9776" s="18"/>
    </row>
    <row r="9777" spans="2:5" x14ac:dyDescent="0.4">
      <c r="B9777" s="17"/>
      <c r="C9777" s="15"/>
      <c r="D9777" s="15"/>
      <c r="E9777" s="18"/>
    </row>
    <row r="9778" spans="2:5" x14ac:dyDescent="0.4">
      <c r="B9778" s="17"/>
      <c r="C9778" s="15"/>
      <c r="D9778" s="15"/>
      <c r="E9778" s="18"/>
    </row>
    <row r="9779" spans="2:5" x14ac:dyDescent="0.4">
      <c r="B9779" s="17"/>
      <c r="C9779" s="15"/>
      <c r="D9779" s="15"/>
      <c r="E9779" s="18"/>
    </row>
    <row r="9780" spans="2:5" x14ac:dyDescent="0.4">
      <c r="B9780" s="17"/>
      <c r="C9780" s="15"/>
      <c r="D9780" s="15"/>
      <c r="E9780" s="18"/>
    </row>
    <row r="9781" spans="2:5" x14ac:dyDescent="0.4">
      <c r="B9781" s="17"/>
      <c r="C9781" s="15"/>
      <c r="D9781" s="15"/>
      <c r="E9781" s="18"/>
    </row>
    <row r="9782" spans="2:5" x14ac:dyDescent="0.4">
      <c r="B9782" s="17"/>
      <c r="C9782" s="15"/>
      <c r="D9782" s="15"/>
      <c r="E9782" s="18"/>
    </row>
    <row r="9783" spans="2:5" x14ac:dyDescent="0.4">
      <c r="B9783" s="17"/>
      <c r="C9783" s="15"/>
      <c r="D9783" s="15"/>
      <c r="E9783" s="18"/>
    </row>
    <row r="9784" spans="2:5" x14ac:dyDescent="0.4">
      <c r="B9784" s="17"/>
      <c r="C9784" s="15"/>
      <c r="D9784" s="15"/>
      <c r="E9784" s="18"/>
    </row>
    <row r="9785" spans="2:5" x14ac:dyDescent="0.4">
      <c r="B9785" s="17"/>
      <c r="C9785" s="15"/>
      <c r="D9785" s="15"/>
      <c r="E9785" s="18"/>
    </row>
    <row r="9786" spans="2:5" x14ac:dyDescent="0.4">
      <c r="B9786" s="17"/>
      <c r="C9786" s="15"/>
      <c r="D9786" s="15"/>
      <c r="E9786" s="18"/>
    </row>
    <row r="9787" spans="2:5" x14ac:dyDescent="0.4">
      <c r="B9787" s="17"/>
      <c r="C9787" s="15"/>
      <c r="D9787" s="15"/>
      <c r="E9787" s="18"/>
    </row>
    <row r="9788" spans="2:5" x14ac:dyDescent="0.4">
      <c r="B9788" s="17"/>
      <c r="C9788" s="15"/>
      <c r="D9788" s="15"/>
      <c r="E9788" s="18"/>
    </row>
    <row r="9789" spans="2:5" x14ac:dyDescent="0.4">
      <c r="B9789" s="17"/>
      <c r="C9789" s="15"/>
      <c r="D9789" s="15"/>
      <c r="E9789" s="18"/>
    </row>
    <row r="9790" spans="2:5" x14ac:dyDescent="0.4">
      <c r="B9790" s="17"/>
      <c r="C9790" s="15"/>
      <c r="D9790" s="15"/>
      <c r="E9790" s="18"/>
    </row>
    <row r="9791" spans="2:5" x14ac:dyDescent="0.4">
      <c r="B9791" s="17"/>
      <c r="C9791" s="15"/>
      <c r="D9791" s="15"/>
      <c r="E9791" s="18"/>
    </row>
    <row r="9792" spans="2:5" x14ac:dyDescent="0.4">
      <c r="B9792" s="17"/>
      <c r="C9792" s="15"/>
      <c r="D9792" s="15"/>
      <c r="E9792" s="18"/>
    </row>
    <row r="9793" spans="2:5" x14ac:dyDescent="0.4">
      <c r="B9793" s="17"/>
      <c r="C9793" s="15"/>
      <c r="D9793" s="15"/>
      <c r="E9793" s="18"/>
    </row>
    <row r="9794" spans="2:5" x14ac:dyDescent="0.4">
      <c r="B9794" s="17"/>
      <c r="C9794" s="15"/>
      <c r="D9794" s="15"/>
      <c r="E9794" s="18"/>
    </row>
    <row r="9795" spans="2:5" x14ac:dyDescent="0.4">
      <c r="B9795" s="17"/>
      <c r="C9795" s="15"/>
      <c r="D9795" s="15"/>
      <c r="E9795" s="18"/>
    </row>
    <row r="9796" spans="2:5" x14ac:dyDescent="0.4">
      <c r="B9796" s="17"/>
      <c r="C9796" s="15"/>
      <c r="D9796" s="15"/>
      <c r="E9796" s="18"/>
    </row>
    <row r="9797" spans="2:5" x14ac:dyDescent="0.4">
      <c r="B9797" s="17"/>
      <c r="C9797" s="15"/>
      <c r="D9797" s="15"/>
      <c r="E9797" s="18"/>
    </row>
    <row r="9798" spans="2:5" x14ac:dyDescent="0.4">
      <c r="B9798" s="17"/>
      <c r="C9798" s="15"/>
      <c r="D9798" s="15"/>
      <c r="E9798" s="18"/>
    </row>
    <row r="9799" spans="2:5" x14ac:dyDescent="0.4">
      <c r="B9799" s="17"/>
      <c r="C9799" s="15"/>
      <c r="D9799" s="15"/>
      <c r="E9799" s="18"/>
    </row>
    <row r="9800" spans="2:5" x14ac:dyDescent="0.4">
      <c r="B9800" s="17"/>
      <c r="C9800" s="15"/>
      <c r="D9800" s="15"/>
      <c r="E9800" s="18"/>
    </row>
    <row r="9801" spans="2:5" x14ac:dyDescent="0.4">
      <c r="B9801" s="17"/>
      <c r="C9801" s="15"/>
      <c r="D9801" s="15"/>
      <c r="E9801" s="18"/>
    </row>
    <row r="9802" spans="2:5" x14ac:dyDescent="0.4">
      <c r="B9802" s="17"/>
      <c r="C9802" s="15"/>
      <c r="D9802" s="15"/>
      <c r="E9802" s="18"/>
    </row>
    <row r="9803" spans="2:5" x14ac:dyDescent="0.4">
      <c r="B9803" s="17"/>
      <c r="C9803" s="15"/>
      <c r="D9803" s="15"/>
      <c r="E9803" s="18"/>
    </row>
    <row r="9804" spans="2:5" x14ac:dyDescent="0.4">
      <c r="B9804" s="17"/>
      <c r="C9804" s="15"/>
      <c r="D9804" s="15"/>
      <c r="E9804" s="18"/>
    </row>
    <row r="9805" spans="2:5" x14ac:dyDescent="0.4">
      <c r="B9805" s="17"/>
      <c r="C9805" s="15"/>
      <c r="D9805" s="15"/>
      <c r="E9805" s="18"/>
    </row>
    <row r="9806" spans="2:5" x14ac:dyDescent="0.4">
      <c r="B9806" s="17"/>
      <c r="C9806" s="15"/>
      <c r="D9806" s="15"/>
      <c r="E9806" s="18"/>
    </row>
    <row r="9807" spans="2:5" x14ac:dyDescent="0.4">
      <c r="B9807" s="17"/>
      <c r="C9807" s="15"/>
      <c r="D9807" s="15"/>
      <c r="E9807" s="18"/>
    </row>
    <row r="9808" spans="2:5" x14ac:dyDescent="0.4">
      <c r="B9808" s="17"/>
      <c r="C9808" s="15"/>
      <c r="D9808" s="15"/>
      <c r="E9808" s="18"/>
    </row>
    <row r="9809" spans="2:5" x14ac:dyDescent="0.4">
      <c r="B9809" s="17"/>
      <c r="C9809" s="15"/>
      <c r="D9809" s="15"/>
      <c r="E9809" s="18"/>
    </row>
    <row r="9810" spans="2:5" x14ac:dyDescent="0.4">
      <c r="B9810" s="17"/>
      <c r="C9810" s="15"/>
      <c r="D9810" s="15"/>
      <c r="E9810" s="18"/>
    </row>
    <row r="9811" spans="2:5" x14ac:dyDescent="0.4">
      <c r="B9811" s="17"/>
      <c r="C9811" s="15"/>
      <c r="D9811" s="15"/>
      <c r="E9811" s="18"/>
    </row>
    <row r="9812" spans="2:5" x14ac:dyDescent="0.4">
      <c r="B9812" s="17"/>
      <c r="C9812" s="15"/>
      <c r="D9812" s="15"/>
      <c r="E9812" s="18"/>
    </row>
    <row r="9813" spans="2:5" x14ac:dyDescent="0.4">
      <c r="B9813" s="17"/>
      <c r="C9813" s="15"/>
      <c r="D9813" s="15"/>
      <c r="E9813" s="18"/>
    </row>
    <row r="9814" spans="2:5" x14ac:dyDescent="0.4">
      <c r="B9814" s="17"/>
      <c r="C9814" s="15"/>
      <c r="D9814" s="15"/>
      <c r="E9814" s="18"/>
    </row>
    <row r="9815" spans="2:5" x14ac:dyDescent="0.4">
      <c r="B9815" s="17"/>
      <c r="C9815" s="15"/>
      <c r="D9815" s="15"/>
      <c r="E9815" s="18"/>
    </row>
    <row r="9816" spans="2:5" x14ac:dyDescent="0.4">
      <c r="B9816" s="17"/>
      <c r="C9816" s="15"/>
      <c r="D9816" s="15"/>
      <c r="E9816" s="18"/>
    </row>
    <row r="9817" spans="2:5" x14ac:dyDescent="0.4">
      <c r="B9817" s="17"/>
      <c r="C9817" s="15"/>
      <c r="D9817" s="15"/>
      <c r="E9817" s="18"/>
    </row>
    <row r="9818" spans="2:5" x14ac:dyDescent="0.4">
      <c r="B9818" s="17"/>
      <c r="C9818" s="15"/>
      <c r="D9818" s="15"/>
      <c r="E9818" s="18"/>
    </row>
    <row r="9819" spans="2:5" x14ac:dyDescent="0.4">
      <c r="B9819" s="17"/>
      <c r="C9819" s="15"/>
      <c r="D9819" s="15"/>
      <c r="E9819" s="18"/>
    </row>
    <row r="9820" spans="2:5" x14ac:dyDescent="0.4">
      <c r="B9820" s="17"/>
      <c r="C9820" s="15"/>
      <c r="D9820" s="15"/>
      <c r="E9820" s="18"/>
    </row>
    <row r="9821" spans="2:5" x14ac:dyDescent="0.4">
      <c r="B9821" s="17"/>
      <c r="C9821" s="15"/>
      <c r="D9821" s="15"/>
      <c r="E9821" s="18"/>
    </row>
    <row r="9822" spans="2:5" x14ac:dyDescent="0.4">
      <c r="B9822" s="17"/>
      <c r="C9822" s="15"/>
      <c r="D9822" s="15"/>
      <c r="E9822" s="18"/>
    </row>
    <row r="9823" spans="2:5" x14ac:dyDescent="0.4">
      <c r="B9823" s="17"/>
      <c r="C9823" s="15"/>
      <c r="D9823" s="15"/>
      <c r="E9823" s="18"/>
    </row>
    <row r="9824" spans="2:5" x14ac:dyDescent="0.4">
      <c r="B9824" s="17"/>
      <c r="C9824" s="15"/>
      <c r="D9824" s="15"/>
      <c r="E9824" s="18"/>
    </row>
    <row r="9825" spans="2:5" x14ac:dyDescent="0.4">
      <c r="B9825" s="17"/>
      <c r="C9825" s="15"/>
      <c r="D9825" s="15"/>
      <c r="E9825" s="18"/>
    </row>
    <row r="9826" spans="2:5" x14ac:dyDescent="0.4">
      <c r="B9826" s="17"/>
      <c r="C9826" s="15"/>
      <c r="D9826" s="15"/>
      <c r="E9826" s="18"/>
    </row>
    <row r="9827" spans="2:5" x14ac:dyDescent="0.4">
      <c r="B9827" s="17"/>
      <c r="C9827" s="15"/>
      <c r="D9827" s="15"/>
      <c r="E9827" s="18"/>
    </row>
    <row r="9828" spans="2:5" x14ac:dyDescent="0.4">
      <c r="B9828" s="17"/>
      <c r="C9828" s="15"/>
      <c r="D9828" s="15"/>
      <c r="E9828" s="18"/>
    </row>
    <row r="9829" spans="2:5" x14ac:dyDescent="0.4">
      <c r="B9829" s="17"/>
      <c r="C9829" s="15"/>
      <c r="D9829" s="15"/>
      <c r="E9829" s="18"/>
    </row>
    <row r="9830" spans="2:5" x14ac:dyDescent="0.4">
      <c r="B9830" s="17"/>
      <c r="C9830" s="15"/>
      <c r="D9830" s="15"/>
      <c r="E9830" s="18"/>
    </row>
    <row r="9831" spans="2:5" x14ac:dyDescent="0.4">
      <c r="B9831" s="17"/>
      <c r="C9831" s="15"/>
      <c r="D9831" s="15"/>
      <c r="E9831" s="18"/>
    </row>
    <row r="9832" spans="2:5" x14ac:dyDescent="0.4">
      <c r="B9832" s="17"/>
      <c r="C9832" s="15"/>
      <c r="D9832" s="15"/>
      <c r="E9832" s="18"/>
    </row>
    <row r="9833" spans="2:5" x14ac:dyDescent="0.4">
      <c r="B9833" s="17"/>
      <c r="C9833" s="15"/>
      <c r="D9833" s="15"/>
      <c r="E9833" s="18"/>
    </row>
    <row r="9834" spans="2:5" x14ac:dyDescent="0.4">
      <c r="B9834" s="17"/>
      <c r="C9834" s="15"/>
      <c r="D9834" s="15"/>
      <c r="E9834" s="18"/>
    </row>
    <row r="9835" spans="2:5" x14ac:dyDescent="0.4">
      <c r="B9835" s="17"/>
      <c r="C9835" s="15"/>
      <c r="D9835" s="15"/>
      <c r="E9835" s="18"/>
    </row>
    <row r="9836" spans="2:5" x14ac:dyDescent="0.4">
      <c r="B9836" s="17"/>
      <c r="C9836" s="15"/>
      <c r="D9836" s="15"/>
      <c r="E9836" s="18"/>
    </row>
    <row r="9837" spans="2:5" x14ac:dyDescent="0.4">
      <c r="B9837" s="17"/>
      <c r="C9837" s="15"/>
      <c r="D9837" s="15"/>
      <c r="E9837" s="18"/>
    </row>
    <row r="9838" spans="2:5" x14ac:dyDescent="0.4">
      <c r="B9838" s="17"/>
      <c r="C9838" s="15"/>
      <c r="D9838" s="15"/>
      <c r="E9838" s="18"/>
    </row>
    <row r="9839" spans="2:5" x14ac:dyDescent="0.4">
      <c r="B9839" s="17"/>
      <c r="C9839" s="15"/>
      <c r="D9839" s="15"/>
      <c r="E9839" s="18"/>
    </row>
    <row r="9840" spans="2:5" x14ac:dyDescent="0.4">
      <c r="B9840" s="17"/>
      <c r="C9840" s="15"/>
      <c r="D9840" s="15"/>
      <c r="E9840" s="18"/>
    </row>
    <row r="9841" spans="2:5" x14ac:dyDescent="0.4">
      <c r="B9841" s="17"/>
      <c r="C9841" s="15"/>
      <c r="D9841" s="15"/>
      <c r="E9841" s="18"/>
    </row>
    <row r="9842" spans="2:5" x14ac:dyDescent="0.4">
      <c r="B9842" s="17"/>
      <c r="C9842" s="15"/>
      <c r="D9842" s="15"/>
      <c r="E9842" s="18"/>
    </row>
    <row r="9843" spans="2:5" x14ac:dyDescent="0.4">
      <c r="B9843" s="17"/>
      <c r="C9843" s="15"/>
      <c r="D9843" s="15"/>
      <c r="E9843" s="18"/>
    </row>
    <row r="9844" spans="2:5" x14ac:dyDescent="0.4">
      <c r="B9844" s="17"/>
      <c r="C9844" s="15"/>
      <c r="D9844" s="15"/>
      <c r="E9844" s="18"/>
    </row>
    <row r="9845" spans="2:5" x14ac:dyDescent="0.4">
      <c r="B9845" s="17"/>
      <c r="C9845" s="15"/>
      <c r="D9845" s="15"/>
      <c r="E9845" s="18"/>
    </row>
    <row r="9846" spans="2:5" x14ac:dyDescent="0.4">
      <c r="B9846" s="17"/>
      <c r="C9846" s="15"/>
      <c r="D9846" s="15"/>
      <c r="E9846" s="18"/>
    </row>
    <row r="9847" spans="2:5" x14ac:dyDescent="0.4">
      <c r="B9847" s="17"/>
      <c r="C9847" s="15"/>
      <c r="D9847" s="15"/>
      <c r="E9847" s="18"/>
    </row>
    <row r="9848" spans="2:5" x14ac:dyDescent="0.4">
      <c r="B9848" s="17"/>
      <c r="C9848" s="15"/>
      <c r="D9848" s="15"/>
      <c r="E9848" s="18"/>
    </row>
    <row r="9849" spans="2:5" x14ac:dyDescent="0.4">
      <c r="B9849" s="17"/>
      <c r="C9849" s="15"/>
      <c r="D9849" s="15"/>
      <c r="E9849" s="18"/>
    </row>
    <row r="9850" spans="2:5" x14ac:dyDescent="0.4">
      <c r="B9850" s="17"/>
      <c r="C9850" s="15"/>
      <c r="D9850" s="15"/>
      <c r="E9850" s="18"/>
    </row>
    <row r="9851" spans="2:5" x14ac:dyDescent="0.4">
      <c r="B9851" s="17"/>
      <c r="C9851" s="15"/>
      <c r="D9851" s="15"/>
      <c r="E9851" s="18"/>
    </row>
    <row r="9852" spans="2:5" x14ac:dyDescent="0.4">
      <c r="B9852" s="17"/>
      <c r="C9852" s="15"/>
      <c r="D9852" s="15"/>
      <c r="E9852" s="18"/>
    </row>
    <row r="9853" spans="2:5" x14ac:dyDescent="0.4">
      <c r="B9853" s="17"/>
      <c r="C9853" s="15"/>
      <c r="D9853" s="15"/>
      <c r="E9853" s="18"/>
    </row>
    <row r="9854" spans="2:5" x14ac:dyDescent="0.4">
      <c r="B9854" s="17"/>
      <c r="C9854" s="15"/>
      <c r="D9854" s="15"/>
      <c r="E9854" s="18"/>
    </row>
    <row r="9855" spans="2:5" x14ac:dyDescent="0.4">
      <c r="B9855" s="17"/>
      <c r="C9855" s="15"/>
      <c r="D9855" s="15"/>
      <c r="E9855" s="18"/>
    </row>
    <row r="9856" spans="2:5" x14ac:dyDescent="0.4">
      <c r="B9856" s="17"/>
      <c r="C9856" s="15"/>
      <c r="D9856" s="15"/>
      <c r="E9856" s="18"/>
    </row>
    <row r="9857" spans="2:5" x14ac:dyDescent="0.4">
      <c r="B9857" s="17"/>
      <c r="C9857" s="15"/>
      <c r="D9857" s="15"/>
      <c r="E9857" s="18"/>
    </row>
    <row r="9858" spans="2:5" x14ac:dyDescent="0.4">
      <c r="B9858" s="17"/>
      <c r="C9858" s="15"/>
      <c r="D9858" s="15"/>
      <c r="E9858" s="18"/>
    </row>
    <row r="9859" spans="2:5" x14ac:dyDescent="0.4">
      <c r="B9859" s="17"/>
      <c r="C9859" s="15"/>
      <c r="D9859" s="15"/>
      <c r="E9859" s="18"/>
    </row>
    <row r="9860" spans="2:5" x14ac:dyDescent="0.4">
      <c r="B9860" s="17"/>
      <c r="C9860" s="15"/>
      <c r="D9860" s="15"/>
      <c r="E9860" s="18"/>
    </row>
    <row r="9861" spans="2:5" x14ac:dyDescent="0.4">
      <c r="B9861" s="17"/>
      <c r="C9861" s="15"/>
      <c r="D9861" s="15"/>
      <c r="E9861" s="18"/>
    </row>
    <row r="9862" spans="2:5" x14ac:dyDescent="0.4">
      <c r="B9862" s="17"/>
      <c r="C9862" s="15"/>
      <c r="D9862" s="15"/>
      <c r="E9862" s="18"/>
    </row>
    <row r="9863" spans="2:5" x14ac:dyDescent="0.4">
      <c r="B9863" s="17"/>
      <c r="C9863" s="15"/>
      <c r="D9863" s="15"/>
      <c r="E9863" s="18"/>
    </row>
    <row r="9864" spans="2:5" x14ac:dyDescent="0.4">
      <c r="B9864" s="17"/>
      <c r="C9864" s="15"/>
      <c r="D9864" s="15"/>
      <c r="E9864" s="18"/>
    </row>
    <row r="9865" spans="2:5" x14ac:dyDescent="0.4">
      <c r="B9865" s="17"/>
      <c r="C9865" s="15"/>
      <c r="D9865" s="15"/>
      <c r="E9865" s="18"/>
    </row>
    <row r="9866" spans="2:5" x14ac:dyDescent="0.4">
      <c r="B9866" s="17"/>
      <c r="C9866" s="15"/>
      <c r="D9866" s="15"/>
      <c r="E9866" s="18"/>
    </row>
    <row r="9867" spans="2:5" x14ac:dyDescent="0.4">
      <c r="B9867" s="17"/>
      <c r="C9867" s="15"/>
      <c r="D9867" s="15"/>
      <c r="E9867" s="18"/>
    </row>
    <row r="9868" spans="2:5" x14ac:dyDescent="0.4">
      <c r="B9868" s="17"/>
      <c r="C9868" s="15"/>
      <c r="D9868" s="15"/>
      <c r="E9868" s="18"/>
    </row>
    <row r="9869" spans="2:5" x14ac:dyDescent="0.4">
      <c r="B9869" s="17"/>
      <c r="C9869" s="15"/>
      <c r="D9869" s="15"/>
      <c r="E9869" s="18"/>
    </row>
    <row r="9870" spans="2:5" x14ac:dyDescent="0.4">
      <c r="B9870" s="17"/>
      <c r="C9870" s="15"/>
      <c r="D9870" s="15"/>
      <c r="E9870" s="18"/>
    </row>
    <row r="9871" spans="2:5" x14ac:dyDescent="0.4">
      <c r="B9871" s="17"/>
      <c r="C9871" s="15"/>
      <c r="D9871" s="15"/>
      <c r="E9871" s="18"/>
    </row>
    <row r="9872" spans="2:5" x14ac:dyDescent="0.4">
      <c r="B9872" s="17"/>
      <c r="C9872" s="15"/>
      <c r="D9872" s="15"/>
      <c r="E9872" s="18"/>
    </row>
    <row r="9873" spans="2:5" x14ac:dyDescent="0.4">
      <c r="B9873" s="17"/>
      <c r="C9873" s="15"/>
      <c r="D9873" s="15"/>
      <c r="E9873" s="18"/>
    </row>
    <row r="9874" spans="2:5" x14ac:dyDescent="0.4">
      <c r="B9874" s="17"/>
      <c r="C9874" s="15"/>
      <c r="D9874" s="15"/>
      <c r="E9874" s="18"/>
    </row>
    <row r="9875" spans="2:5" x14ac:dyDescent="0.4">
      <c r="B9875" s="17"/>
      <c r="C9875" s="15"/>
      <c r="D9875" s="15"/>
      <c r="E9875" s="18"/>
    </row>
    <row r="9876" spans="2:5" x14ac:dyDescent="0.4">
      <c r="B9876" s="17"/>
      <c r="C9876" s="15"/>
      <c r="D9876" s="15"/>
      <c r="E9876" s="18"/>
    </row>
    <row r="9877" spans="2:5" x14ac:dyDescent="0.4">
      <c r="B9877" s="17"/>
      <c r="C9877" s="15"/>
      <c r="D9877" s="15"/>
      <c r="E9877" s="18"/>
    </row>
    <row r="9878" spans="2:5" x14ac:dyDescent="0.4">
      <c r="B9878" s="17"/>
      <c r="C9878" s="15"/>
      <c r="D9878" s="15"/>
      <c r="E9878" s="18"/>
    </row>
    <row r="9879" spans="2:5" x14ac:dyDescent="0.4">
      <c r="B9879" s="17"/>
      <c r="C9879" s="15"/>
      <c r="D9879" s="15"/>
      <c r="E9879" s="18"/>
    </row>
    <row r="9880" spans="2:5" x14ac:dyDescent="0.4">
      <c r="B9880" s="17"/>
      <c r="C9880" s="15"/>
      <c r="D9880" s="15"/>
      <c r="E9880" s="18"/>
    </row>
    <row r="9881" spans="2:5" x14ac:dyDescent="0.4">
      <c r="B9881" s="17"/>
      <c r="C9881" s="15"/>
      <c r="D9881" s="15"/>
      <c r="E9881" s="18"/>
    </row>
    <row r="9882" spans="2:5" x14ac:dyDescent="0.4">
      <c r="B9882" s="17"/>
      <c r="C9882" s="15"/>
      <c r="D9882" s="15"/>
      <c r="E9882" s="18"/>
    </row>
    <row r="9883" spans="2:5" x14ac:dyDescent="0.4">
      <c r="B9883" s="17"/>
      <c r="C9883" s="15"/>
      <c r="D9883" s="15"/>
      <c r="E9883" s="18"/>
    </row>
    <row r="9884" spans="2:5" x14ac:dyDescent="0.4">
      <c r="B9884" s="17"/>
      <c r="C9884" s="15"/>
      <c r="D9884" s="15"/>
      <c r="E9884" s="18"/>
    </row>
    <row r="9885" spans="2:5" x14ac:dyDescent="0.4">
      <c r="B9885" s="17"/>
      <c r="C9885" s="15"/>
      <c r="D9885" s="15"/>
      <c r="E9885" s="18"/>
    </row>
    <row r="9886" spans="2:5" x14ac:dyDescent="0.4">
      <c r="B9886" s="17"/>
      <c r="C9886" s="15"/>
      <c r="D9886" s="15"/>
      <c r="E9886" s="18"/>
    </row>
    <row r="9887" spans="2:5" x14ac:dyDescent="0.4">
      <c r="B9887" s="17"/>
      <c r="C9887" s="15"/>
      <c r="D9887" s="15"/>
      <c r="E9887" s="18"/>
    </row>
    <row r="9888" spans="2:5" x14ac:dyDescent="0.4">
      <c r="B9888" s="17"/>
      <c r="C9888" s="15"/>
      <c r="D9888" s="15"/>
      <c r="E9888" s="18"/>
    </row>
    <row r="9889" spans="2:5" x14ac:dyDescent="0.4">
      <c r="B9889" s="17"/>
      <c r="C9889" s="15"/>
      <c r="D9889" s="15"/>
      <c r="E9889" s="18"/>
    </row>
    <row r="9890" spans="2:5" x14ac:dyDescent="0.4">
      <c r="B9890" s="17"/>
      <c r="C9890" s="15"/>
      <c r="D9890" s="15"/>
      <c r="E9890" s="18"/>
    </row>
    <row r="9891" spans="2:5" x14ac:dyDescent="0.4">
      <c r="B9891" s="17"/>
      <c r="C9891" s="15"/>
      <c r="D9891" s="15"/>
      <c r="E9891" s="18"/>
    </row>
    <row r="9892" spans="2:5" x14ac:dyDescent="0.4">
      <c r="B9892" s="17"/>
      <c r="C9892" s="15"/>
      <c r="D9892" s="15"/>
      <c r="E9892" s="18"/>
    </row>
    <row r="9893" spans="2:5" x14ac:dyDescent="0.4">
      <c r="B9893" s="17"/>
      <c r="C9893" s="15"/>
      <c r="D9893" s="15"/>
      <c r="E9893" s="18"/>
    </row>
    <row r="9894" spans="2:5" x14ac:dyDescent="0.4">
      <c r="B9894" s="17"/>
      <c r="C9894" s="15"/>
      <c r="D9894" s="15"/>
      <c r="E9894" s="18"/>
    </row>
    <row r="9895" spans="2:5" x14ac:dyDescent="0.4">
      <c r="B9895" s="17"/>
      <c r="C9895" s="15"/>
      <c r="D9895" s="15"/>
      <c r="E9895" s="18"/>
    </row>
    <row r="9896" spans="2:5" x14ac:dyDescent="0.4">
      <c r="B9896" s="17"/>
      <c r="C9896" s="15"/>
      <c r="D9896" s="15"/>
      <c r="E9896" s="18"/>
    </row>
    <row r="9897" spans="2:5" x14ac:dyDescent="0.4">
      <c r="B9897" s="17"/>
      <c r="C9897" s="15"/>
      <c r="D9897" s="15"/>
      <c r="E9897" s="18"/>
    </row>
    <row r="9898" spans="2:5" x14ac:dyDescent="0.4">
      <c r="B9898" s="17"/>
      <c r="C9898" s="15"/>
      <c r="D9898" s="15"/>
      <c r="E9898" s="18"/>
    </row>
    <row r="9899" spans="2:5" x14ac:dyDescent="0.4">
      <c r="B9899" s="17"/>
      <c r="C9899" s="15"/>
      <c r="D9899" s="15"/>
      <c r="E9899" s="18"/>
    </row>
    <row r="9900" spans="2:5" x14ac:dyDescent="0.4">
      <c r="B9900" s="17"/>
      <c r="C9900" s="15"/>
      <c r="D9900" s="15"/>
      <c r="E9900" s="18"/>
    </row>
    <row r="9901" spans="2:5" x14ac:dyDescent="0.4">
      <c r="B9901" s="17"/>
      <c r="C9901" s="15"/>
      <c r="D9901" s="15"/>
      <c r="E9901" s="18"/>
    </row>
    <row r="9902" spans="2:5" x14ac:dyDescent="0.4">
      <c r="B9902" s="17"/>
      <c r="C9902" s="15"/>
      <c r="D9902" s="15"/>
      <c r="E9902" s="18"/>
    </row>
    <row r="9903" spans="2:5" x14ac:dyDescent="0.4">
      <c r="B9903" s="17"/>
      <c r="C9903" s="15"/>
      <c r="D9903" s="15"/>
      <c r="E9903" s="18"/>
    </row>
    <row r="9904" spans="2:5" x14ac:dyDescent="0.4">
      <c r="B9904" s="17"/>
      <c r="C9904" s="15"/>
      <c r="D9904" s="15"/>
      <c r="E9904" s="18"/>
    </row>
    <row r="9905" spans="2:5" x14ac:dyDescent="0.4">
      <c r="B9905" s="17"/>
      <c r="C9905" s="15"/>
      <c r="D9905" s="15"/>
      <c r="E9905" s="18"/>
    </row>
    <row r="9906" spans="2:5" x14ac:dyDescent="0.4">
      <c r="B9906" s="17"/>
      <c r="C9906" s="15"/>
      <c r="D9906" s="15"/>
      <c r="E9906" s="18"/>
    </row>
    <row r="9907" spans="2:5" x14ac:dyDescent="0.4">
      <c r="B9907" s="17"/>
      <c r="C9907" s="15"/>
      <c r="D9907" s="15"/>
      <c r="E9907" s="18"/>
    </row>
    <row r="9908" spans="2:5" x14ac:dyDescent="0.4">
      <c r="B9908" s="17"/>
      <c r="C9908" s="15"/>
      <c r="D9908" s="15"/>
      <c r="E9908" s="18"/>
    </row>
    <row r="9909" spans="2:5" x14ac:dyDescent="0.4">
      <c r="B9909" s="17"/>
      <c r="C9909" s="15"/>
      <c r="D9909" s="15"/>
      <c r="E9909" s="18"/>
    </row>
    <row r="9910" spans="2:5" x14ac:dyDescent="0.4">
      <c r="B9910" s="17"/>
      <c r="C9910" s="15"/>
      <c r="D9910" s="15"/>
      <c r="E9910" s="18"/>
    </row>
    <row r="9911" spans="2:5" x14ac:dyDescent="0.4">
      <c r="B9911" s="17"/>
      <c r="C9911" s="15"/>
      <c r="D9911" s="15"/>
      <c r="E9911" s="18"/>
    </row>
    <row r="9912" spans="2:5" x14ac:dyDescent="0.4">
      <c r="B9912" s="17"/>
      <c r="C9912" s="15"/>
      <c r="D9912" s="15"/>
      <c r="E9912" s="18"/>
    </row>
    <row r="9913" spans="2:5" x14ac:dyDescent="0.4">
      <c r="B9913" s="17"/>
      <c r="C9913" s="15"/>
      <c r="D9913" s="15"/>
      <c r="E9913" s="18"/>
    </row>
    <row r="9914" spans="2:5" x14ac:dyDescent="0.4">
      <c r="B9914" s="17"/>
      <c r="C9914" s="15"/>
      <c r="D9914" s="15"/>
      <c r="E9914" s="18"/>
    </row>
    <row r="9915" spans="2:5" x14ac:dyDescent="0.4">
      <c r="B9915" s="17"/>
      <c r="C9915" s="15"/>
      <c r="D9915" s="15"/>
      <c r="E9915" s="18"/>
    </row>
    <row r="9916" spans="2:5" x14ac:dyDescent="0.4">
      <c r="B9916" s="17"/>
      <c r="C9916" s="15"/>
      <c r="D9916" s="15"/>
      <c r="E9916" s="18"/>
    </row>
    <row r="9917" spans="2:5" x14ac:dyDescent="0.4">
      <c r="B9917" s="17"/>
      <c r="C9917" s="15"/>
      <c r="D9917" s="15"/>
      <c r="E9917" s="18"/>
    </row>
    <row r="9918" spans="2:5" x14ac:dyDescent="0.4">
      <c r="B9918" s="17"/>
      <c r="C9918" s="15"/>
      <c r="D9918" s="15"/>
      <c r="E9918" s="18"/>
    </row>
    <row r="9919" spans="2:5" x14ac:dyDescent="0.4">
      <c r="B9919" s="17"/>
      <c r="C9919" s="15"/>
      <c r="D9919" s="15"/>
      <c r="E9919" s="18"/>
    </row>
    <row r="9920" spans="2:5" x14ac:dyDescent="0.4">
      <c r="B9920" s="17"/>
      <c r="C9920" s="15"/>
      <c r="D9920" s="15"/>
      <c r="E9920" s="18"/>
    </row>
    <row r="9921" spans="2:5" x14ac:dyDescent="0.4">
      <c r="B9921" s="17"/>
      <c r="C9921" s="15"/>
      <c r="D9921" s="15"/>
      <c r="E9921" s="18"/>
    </row>
    <row r="9922" spans="2:5" x14ac:dyDescent="0.4">
      <c r="B9922" s="17"/>
      <c r="C9922" s="15"/>
      <c r="D9922" s="15"/>
      <c r="E9922" s="18"/>
    </row>
    <row r="9923" spans="2:5" x14ac:dyDescent="0.4">
      <c r="B9923" s="17"/>
      <c r="C9923" s="15"/>
      <c r="D9923" s="15"/>
      <c r="E9923" s="18"/>
    </row>
    <row r="9924" spans="2:5" x14ac:dyDescent="0.4">
      <c r="B9924" s="17"/>
      <c r="C9924" s="15"/>
      <c r="D9924" s="15"/>
      <c r="E9924" s="18"/>
    </row>
    <row r="9925" spans="2:5" x14ac:dyDescent="0.4">
      <c r="B9925" s="17"/>
      <c r="C9925" s="15"/>
      <c r="D9925" s="15"/>
      <c r="E9925" s="18"/>
    </row>
    <row r="9926" spans="2:5" x14ac:dyDescent="0.4">
      <c r="B9926" s="17"/>
      <c r="C9926" s="15"/>
      <c r="D9926" s="15"/>
      <c r="E9926" s="18"/>
    </row>
    <row r="9927" spans="2:5" x14ac:dyDescent="0.4">
      <c r="B9927" s="17"/>
      <c r="C9927" s="15"/>
      <c r="D9927" s="15"/>
      <c r="E9927" s="18"/>
    </row>
    <row r="9928" spans="2:5" x14ac:dyDescent="0.4">
      <c r="B9928" s="17"/>
      <c r="C9928" s="15"/>
      <c r="D9928" s="15"/>
      <c r="E9928" s="18"/>
    </row>
    <row r="9929" spans="2:5" x14ac:dyDescent="0.4">
      <c r="B9929" s="17"/>
      <c r="C9929" s="15"/>
      <c r="D9929" s="15"/>
      <c r="E9929" s="18"/>
    </row>
    <row r="9930" spans="2:5" x14ac:dyDescent="0.4">
      <c r="B9930" s="17"/>
      <c r="C9930" s="15"/>
      <c r="D9930" s="15"/>
      <c r="E9930" s="18"/>
    </row>
    <row r="9931" spans="2:5" x14ac:dyDescent="0.4">
      <c r="B9931" s="17"/>
      <c r="C9931" s="15"/>
      <c r="D9931" s="15"/>
      <c r="E9931" s="18"/>
    </row>
    <row r="9932" spans="2:5" x14ac:dyDescent="0.4">
      <c r="B9932" s="17"/>
      <c r="C9932" s="15"/>
      <c r="D9932" s="15"/>
      <c r="E9932" s="18"/>
    </row>
    <row r="9933" spans="2:5" x14ac:dyDescent="0.4">
      <c r="B9933" s="17"/>
      <c r="C9933" s="15"/>
      <c r="D9933" s="15"/>
      <c r="E9933" s="18"/>
    </row>
    <row r="9934" spans="2:5" x14ac:dyDescent="0.4">
      <c r="B9934" s="17"/>
      <c r="C9934" s="15"/>
      <c r="D9934" s="15"/>
      <c r="E9934" s="18"/>
    </row>
    <row r="9935" spans="2:5" x14ac:dyDescent="0.4">
      <c r="B9935" s="17"/>
      <c r="C9935" s="15"/>
      <c r="D9935" s="15"/>
      <c r="E9935" s="18"/>
    </row>
    <row r="9936" spans="2:5" x14ac:dyDescent="0.4">
      <c r="B9936" s="17"/>
      <c r="C9936" s="15"/>
      <c r="D9936" s="15"/>
      <c r="E9936" s="18"/>
    </row>
    <row r="9937" spans="2:5" x14ac:dyDescent="0.4">
      <c r="B9937" s="17"/>
      <c r="C9937" s="15"/>
      <c r="D9937" s="15"/>
      <c r="E9937" s="18"/>
    </row>
    <row r="9938" spans="2:5" x14ac:dyDescent="0.4">
      <c r="B9938" s="17"/>
      <c r="C9938" s="15"/>
      <c r="D9938" s="15"/>
      <c r="E9938" s="18"/>
    </row>
    <row r="9939" spans="2:5" x14ac:dyDescent="0.4">
      <c r="B9939" s="17"/>
      <c r="C9939" s="15"/>
      <c r="D9939" s="15"/>
      <c r="E9939" s="18"/>
    </row>
    <row r="9940" spans="2:5" x14ac:dyDescent="0.4">
      <c r="B9940" s="17"/>
      <c r="C9940" s="15"/>
      <c r="D9940" s="15"/>
      <c r="E9940" s="18"/>
    </row>
    <row r="9941" spans="2:5" x14ac:dyDescent="0.4">
      <c r="B9941" s="17"/>
      <c r="C9941" s="15"/>
      <c r="D9941" s="15"/>
      <c r="E9941" s="18"/>
    </row>
    <row r="9942" spans="2:5" x14ac:dyDescent="0.4">
      <c r="B9942" s="17"/>
      <c r="C9942" s="15"/>
      <c r="D9942" s="15"/>
      <c r="E9942" s="18"/>
    </row>
    <row r="9943" spans="2:5" x14ac:dyDescent="0.4">
      <c r="B9943" s="17"/>
      <c r="C9943" s="15"/>
      <c r="D9943" s="15"/>
      <c r="E9943" s="18"/>
    </row>
    <row r="9944" spans="2:5" x14ac:dyDescent="0.4">
      <c r="B9944" s="17"/>
      <c r="C9944" s="15"/>
      <c r="D9944" s="15"/>
      <c r="E9944" s="18"/>
    </row>
    <row r="9945" spans="2:5" x14ac:dyDescent="0.4">
      <c r="B9945" s="17"/>
      <c r="C9945" s="15"/>
      <c r="D9945" s="15"/>
      <c r="E9945" s="18"/>
    </row>
    <row r="9946" spans="2:5" x14ac:dyDescent="0.4">
      <c r="B9946" s="17"/>
      <c r="C9946" s="15"/>
      <c r="D9946" s="15"/>
      <c r="E9946" s="18"/>
    </row>
    <row r="9947" spans="2:5" x14ac:dyDescent="0.4">
      <c r="B9947" s="17"/>
      <c r="C9947" s="15"/>
      <c r="D9947" s="15"/>
      <c r="E9947" s="18"/>
    </row>
    <row r="9948" spans="2:5" x14ac:dyDescent="0.4">
      <c r="B9948" s="17"/>
      <c r="C9948" s="15"/>
      <c r="D9948" s="15"/>
      <c r="E9948" s="18"/>
    </row>
    <row r="9949" spans="2:5" x14ac:dyDescent="0.4">
      <c r="B9949" s="17"/>
      <c r="C9949" s="15"/>
      <c r="D9949" s="15"/>
      <c r="E9949" s="18"/>
    </row>
    <row r="9950" spans="2:5" x14ac:dyDescent="0.4">
      <c r="B9950" s="17"/>
      <c r="C9950" s="15"/>
      <c r="D9950" s="15"/>
      <c r="E9950" s="18"/>
    </row>
    <row r="9951" spans="2:5" x14ac:dyDescent="0.4">
      <c r="B9951" s="17"/>
      <c r="C9951" s="15"/>
      <c r="D9951" s="15"/>
      <c r="E9951" s="18"/>
    </row>
    <row r="9952" spans="2:5" x14ac:dyDescent="0.4">
      <c r="B9952" s="17"/>
      <c r="C9952" s="15"/>
      <c r="D9952" s="15"/>
      <c r="E9952" s="18"/>
    </row>
    <row r="9953" spans="2:5" x14ac:dyDescent="0.4">
      <c r="B9953" s="17"/>
      <c r="C9953" s="15"/>
      <c r="D9953" s="15"/>
      <c r="E9953" s="18"/>
    </row>
    <row r="9954" spans="2:5" x14ac:dyDescent="0.4">
      <c r="B9954" s="17"/>
      <c r="C9954" s="15"/>
      <c r="D9954" s="15"/>
      <c r="E9954" s="18"/>
    </row>
    <row r="9955" spans="2:5" x14ac:dyDescent="0.4">
      <c r="B9955" s="17"/>
      <c r="C9955" s="15"/>
      <c r="D9955" s="15"/>
      <c r="E9955" s="18"/>
    </row>
    <row r="9956" spans="2:5" x14ac:dyDescent="0.4">
      <c r="B9956" s="17"/>
      <c r="C9956" s="15"/>
      <c r="D9956" s="15"/>
      <c r="E9956" s="18"/>
    </row>
    <row r="9957" spans="2:5" x14ac:dyDescent="0.4">
      <c r="B9957" s="17"/>
      <c r="C9957" s="15"/>
      <c r="D9957" s="15"/>
      <c r="E9957" s="18"/>
    </row>
    <row r="9958" spans="2:5" x14ac:dyDescent="0.4">
      <c r="B9958" s="17"/>
      <c r="C9958" s="15"/>
      <c r="D9958" s="15"/>
      <c r="E9958" s="18"/>
    </row>
    <row r="9959" spans="2:5" x14ac:dyDescent="0.4">
      <c r="B9959" s="17"/>
      <c r="C9959" s="15"/>
      <c r="D9959" s="15"/>
      <c r="E9959" s="18"/>
    </row>
    <row r="9960" spans="2:5" x14ac:dyDescent="0.4">
      <c r="B9960" s="17"/>
      <c r="C9960" s="15"/>
      <c r="D9960" s="15"/>
      <c r="E9960" s="18"/>
    </row>
    <row r="9961" spans="2:5" x14ac:dyDescent="0.4">
      <c r="B9961" s="17"/>
      <c r="C9961" s="15"/>
      <c r="D9961" s="15"/>
      <c r="E9961" s="18"/>
    </row>
    <row r="9962" spans="2:5" x14ac:dyDescent="0.4">
      <c r="B9962" s="17"/>
      <c r="C9962" s="15"/>
      <c r="D9962" s="15"/>
      <c r="E9962" s="18"/>
    </row>
    <row r="9963" spans="2:5" x14ac:dyDescent="0.4">
      <c r="B9963" s="17"/>
      <c r="C9963" s="15"/>
      <c r="D9963" s="15"/>
      <c r="E9963" s="18"/>
    </row>
    <row r="9964" spans="2:5" x14ac:dyDescent="0.4">
      <c r="B9964" s="17"/>
      <c r="C9964" s="15"/>
      <c r="D9964" s="15"/>
      <c r="E9964" s="18"/>
    </row>
    <row r="9965" spans="2:5" x14ac:dyDescent="0.4">
      <c r="B9965" s="17"/>
      <c r="C9965" s="15"/>
      <c r="D9965" s="15"/>
      <c r="E9965" s="18"/>
    </row>
    <row r="9966" spans="2:5" x14ac:dyDescent="0.4">
      <c r="B9966" s="17"/>
      <c r="C9966" s="15"/>
      <c r="D9966" s="15"/>
      <c r="E9966" s="18"/>
    </row>
    <row r="9967" spans="2:5" x14ac:dyDescent="0.4">
      <c r="B9967" s="17"/>
      <c r="C9967" s="15"/>
      <c r="D9967" s="15"/>
      <c r="E9967" s="18"/>
    </row>
    <row r="9968" spans="2:5" x14ac:dyDescent="0.4">
      <c r="B9968" s="17"/>
      <c r="C9968" s="15"/>
      <c r="D9968" s="15"/>
      <c r="E9968" s="18"/>
    </row>
    <row r="9969" spans="2:5" x14ac:dyDescent="0.4">
      <c r="B9969" s="17"/>
      <c r="C9969" s="15"/>
      <c r="D9969" s="15"/>
      <c r="E9969" s="18"/>
    </row>
    <row r="9970" spans="2:5" x14ac:dyDescent="0.4">
      <c r="B9970" s="17"/>
      <c r="C9970" s="15"/>
      <c r="D9970" s="15"/>
      <c r="E9970" s="18"/>
    </row>
    <row r="9971" spans="2:5" x14ac:dyDescent="0.4">
      <c r="B9971" s="17"/>
      <c r="C9971" s="15"/>
      <c r="D9971" s="15"/>
      <c r="E9971" s="18"/>
    </row>
    <row r="9972" spans="2:5" x14ac:dyDescent="0.4">
      <c r="B9972" s="17"/>
      <c r="C9972" s="15"/>
      <c r="D9972" s="15"/>
      <c r="E9972" s="18"/>
    </row>
    <row r="9973" spans="2:5" x14ac:dyDescent="0.4">
      <c r="B9973" s="17"/>
      <c r="C9973" s="15"/>
      <c r="D9973" s="15"/>
      <c r="E9973" s="18"/>
    </row>
    <row r="9974" spans="2:5" x14ac:dyDescent="0.4">
      <c r="B9974" s="17"/>
      <c r="C9974" s="15"/>
      <c r="D9974" s="15"/>
      <c r="E9974" s="18"/>
    </row>
    <row r="9975" spans="2:5" x14ac:dyDescent="0.4">
      <c r="B9975" s="17"/>
      <c r="C9975" s="15"/>
      <c r="D9975" s="15"/>
      <c r="E9975" s="18"/>
    </row>
    <row r="9976" spans="2:5" x14ac:dyDescent="0.4">
      <c r="B9976" s="17"/>
      <c r="C9976" s="15"/>
      <c r="D9976" s="15"/>
      <c r="E9976" s="18"/>
    </row>
    <row r="9977" spans="2:5" x14ac:dyDescent="0.4">
      <c r="B9977" s="17"/>
      <c r="C9977" s="15"/>
      <c r="D9977" s="15"/>
      <c r="E9977" s="18"/>
    </row>
    <row r="9978" spans="2:5" x14ac:dyDescent="0.4">
      <c r="B9978" s="17"/>
      <c r="C9978" s="15"/>
      <c r="D9978" s="15"/>
      <c r="E9978" s="18"/>
    </row>
    <row r="9979" spans="2:5" x14ac:dyDescent="0.4">
      <c r="B9979" s="17"/>
      <c r="C9979" s="15"/>
      <c r="D9979" s="15"/>
      <c r="E9979" s="18"/>
    </row>
    <row r="9980" spans="2:5" x14ac:dyDescent="0.4">
      <c r="B9980" s="17"/>
      <c r="C9980" s="15"/>
      <c r="D9980" s="15"/>
      <c r="E9980" s="18"/>
    </row>
    <row r="9981" spans="2:5" x14ac:dyDescent="0.4">
      <c r="B9981" s="17"/>
      <c r="C9981" s="15"/>
      <c r="D9981" s="15"/>
      <c r="E9981" s="18"/>
    </row>
    <row r="9982" spans="2:5" x14ac:dyDescent="0.4">
      <c r="B9982" s="17"/>
      <c r="C9982" s="15"/>
      <c r="D9982" s="15"/>
      <c r="E9982" s="18"/>
    </row>
    <row r="9983" spans="2:5" x14ac:dyDescent="0.4">
      <c r="B9983" s="17"/>
      <c r="C9983" s="15"/>
      <c r="D9983" s="15"/>
      <c r="E9983" s="18"/>
    </row>
    <row r="9984" spans="2:5" x14ac:dyDescent="0.4">
      <c r="B9984" s="17"/>
      <c r="C9984" s="15"/>
      <c r="D9984" s="15"/>
      <c r="E9984" s="18"/>
    </row>
    <row r="9985" spans="2:5" x14ac:dyDescent="0.4">
      <c r="B9985" s="17"/>
      <c r="C9985" s="15"/>
      <c r="D9985" s="15"/>
      <c r="E9985" s="18"/>
    </row>
    <row r="9986" spans="2:5" x14ac:dyDescent="0.4">
      <c r="B9986" s="17"/>
      <c r="C9986" s="15"/>
      <c r="D9986" s="15"/>
      <c r="E9986" s="18"/>
    </row>
    <row r="9987" spans="2:5" x14ac:dyDescent="0.4">
      <c r="B9987" s="17"/>
      <c r="C9987" s="15"/>
      <c r="D9987" s="15"/>
      <c r="E9987" s="18"/>
    </row>
    <row r="9988" spans="2:5" x14ac:dyDescent="0.4">
      <c r="B9988" s="17"/>
      <c r="C9988" s="15"/>
      <c r="D9988" s="15"/>
      <c r="E9988" s="18"/>
    </row>
    <row r="9989" spans="2:5" x14ac:dyDescent="0.4">
      <c r="B9989" s="17"/>
      <c r="C9989" s="15"/>
      <c r="D9989" s="15"/>
      <c r="E9989" s="18"/>
    </row>
    <row r="9990" spans="2:5" x14ac:dyDescent="0.4">
      <c r="B9990" s="17"/>
      <c r="C9990" s="15"/>
      <c r="D9990" s="15"/>
      <c r="E9990" s="18"/>
    </row>
    <row r="9991" spans="2:5" x14ac:dyDescent="0.4">
      <c r="B9991" s="17"/>
      <c r="C9991" s="15"/>
      <c r="D9991" s="15"/>
      <c r="E9991" s="18"/>
    </row>
    <row r="9992" spans="2:5" x14ac:dyDescent="0.4">
      <c r="B9992" s="17"/>
      <c r="C9992" s="15"/>
      <c r="D9992" s="15"/>
      <c r="E9992" s="18"/>
    </row>
    <row r="9993" spans="2:5" x14ac:dyDescent="0.4">
      <c r="B9993" s="17"/>
      <c r="C9993" s="15"/>
      <c r="D9993" s="15"/>
      <c r="E9993" s="18"/>
    </row>
    <row r="9994" spans="2:5" x14ac:dyDescent="0.4">
      <c r="B9994" s="17"/>
      <c r="C9994" s="15"/>
      <c r="D9994" s="15"/>
      <c r="E9994" s="18"/>
    </row>
    <row r="9995" spans="2:5" x14ac:dyDescent="0.4">
      <c r="B9995" s="17"/>
      <c r="C9995" s="15"/>
      <c r="D9995" s="15"/>
      <c r="E9995" s="18"/>
    </row>
    <row r="9996" spans="2:5" x14ac:dyDescent="0.4">
      <c r="B9996" s="17"/>
      <c r="C9996" s="15"/>
      <c r="D9996" s="15"/>
      <c r="E9996" s="18"/>
    </row>
    <row r="9997" spans="2:5" x14ac:dyDescent="0.4">
      <c r="B9997" s="17"/>
      <c r="C9997" s="15"/>
      <c r="D9997" s="15"/>
      <c r="E9997" s="18"/>
    </row>
    <row r="9998" spans="2:5" x14ac:dyDescent="0.4">
      <c r="B9998" s="17"/>
      <c r="C9998" s="15"/>
      <c r="D9998" s="15"/>
      <c r="E9998" s="18"/>
    </row>
    <row r="9999" spans="2:5" x14ac:dyDescent="0.4">
      <c r="B9999" s="17"/>
      <c r="C9999" s="15"/>
      <c r="D9999" s="15"/>
      <c r="E9999" s="18"/>
    </row>
    <row r="10000" spans="2:5" x14ac:dyDescent="0.4">
      <c r="B10000" s="17"/>
      <c r="C10000" s="15"/>
      <c r="D10000" s="15"/>
      <c r="E10000" s="18"/>
    </row>
  </sheetData>
  <sheetProtection algorithmName="SHA-512" hashValue="DI3znQ0b8i27OiqJGyV5CamagBcdKOrNl7ljT1HqGrc80p+v+y19rJEjsMckod5vZHGv1iwEzKgDcB9l8X21Iw==" saltValue="Bmpc4Q2R5wQoC9u7Ddek9A==" spinCount="100000" sheet="1" objects="1" scenarios="1"/>
  <phoneticPr fontId="10"/>
  <conditionalFormatting sqref="E15">
    <cfRule type="cellIs" dxfId="2" priority="5" operator="equal">
      <formula>0</formula>
    </cfRule>
  </conditionalFormatting>
  <conditionalFormatting sqref="D9:D1048576">
    <cfRule type="containsText" dxfId="1" priority="3" operator="containsText" text="AM">
      <formula>NOT(ISERROR(SEARCH("AM",D9)))</formula>
    </cfRule>
  </conditionalFormatting>
  <conditionalFormatting sqref="F9:F1110">
    <cfRule type="containsText" dxfId="0" priority="1" operator="containsText" text="Done">
      <formula>NOT(ISERROR(SEARCH("Done",F9)))</formula>
    </cfRule>
  </conditionalFormatting>
  <dataValidations count="1">
    <dataValidation type="list" allowBlank="1" showInputMessage="1" showErrorMessage="1" sqref="B5" xr:uid="{7741D043-6697-4313-A61A-01931FE6BCD3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D98DA-AACA-4E80-8C1E-954484E9B33D}">
  <sheetPr codeName="Sheet5"/>
  <dimension ref="A1:A1102"/>
  <sheetViews>
    <sheetView workbookViewId="0">
      <selection activeCell="A6" sqref="A6:A1119"/>
    </sheetView>
  </sheetViews>
  <sheetFormatPr defaultRowHeight="18.75" x14ac:dyDescent="0.4"/>
  <cols>
    <col min="1" max="1" width="14" style="55" bestFit="1" customWidth="1"/>
  </cols>
  <sheetData>
    <row r="1" spans="1:1" x14ac:dyDescent="0.4">
      <c r="A1" s="1" t="s">
        <v>7</v>
      </c>
    </row>
    <row r="2" spans="1:1" x14ac:dyDescent="0.4">
      <c r="A2" s="63"/>
    </row>
    <row r="3" spans="1:1" x14ac:dyDescent="0.4">
      <c r="A3" s="63"/>
    </row>
    <row r="4" spans="1:1" x14ac:dyDescent="0.4">
      <c r="A4" s="63"/>
    </row>
    <row r="5" spans="1:1" x14ac:dyDescent="0.4">
      <c r="A5" s="63"/>
    </row>
    <row r="6" spans="1:1" x14ac:dyDescent="0.4">
      <c r="A6" s="63"/>
    </row>
    <row r="7" spans="1:1" x14ac:dyDescent="0.4">
      <c r="A7" s="63"/>
    </row>
    <row r="8" spans="1:1" x14ac:dyDescent="0.4">
      <c r="A8" s="63"/>
    </row>
    <row r="9" spans="1:1" x14ac:dyDescent="0.4">
      <c r="A9" s="63"/>
    </row>
    <row r="10" spans="1:1" x14ac:dyDescent="0.4">
      <c r="A10" s="63"/>
    </row>
    <row r="11" spans="1:1" x14ac:dyDescent="0.4">
      <c r="A11" s="63"/>
    </row>
    <row r="12" spans="1:1" x14ac:dyDescent="0.4">
      <c r="A12" s="63"/>
    </row>
    <row r="13" spans="1:1" x14ac:dyDescent="0.4">
      <c r="A13" s="63"/>
    </row>
    <row r="14" spans="1:1" x14ac:dyDescent="0.4">
      <c r="A14" s="63"/>
    </row>
    <row r="15" spans="1:1" x14ac:dyDescent="0.4">
      <c r="A15" s="63"/>
    </row>
    <row r="16" spans="1:1" x14ac:dyDescent="0.4">
      <c r="A16" s="63"/>
    </row>
    <row r="17" spans="1:1" x14ac:dyDescent="0.4">
      <c r="A17" s="63"/>
    </row>
    <row r="18" spans="1:1" x14ac:dyDescent="0.4">
      <c r="A18" s="63"/>
    </row>
    <row r="19" spans="1:1" x14ac:dyDescent="0.4">
      <c r="A19" s="63"/>
    </row>
    <row r="20" spans="1:1" x14ac:dyDescent="0.4">
      <c r="A20" s="63"/>
    </row>
    <row r="21" spans="1:1" x14ac:dyDescent="0.4">
      <c r="A21" s="63"/>
    </row>
    <row r="22" spans="1:1" x14ac:dyDescent="0.4">
      <c r="A22" s="63"/>
    </row>
    <row r="23" spans="1:1" x14ac:dyDescent="0.4">
      <c r="A23" s="63"/>
    </row>
    <row r="24" spans="1:1" x14ac:dyDescent="0.4">
      <c r="A24" s="63"/>
    </row>
    <row r="25" spans="1:1" x14ac:dyDescent="0.4">
      <c r="A25" s="63"/>
    </row>
    <row r="26" spans="1:1" x14ac:dyDescent="0.4">
      <c r="A26" s="63"/>
    </row>
    <row r="27" spans="1:1" x14ac:dyDescent="0.4">
      <c r="A27" s="63"/>
    </row>
    <row r="28" spans="1:1" x14ac:dyDescent="0.4">
      <c r="A28" s="63"/>
    </row>
    <row r="29" spans="1:1" x14ac:dyDescent="0.4">
      <c r="A29" s="63"/>
    </row>
    <row r="30" spans="1:1" x14ac:dyDescent="0.4">
      <c r="A30" s="63"/>
    </row>
    <row r="31" spans="1:1" x14ac:dyDescent="0.4">
      <c r="A31" s="63"/>
    </row>
    <row r="32" spans="1:1" x14ac:dyDescent="0.4">
      <c r="A32" s="63"/>
    </row>
    <row r="33" spans="1:1" x14ac:dyDescent="0.4">
      <c r="A33" s="63"/>
    </row>
    <row r="34" spans="1:1" x14ac:dyDescent="0.4">
      <c r="A34" s="63"/>
    </row>
    <row r="35" spans="1:1" x14ac:dyDescent="0.4">
      <c r="A35" s="63"/>
    </row>
    <row r="36" spans="1:1" x14ac:dyDescent="0.4">
      <c r="A36" s="63"/>
    </row>
    <row r="37" spans="1:1" x14ac:dyDescent="0.4">
      <c r="A37" s="63"/>
    </row>
    <row r="38" spans="1:1" x14ac:dyDescent="0.4">
      <c r="A38" s="63"/>
    </row>
    <row r="39" spans="1:1" x14ac:dyDescent="0.4">
      <c r="A39" s="63"/>
    </row>
    <row r="40" spans="1:1" x14ac:dyDescent="0.4">
      <c r="A40" s="63"/>
    </row>
    <row r="41" spans="1:1" x14ac:dyDescent="0.4">
      <c r="A41" s="63"/>
    </row>
    <row r="42" spans="1:1" x14ac:dyDescent="0.4">
      <c r="A42" s="63"/>
    </row>
    <row r="43" spans="1:1" x14ac:dyDescent="0.4">
      <c r="A43" s="63"/>
    </row>
    <row r="44" spans="1:1" x14ac:dyDescent="0.4">
      <c r="A44" s="63"/>
    </row>
    <row r="45" spans="1:1" x14ac:dyDescent="0.4">
      <c r="A45" s="63"/>
    </row>
    <row r="46" spans="1:1" x14ac:dyDescent="0.4">
      <c r="A46" s="63"/>
    </row>
    <row r="47" spans="1:1" x14ac:dyDescent="0.4">
      <c r="A47" s="63"/>
    </row>
    <row r="48" spans="1:1" x14ac:dyDescent="0.4">
      <c r="A48" s="63"/>
    </row>
    <row r="49" spans="1:1" x14ac:dyDescent="0.4">
      <c r="A49" s="63"/>
    </row>
    <row r="50" spans="1:1" x14ac:dyDescent="0.4">
      <c r="A50" s="63"/>
    </row>
    <row r="51" spans="1:1" x14ac:dyDescent="0.4">
      <c r="A51" s="63"/>
    </row>
    <row r="52" spans="1:1" x14ac:dyDescent="0.4">
      <c r="A52" s="63"/>
    </row>
    <row r="53" spans="1:1" x14ac:dyDescent="0.4">
      <c r="A53" s="63"/>
    </row>
    <row r="54" spans="1:1" x14ac:dyDescent="0.4">
      <c r="A54" s="63"/>
    </row>
    <row r="55" spans="1:1" x14ac:dyDescent="0.4">
      <c r="A55" s="63"/>
    </row>
    <row r="56" spans="1:1" x14ac:dyDescent="0.4">
      <c r="A56" s="63"/>
    </row>
    <row r="57" spans="1:1" x14ac:dyDescent="0.4">
      <c r="A57" s="63"/>
    </row>
    <row r="58" spans="1:1" x14ac:dyDescent="0.4">
      <c r="A58" s="63"/>
    </row>
    <row r="59" spans="1:1" x14ac:dyDescent="0.4">
      <c r="A59" s="63"/>
    </row>
    <row r="60" spans="1:1" x14ac:dyDescent="0.4">
      <c r="A60" s="63"/>
    </row>
    <row r="61" spans="1:1" x14ac:dyDescent="0.4">
      <c r="A61" s="63"/>
    </row>
    <row r="62" spans="1:1" x14ac:dyDescent="0.4">
      <c r="A62" s="63"/>
    </row>
    <row r="63" spans="1:1" x14ac:dyDescent="0.4">
      <c r="A63" s="63"/>
    </row>
    <row r="64" spans="1:1" x14ac:dyDescent="0.4">
      <c r="A64" s="63"/>
    </row>
    <row r="65" spans="1:1" x14ac:dyDescent="0.4">
      <c r="A65" s="63"/>
    </row>
    <row r="66" spans="1:1" x14ac:dyDescent="0.4">
      <c r="A66" s="63"/>
    </row>
    <row r="67" spans="1:1" x14ac:dyDescent="0.4">
      <c r="A67" s="63"/>
    </row>
    <row r="68" spans="1:1" x14ac:dyDescent="0.4">
      <c r="A68" s="63"/>
    </row>
    <row r="69" spans="1:1" x14ac:dyDescent="0.4">
      <c r="A69" s="63"/>
    </row>
    <row r="70" spans="1:1" x14ac:dyDescent="0.4">
      <c r="A70" s="63"/>
    </row>
    <row r="71" spans="1:1" x14ac:dyDescent="0.4">
      <c r="A71" s="63"/>
    </row>
    <row r="72" spans="1:1" x14ac:dyDescent="0.4">
      <c r="A72" s="63"/>
    </row>
    <row r="73" spans="1:1" x14ac:dyDescent="0.4">
      <c r="A73" s="63"/>
    </row>
    <row r="74" spans="1:1" x14ac:dyDescent="0.4">
      <c r="A74" s="63"/>
    </row>
    <row r="75" spans="1:1" x14ac:dyDescent="0.4">
      <c r="A75" s="63"/>
    </row>
    <row r="76" spans="1:1" x14ac:dyDescent="0.4">
      <c r="A76" s="63"/>
    </row>
    <row r="77" spans="1:1" x14ac:dyDescent="0.4">
      <c r="A77" s="63"/>
    </row>
    <row r="78" spans="1:1" x14ac:dyDescent="0.4">
      <c r="A78" s="63"/>
    </row>
    <row r="79" spans="1:1" x14ac:dyDescent="0.4">
      <c r="A79" s="63"/>
    </row>
    <row r="80" spans="1:1" x14ac:dyDescent="0.4">
      <c r="A80" s="63"/>
    </row>
    <row r="81" spans="1:1" x14ac:dyDescent="0.4">
      <c r="A81" s="63"/>
    </row>
    <row r="82" spans="1:1" x14ac:dyDescent="0.4">
      <c r="A82" s="63"/>
    </row>
    <row r="83" spans="1:1" x14ac:dyDescent="0.4">
      <c r="A83" s="63"/>
    </row>
    <row r="84" spans="1:1" x14ac:dyDescent="0.4">
      <c r="A84" s="63"/>
    </row>
    <row r="85" spans="1:1" x14ac:dyDescent="0.4">
      <c r="A85" s="63"/>
    </row>
    <row r="86" spans="1:1" x14ac:dyDescent="0.4">
      <c r="A86" s="63"/>
    </row>
    <row r="87" spans="1:1" x14ac:dyDescent="0.4">
      <c r="A87" s="63"/>
    </row>
    <row r="88" spans="1:1" x14ac:dyDescent="0.4">
      <c r="A88" s="63"/>
    </row>
    <row r="89" spans="1:1" x14ac:dyDescent="0.4">
      <c r="A89" s="63"/>
    </row>
    <row r="90" spans="1:1" x14ac:dyDescent="0.4">
      <c r="A90" s="63"/>
    </row>
    <row r="91" spans="1:1" x14ac:dyDescent="0.4">
      <c r="A91" s="63"/>
    </row>
    <row r="92" spans="1:1" x14ac:dyDescent="0.4">
      <c r="A92" s="63"/>
    </row>
    <row r="93" spans="1:1" x14ac:dyDescent="0.4">
      <c r="A93" s="63"/>
    </row>
    <row r="94" spans="1:1" x14ac:dyDescent="0.4">
      <c r="A94" s="63"/>
    </row>
    <row r="95" spans="1:1" x14ac:dyDescent="0.4">
      <c r="A95" s="63"/>
    </row>
    <row r="96" spans="1:1" x14ac:dyDescent="0.4">
      <c r="A96" s="63"/>
    </row>
    <row r="97" spans="1:1" x14ac:dyDescent="0.4">
      <c r="A97" s="63"/>
    </row>
    <row r="98" spans="1:1" x14ac:dyDescent="0.4">
      <c r="A98" s="63"/>
    </row>
    <row r="99" spans="1:1" x14ac:dyDescent="0.4">
      <c r="A99" s="63"/>
    </row>
    <row r="100" spans="1:1" x14ac:dyDescent="0.4">
      <c r="A100" s="63"/>
    </row>
    <row r="101" spans="1:1" x14ac:dyDescent="0.4">
      <c r="A101" s="63"/>
    </row>
    <row r="102" spans="1:1" x14ac:dyDescent="0.4">
      <c r="A102" s="63"/>
    </row>
    <row r="103" spans="1:1" x14ac:dyDescent="0.4">
      <c r="A103" s="63"/>
    </row>
    <row r="104" spans="1:1" x14ac:dyDescent="0.4">
      <c r="A104" s="63"/>
    </row>
    <row r="105" spans="1:1" x14ac:dyDescent="0.4">
      <c r="A105" s="63"/>
    </row>
    <row r="106" spans="1:1" x14ac:dyDescent="0.4">
      <c r="A106" s="63"/>
    </row>
    <row r="107" spans="1:1" x14ac:dyDescent="0.4">
      <c r="A107" s="63"/>
    </row>
    <row r="108" spans="1:1" x14ac:dyDescent="0.4">
      <c r="A108" s="63"/>
    </row>
    <row r="109" spans="1:1" x14ac:dyDescent="0.4">
      <c r="A109" s="63"/>
    </row>
    <row r="110" spans="1:1" x14ac:dyDescent="0.4">
      <c r="A110" s="63"/>
    </row>
    <row r="111" spans="1:1" x14ac:dyDescent="0.4">
      <c r="A111" s="63"/>
    </row>
    <row r="112" spans="1:1" x14ac:dyDescent="0.4">
      <c r="A112" s="63"/>
    </row>
    <row r="113" spans="1:1" x14ac:dyDescent="0.4">
      <c r="A113" s="63"/>
    </row>
    <row r="114" spans="1:1" x14ac:dyDescent="0.4">
      <c r="A114" s="63"/>
    </row>
    <row r="115" spans="1:1" x14ac:dyDescent="0.4">
      <c r="A115" s="63"/>
    </row>
    <row r="116" spans="1:1" x14ac:dyDescent="0.4">
      <c r="A116" s="63"/>
    </row>
    <row r="117" spans="1:1" x14ac:dyDescent="0.4">
      <c r="A117" s="63"/>
    </row>
    <row r="118" spans="1:1" x14ac:dyDescent="0.4">
      <c r="A118" s="63"/>
    </row>
    <row r="119" spans="1:1" x14ac:dyDescent="0.4">
      <c r="A119" s="63"/>
    </row>
    <row r="120" spans="1:1" x14ac:dyDescent="0.4">
      <c r="A120" s="63"/>
    </row>
    <row r="121" spans="1:1" x14ac:dyDescent="0.4">
      <c r="A121" s="63"/>
    </row>
    <row r="122" spans="1:1" x14ac:dyDescent="0.4">
      <c r="A122" s="63"/>
    </row>
    <row r="123" spans="1:1" x14ac:dyDescent="0.4">
      <c r="A123" s="63"/>
    </row>
    <row r="124" spans="1:1" x14ac:dyDescent="0.4">
      <c r="A124" s="63"/>
    </row>
    <row r="125" spans="1:1" x14ac:dyDescent="0.4">
      <c r="A125" s="63"/>
    </row>
    <row r="126" spans="1:1" x14ac:dyDescent="0.4">
      <c r="A126" s="63"/>
    </row>
    <row r="127" spans="1:1" x14ac:dyDescent="0.4">
      <c r="A127" s="63"/>
    </row>
    <row r="128" spans="1:1" x14ac:dyDescent="0.4">
      <c r="A128" s="63"/>
    </row>
    <row r="129" spans="1:1" x14ac:dyDescent="0.4">
      <c r="A129" s="63"/>
    </row>
    <row r="130" spans="1:1" x14ac:dyDescent="0.4">
      <c r="A130" s="63"/>
    </row>
    <row r="131" spans="1:1" x14ac:dyDescent="0.4">
      <c r="A131" s="63"/>
    </row>
    <row r="132" spans="1:1" x14ac:dyDescent="0.4">
      <c r="A132" s="63"/>
    </row>
    <row r="133" spans="1:1" x14ac:dyDescent="0.4">
      <c r="A133" s="63"/>
    </row>
    <row r="134" spans="1:1" x14ac:dyDescent="0.4">
      <c r="A134" s="63"/>
    </row>
    <row r="135" spans="1:1" x14ac:dyDescent="0.4">
      <c r="A135" s="63"/>
    </row>
    <row r="136" spans="1:1" x14ac:dyDescent="0.4">
      <c r="A136" s="63"/>
    </row>
    <row r="137" spans="1:1" x14ac:dyDescent="0.4">
      <c r="A137" s="63"/>
    </row>
    <row r="138" spans="1:1" x14ac:dyDescent="0.4">
      <c r="A138" s="63"/>
    </row>
    <row r="139" spans="1:1" x14ac:dyDescent="0.4">
      <c r="A139" s="63"/>
    </row>
    <row r="140" spans="1:1" x14ac:dyDescent="0.4">
      <c r="A140" s="63"/>
    </row>
    <row r="141" spans="1:1" x14ac:dyDescent="0.4">
      <c r="A141" s="63"/>
    </row>
    <row r="142" spans="1:1" x14ac:dyDescent="0.4">
      <c r="A142" s="63"/>
    </row>
    <row r="143" spans="1:1" x14ac:dyDescent="0.4">
      <c r="A143" s="63"/>
    </row>
    <row r="144" spans="1:1" x14ac:dyDescent="0.4">
      <c r="A144" s="63"/>
    </row>
    <row r="145" spans="1:1" x14ac:dyDescent="0.4">
      <c r="A145" s="63"/>
    </row>
    <row r="146" spans="1:1" x14ac:dyDescent="0.4">
      <c r="A146" s="63"/>
    </row>
    <row r="147" spans="1:1" x14ac:dyDescent="0.4">
      <c r="A147" s="63"/>
    </row>
    <row r="148" spans="1:1" x14ac:dyDescent="0.4">
      <c r="A148" s="63"/>
    </row>
    <row r="149" spans="1:1" x14ac:dyDescent="0.4">
      <c r="A149" s="63"/>
    </row>
    <row r="150" spans="1:1" x14ac:dyDescent="0.4">
      <c r="A150" s="63"/>
    </row>
    <row r="151" spans="1:1" x14ac:dyDescent="0.4">
      <c r="A151" s="63"/>
    </row>
    <row r="152" spans="1:1" x14ac:dyDescent="0.4">
      <c r="A152" s="63"/>
    </row>
    <row r="153" spans="1:1" x14ac:dyDescent="0.4">
      <c r="A153" s="63"/>
    </row>
    <row r="154" spans="1:1" x14ac:dyDescent="0.4">
      <c r="A154" s="63"/>
    </row>
    <row r="155" spans="1:1" x14ac:dyDescent="0.4">
      <c r="A155" s="63"/>
    </row>
    <row r="156" spans="1:1" x14ac:dyDescent="0.4">
      <c r="A156" s="63"/>
    </row>
    <row r="157" spans="1:1" x14ac:dyDescent="0.4">
      <c r="A157" s="63"/>
    </row>
    <row r="158" spans="1:1" x14ac:dyDescent="0.4">
      <c r="A158" s="63"/>
    </row>
    <row r="159" spans="1:1" x14ac:dyDescent="0.4">
      <c r="A159" s="63"/>
    </row>
    <row r="160" spans="1:1" x14ac:dyDescent="0.4">
      <c r="A160" s="63"/>
    </row>
    <row r="161" spans="1:1" x14ac:dyDescent="0.4">
      <c r="A161" s="63"/>
    </row>
    <row r="162" spans="1:1" x14ac:dyDescent="0.4">
      <c r="A162" s="63"/>
    </row>
    <row r="163" spans="1:1" x14ac:dyDescent="0.4">
      <c r="A163" s="63"/>
    </row>
    <row r="164" spans="1:1" x14ac:dyDescent="0.4">
      <c r="A164" s="63"/>
    </row>
    <row r="165" spans="1:1" x14ac:dyDescent="0.4">
      <c r="A165" s="63"/>
    </row>
    <row r="166" spans="1:1" x14ac:dyDescent="0.4">
      <c r="A166" s="63"/>
    </row>
    <row r="167" spans="1:1" x14ac:dyDescent="0.4">
      <c r="A167" s="63"/>
    </row>
    <row r="168" spans="1:1" x14ac:dyDescent="0.4">
      <c r="A168" s="63"/>
    </row>
    <row r="169" spans="1:1" x14ac:dyDescent="0.4">
      <c r="A169" s="63"/>
    </row>
    <row r="170" spans="1:1" x14ac:dyDescent="0.4">
      <c r="A170" s="63"/>
    </row>
    <row r="171" spans="1:1" x14ac:dyDescent="0.4">
      <c r="A171" s="63"/>
    </row>
    <row r="172" spans="1:1" x14ac:dyDescent="0.4">
      <c r="A172" s="63"/>
    </row>
    <row r="173" spans="1:1" x14ac:dyDescent="0.4">
      <c r="A173" s="63"/>
    </row>
    <row r="174" spans="1:1" x14ac:dyDescent="0.4">
      <c r="A174" s="63"/>
    </row>
    <row r="175" spans="1:1" x14ac:dyDescent="0.4">
      <c r="A175" s="63"/>
    </row>
    <row r="176" spans="1:1" x14ac:dyDescent="0.4">
      <c r="A176" s="63"/>
    </row>
    <row r="177" spans="1:1" x14ac:dyDescent="0.4">
      <c r="A177" s="63"/>
    </row>
    <row r="178" spans="1:1" x14ac:dyDescent="0.4">
      <c r="A178" s="63"/>
    </row>
    <row r="179" spans="1:1" x14ac:dyDescent="0.4">
      <c r="A179" s="63"/>
    </row>
    <row r="180" spans="1:1" x14ac:dyDescent="0.4">
      <c r="A180" s="63"/>
    </row>
    <row r="181" spans="1:1" x14ac:dyDescent="0.4">
      <c r="A181" s="63"/>
    </row>
    <row r="182" spans="1:1" x14ac:dyDescent="0.4">
      <c r="A182" s="63"/>
    </row>
    <row r="183" spans="1:1" x14ac:dyDescent="0.4">
      <c r="A183" s="63"/>
    </row>
    <row r="184" spans="1:1" x14ac:dyDescent="0.4">
      <c r="A184" s="63"/>
    </row>
    <row r="185" spans="1:1" x14ac:dyDescent="0.4">
      <c r="A185" s="63"/>
    </row>
    <row r="186" spans="1:1" x14ac:dyDescent="0.4">
      <c r="A186" s="63"/>
    </row>
    <row r="187" spans="1:1" x14ac:dyDescent="0.4">
      <c r="A187" s="63"/>
    </row>
    <row r="188" spans="1:1" x14ac:dyDescent="0.4">
      <c r="A188" s="63"/>
    </row>
    <row r="189" spans="1:1" x14ac:dyDescent="0.4">
      <c r="A189" s="63"/>
    </row>
    <row r="190" spans="1:1" x14ac:dyDescent="0.4">
      <c r="A190" s="63"/>
    </row>
    <row r="191" spans="1:1" x14ac:dyDescent="0.4">
      <c r="A191" s="63"/>
    </row>
    <row r="192" spans="1:1" x14ac:dyDescent="0.4">
      <c r="A192" s="63"/>
    </row>
    <row r="193" spans="1:1" x14ac:dyDescent="0.4">
      <c r="A193" s="63"/>
    </row>
    <row r="194" spans="1:1" x14ac:dyDescent="0.4">
      <c r="A194" s="63"/>
    </row>
    <row r="195" spans="1:1" x14ac:dyDescent="0.4">
      <c r="A195" s="63"/>
    </row>
    <row r="196" spans="1:1" x14ac:dyDescent="0.4">
      <c r="A196" s="63"/>
    </row>
    <row r="197" spans="1:1" x14ac:dyDescent="0.4">
      <c r="A197" s="63"/>
    </row>
    <row r="198" spans="1:1" x14ac:dyDescent="0.4">
      <c r="A198" s="63"/>
    </row>
    <row r="199" spans="1:1" x14ac:dyDescent="0.4">
      <c r="A199" s="63"/>
    </row>
    <row r="200" spans="1:1" x14ac:dyDescent="0.4">
      <c r="A200" s="63"/>
    </row>
    <row r="201" spans="1:1" x14ac:dyDescent="0.4">
      <c r="A201" s="63"/>
    </row>
    <row r="202" spans="1:1" x14ac:dyDescent="0.4">
      <c r="A202" s="63"/>
    </row>
    <row r="203" spans="1:1" x14ac:dyDescent="0.4">
      <c r="A203" s="63"/>
    </row>
    <row r="204" spans="1:1" x14ac:dyDescent="0.4">
      <c r="A204" s="63"/>
    </row>
    <row r="205" spans="1:1" x14ac:dyDescent="0.4">
      <c r="A205" s="63"/>
    </row>
    <row r="206" spans="1:1" x14ac:dyDescent="0.4">
      <c r="A206" s="63"/>
    </row>
    <row r="207" spans="1:1" x14ac:dyDescent="0.4">
      <c r="A207" s="63"/>
    </row>
    <row r="208" spans="1:1" x14ac:dyDescent="0.4">
      <c r="A208" s="63"/>
    </row>
    <row r="209" spans="1:1" x14ac:dyDescent="0.4">
      <c r="A209" s="63"/>
    </row>
    <row r="210" spans="1:1" x14ac:dyDescent="0.4">
      <c r="A210" s="63"/>
    </row>
    <row r="211" spans="1:1" x14ac:dyDescent="0.4">
      <c r="A211" s="63"/>
    </row>
    <row r="212" spans="1:1" x14ac:dyDescent="0.4">
      <c r="A212" s="63"/>
    </row>
    <row r="213" spans="1:1" x14ac:dyDescent="0.4">
      <c r="A213" s="63"/>
    </row>
    <row r="214" spans="1:1" x14ac:dyDescent="0.4">
      <c r="A214" s="63"/>
    </row>
    <row r="215" spans="1:1" x14ac:dyDescent="0.4">
      <c r="A215" s="63"/>
    </row>
    <row r="216" spans="1:1" x14ac:dyDescent="0.4">
      <c r="A216" s="63"/>
    </row>
    <row r="217" spans="1:1" x14ac:dyDescent="0.4">
      <c r="A217" s="63"/>
    </row>
    <row r="218" spans="1:1" x14ac:dyDescent="0.4">
      <c r="A218" s="63"/>
    </row>
    <row r="219" spans="1:1" x14ac:dyDescent="0.4">
      <c r="A219" s="63"/>
    </row>
    <row r="220" spans="1:1" x14ac:dyDescent="0.4">
      <c r="A220" s="63"/>
    </row>
    <row r="221" spans="1:1" x14ac:dyDescent="0.4">
      <c r="A221" s="63"/>
    </row>
    <row r="222" spans="1:1" x14ac:dyDescent="0.4">
      <c r="A222" s="63"/>
    </row>
    <row r="223" spans="1:1" x14ac:dyDescent="0.4">
      <c r="A223" s="63"/>
    </row>
    <row r="224" spans="1:1" x14ac:dyDescent="0.4">
      <c r="A224" s="63"/>
    </row>
    <row r="225" spans="1:1" x14ac:dyDescent="0.4">
      <c r="A225" s="63"/>
    </row>
    <row r="226" spans="1:1" x14ac:dyDescent="0.4">
      <c r="A226" s="63"/>
    </row>
    <row r="227" spans="1:1" x14ac:dyDescent="0.4">
      <c r="A227" s="63"/>
    </row>
    <row r="228" spans="1:1" x14ac:dyDescent="0.4">
      <c r="A228" s="63"/>
    </row>
    <row r="229" spans="1:1" x14ac:dyDescent="0.4">
      <c r="A229" s="63"/>
    </row>
    <row r="230" spans="1:1" x14ac:dyDescent="0.4">
      <c r="A230" s="63"/>
    </row>
    <row r="231" spans="1:1" x14ac:dyDescent="0.4">
      <c r="A231" s="63"/>
    </row>
    <row r="232" spans="1:1" x14ac:dyDescent="0.4">
      <c r="A232" s="63"/>
    </row>
    <row r="233" spans="1:1" x14ac:dyDescent="0.4">
      <c r="A233" s="63"/>
    </row>
    <row r="234" spans="1:1" x14ac:dyDescent="0.4">
      <c r="A234" s="63"/>
    </row>
    <row r="235" spans="1:1" x14ac:dyDescent="0.4">
      <c r="A235" s="63"/>
    </row>
    <row r="236" spans="1:1" x14ac:dyDescent="0.4">
      <c r="A236" s="63"/>
    </row>
    <row r="237" spans="1:1" x14ac:dyDescent="0.4">
      <c r="A237" s="63"/>
    </row>
    <row r="238" spans="1:1" x14ac:dyDescent="0.4">
      <c r="A238" s="63"/>
    </row>
    <row r="239" spans="1:1" x14ac:dyDescent="0.4">
      <c r="A239" s="63"/>
    </row>
    <row r="240" spans="1:1" x14ac:dyDescent="0.4">
      <c r="A240" s="63"/>
    </row>
    <row r="241" spans="1:1" x14ac:dyDescent="0.4">
      <c r="A241" s="63"/>
    </row>
    <row r="242" spans="1:1" x14ac:dyDescent="0.4">
      <c r="A242" s="63"/>
    </row>
    <row r="243" spans="1:1" x14ac:dyDescent="0.4">
      <c r="A243" s="63"/>
    </row>
    <row r="244" spans="1:1" x14ac:dyDescent="0.4">
      <c r="A244" s="63"/>
    </row>
    <row r="245" spans="1:1" x14ac:dyDescent="0.4">
      <c r="A245" s="63"/>
    </row>
    <row r="246" spans="1:1" x14ac:dyDescent="0.4">
      <c r="A246" s="63"/>
    </row>
    <row r="247" spans="1:1" x14ac:dyDescent="0.4">
      <c r="A247" s="63"/>
    </row>
    <row r="248" spans="1:1" x14ac:dyDescent="0.4">
      <c r="A248" s="63"/>
    </row>
    <row r="249" spans="1:1" x14ac:dyDescent="0.4">
      <c r="A249" s="63"/>
    </row>
    <row r="250" spans="1:1" x14ac:dyDescent="0.4">
      <c r="A250" s="63"/>
    </row>
    <row r="251" spans="1:1" x14ac:dyDescent="0.4">
      <c r="A251" s="63"/>
    </row>
    <row r="252" spans="1:1" x14ac:dyDescent="0.4">
      <c r="A252" s="63"/>
    </row>
    <row r="253" spans="1:1" x14ac:dyDescent="0.4">
      <c r="A253" s="63"/>
    </row>
    <row r="254" spans="1:1" x14ac:dyDescent="0.4">
      <c r="A254" s="63"/>
    </row>
    <row r="255" spans="1:1" x14ac:dyDescent="0.4">
      <c r="A255" s="63"/>
    </row>
    <row r="256" spans="1:1" x14ac:dyDescent="0.4">
      <c r="A256" s="63"/>
    </row>
    <row r="257" spans="1:1" x14ac:dyDescent="0.4">
      <c r="A257" s="63"/>
    </row>
    <row r="258" spans="1:1" x14ac:dyDescent="0.4">
      <c r="A258" s="63"/>
    </row>
    <row r="259" spans="1:1" x14ac:dyDescent="0.4">
      <c r="A259" s="63"/>
    </row>
    <row r="260" spans="1:1" x14ac:dyDescent="0.4">
      <c r="A260" s="63"/>
    </row>
    <row r="261" spans="1:1" x14ac:dyDescent="0.4">
      <c r="A261" s="63"/>
    </row>
    <row r="262" spans="1:1" x14ac:dyDescent="0.4">
      <c r="A262" s="63"/>
    </row>
    <row r="263" spans="1:1" x14ac:dyDescent="0.4">
      <c r="A263" s="63"/>
    </row>
    <row r="264" spans="1:1" x14ac:dyDescent="0.4">
      <c r="A264" s="63"/>
    </row>
    <row r="265" spans="1:1" x14ac:dyDescent="0.4">
      <c r="A265" s="63"/>
    </row>
    <row r="266" spans="1:1" x14ac:dyDescent="0.4">
      <c r="A266" s="63"/>
    </row>
    <row r="267" spans="1:1" x14ac:dyDescent="0.4">
      <c r="A267" s="63"/>
    </row>
    <row r="268" spans="1:1" x14ac:dyDescent="0.4">
      <c r="A268" s="63"/>
    </row>
    <row r="269" spans="1:1" x14ac:dyDescent="0.4">
      <c r="A269" s="63"/>
    </row>
    <row r="270" spans="1:1" x14ac:dyDescent="0.4">
      <c r="A270" s="63"/>
    </row>
    <row r="271" spans="1:1" x14ac:dyDescent="0.4">
      <c r="A271" s="63"/>
    </row>
    <row r="272" spans="1:1" x14ac:dyDescent="0.4">
      <c r="A272" s="63"/>
    </row>
    <row r="273" spans="1:1" x14ac:dyDescent="0.4">
      <c r="A273" s="63"/>
    </row>
    <row r="274" spans="1:1" x14ac:dyDescent="0.4">
      <c r="A274" s="63"/>
    </row>
    <row r="275" spans="1:1" x14ac:dyDescent="0.4">
      <c r="A275" s="63"/>
    </row>
    <row r="276" spans="1:1" x14ac:dyDescent="0.4">
      <c r="A276" s="63"/>
    </row>
    <row r="277" spans="1:1" x14ac:dyDescent="0.4">
      <c r="A277" s="63"/>
    </row>
    <row r="278" spans="1:1" x14ac:dyDescent="0.4">
      <c r="A278" s="63"/>
    </row>
    <row r="279" spans="1:1" x14ac:dyDescent="0.4">
      <c r="A279" s="63"/>
    </row>
    <row r="280" spans="1:1" x14ac:dyDescent="0.4">
      <c r="A280" s="63"/>
    </row>
    <row r="281" spans="1:1" x14ac:dyDescent="0.4">
      <c r="A281" s="63"/>
    </row>
    <row r="282" spans="1:1" x14ac:dyDescent="0.4">
      <c r="A282" s="63"/>
    </row>
    <row r="283" spans="1:1" x14ac:dyDescent="0.4">
      <c r="A283" s="63"/>
    </row>
    <row r="284" spans="1:1" x14ac:dyDescent="0.4">
      <c r="A284" s="63"/>
    </row>
    <row r="285" spans="1:1" x14ac:dyDescent="0.4">
      <c r="A285" s="63"/>
    </row>
    <row r="286" spans="1:1" x14ac:dyDescent="0.4">
      <c r="A286" s="63"/>
    </row>
    <row r="287" spans="1:1" x14ac:dyDescent="0.4">
      <c r="A287" s="63"/>
    </row>
    <row r="288" spans="1:1" x14ac:dyDescent="0.4">
      <c r="A288" s="63"/>
    </row>
    <row r="289" spans="1:1" x14ac:dyDescent="0.4">
      <c r="A289" s="63"/>
    </row>
    <row r="290" spans="1:1" x14ac:dyDescent="0.4">
      <c r="A290" s="63"/>
    </row>
    <row r="291" spans="1:1" x14ac:dyDescent="0.4">
      <c r="A291" s="63"/>
    </row>
    <row r="292" spans="1:1" x14ac:dyDescent="0.4">
      <c r="A292" s="63"/>
    </row>
    <row r="293" spans="1:1" x14ac:dyDescent="0.4">
      <c r="A293" s="63"/>
    </row>
    <row r="294" spans="1:1" x14ac:dyDescent="0.4">
      <c r="A294" s="63"/>
    </row>
    <row r="295" spans="1:1" x14ac:dyDescent="0.4">
      <c r="A295" s="63"/>
    </row>
    <row r="296" spans="1:1" x14ac:dyDescent="0.4">
      <c r="A296" s="63"/>
    </row>
    <row r="297" spans="1:1" x14ac:dyDescent="0.4">
      <c r="A297" s="63"/>
    </row>
    <row r="298" spans="1:1" x14ac:dyDescent="0.4">
      <c r="A298" s="63"/>
    </row>
    <row r="299" spans="1:1" x14ac:dyDescent="0.4">
      <c r="A299" s="63"/>
    </row>
    <row r="300" spans="1:1" x14ac:dyDescent="0.4">
      <c r="A300" s="63"/>
    </row>
    <row r="301" spans="1:1" x14ac:dyDescent="0.4">
      <c r="A301" s="63"/>
    </row>
    <row r="302" spans="1:1" x14ac:dyDescent="0.4">
      <c r="A302" s="63"/>
    </row>
    <row r="303" spans="1:1" x14ac:dyDescent="0.4">
      <c r="A303" s="63"/>
    </row>
    <row r="304" spans="1:1" x14ac:dyDescent="0.4">
      <c r="A304" s="63"/>
    </row>
    <row r="305" spans="1:1" x14ac:dyDescent="0.4">
      <c r="A305" s="63"/>
    </row>
    <row r="306" spans="1:1" x14ac:dyDescent="0.4">
      <c r="A306" s="63"/>
    </row>
    <row r="307" spans="1:1" x14ac:dyDescent="0.4">
      <c r="A307" s="63"/>
    </row>
    <row r="308" spans="1:1" x14ac:dyDescent="0.4">
      <c r="A308" s="63"/>
    </row>
    <row r="309" spans="1:1" x14ac:dyDescent="0.4">
      <c r="A309" s="63"/>
    </row>
    <row r="310" spans="1:1" x14ac:dyDescent="0.4">
      <c r="A310" s="63"/>
    </row>
    <row r="311" spans="1:1" x14ac:dyDescent="0.4">
      <c r="A311" s="63"/>
    </row>
    <row r="312" spans="1:1" x14ac:dyDescent="0.4">
      <c r="A312" s="63"/>
    </row>
    <row r="313" spans="1:1" x14ac:dyDescent="0.4">
      <c r="A313" s="63"/>
    </row>
    <row r="314" spans="1:1" x14ac:dyDescent="0.4">
      <c r="A314" s="63"/>
    </row>
    <row r="315" spans="1:1" x14ac:dyDescent="0.4">
      <c r="A315" s="63"/>
    </row>
    <row r="316" spans="1:1" x14ac:dyDescent="0.4">
      <c r="A316" s="63"/>
    </row>
    <row r="317" spans="1:1" x14ac:dyDescent="0.4">
      <c r="A317" s="63"/>
    </row>
    <row r="318" spans="1:1" x14ac:dyDescent="0.4">
      <c r="A318" s="63"/>
    </row>
    <row r="319" spans="1:1" x14ac:dyDescent="0.4">
      <c r="A319" s="63"/>
    </row>
    <row r="320" spans="1:1" x14ac:dyDescent="0.4">
      <c r="A320" s="63"/>
    </row>
    <row r="321" spans="1:1" x14ac:dyDescent="0.4">
      <c r="A321" s="63"/>
    </row>
    <row r="322" spans="1:1" x14ac:dyDescent="0.4">
      <c r="A322" s="63"/>
    </row>
    <row r="323" spans="1:1" x14ac:dyDescent="0.4">
      <c r="A323" s="63"/>
    </row>
    <row r="324" spans="1:1" x14ac:dyDescent="0.4">
      <c r="A324" s="63"/>
    </row>
    <row r="325" spans="1:1" x14ac:dyDescent="0.4">
      <c r="A325" s="63"/>
    </row>
    <row r="326" spans="1:1" x14ac:dyDescent="0.4">
      <c r="A326" s="63"/>
    </row>
    <row r="327" spans="1:1" x14ac:dyDescent="0.4">
      <c r="A327" s="63"/>
    </row>
    <row r="328" spans="1:1" x14ac:dyDescent="0.4">
      <c r="A328" s="63"/>
    </row>
    <row r="329" spans="1:1" x14ac:dyDescent="0.4">
      <c r="A329" s="63"/>
    </row>
    <row r="330" spans="1:1" x14ac:dyDescent="0.4">
      <c r="A330" s="63"/>
    </row>
    <row r="331" spans="1:1" x14ac:dyDescent="0.4">
      <c r="A331" s="63"/>
    </row>
    <row r="332" spans="1:1" x14ac:dyDescent="0.4">
      <c r="A332" s="63"/>
    </row>
    <row r="333" spans="1:1" x14ac:dyDescent="0.4">
      <c r="A333" s="63"/>
    </row>
    <row r="334" spans="1:1" x14ac:dyDescent="0.4">
      <c r="A334" s="63"/>
    </row>
    <row r="335" spans="1:1" x14ac:dyDescent="0.4">
      <c r="A335" s="63"/>
    </row>
    <row r="336" spans="1:1" x14ac:dyDescent="0.4">
      <c r="A336" s="63"/>
    </row>
    <row r="337" spans="1:1" x14ac:dyDescent="0.4">
      <c r="A337" s="63"/>
    </row>
    <row r="338" spans="1:1" x14ac:dyDescent="0.4">
      <c r="A338" s="63"/>
    </row>
    <row r="339" spans="1:1" x14ac:dyDescent="0.4">
      <c r="A339" s="63"/>
    </row>
    <row r="340" spans="1:1" x14ac:dyDescent="0.4">
      <c r="A340" s="63"/>
    </row>
    <row r="341" spans="1:1" x14ac:dyDescent="0.4">
      <c r="A341" s="63"/>
    </row>
    <row r="342" spans="1:1" x14ac:dyDescent="0.4">
      <c r="A342" s="63"/>
    </row>
    <row r="343" spans="1:1" x14ac:dyDescent="0.4">
      <c r="A343" s="63"/>
    </row>
    <row r="344" spans="1:1" x14ac:dyDescent="0.4">
      <c r="A344" s="63"/>
    </row>
    <row r="345" spans="1:1" x14ac:dyDescent="0.4">
      <c r="A345" s="63"/>
    </row>
    <row r="346" spans="1:1" x14ac:dyDescent="0.4">
      <c r="A346" s="63"/>
    </row>
    <row r="347" spans="1:1" x14ac:dyDescent="0.4">
      <c r="A347" s="63"/>
    </row>
    <row r="348" spans="1:1" x14ac:dyDescent="0.4">
      <c r="A348" s="63"/>
    </row>
    <row r="349" spans="1:1" x14ac:dyDescent="0.4">
      <c r="A349" s="63"/>
    </row>
    <row r="350" spans="1:1" x14ac:dyDescent="0.4">
      <c r="A350" s="63"/>
    </row>
    <row r="351" spans="1:1" x14ac:dyDescent="0.4">
      <c r="A351" s="63"/>
    </row>
    <row r="352" spans="1:1" x14ac:dyDescent="0.4">
      <c r="A352" s="63"/>
    </row>
    <row r="353" spans="1:1" x14ac:dyDescent="0.4">
      <c r="A353" s="63"/>
    </row>
    <row r="354" spans="1:1" x14ac:dyDescent="0.4">
      <c r="A354" s="63"/>
    </row>
    <row r="355" spans="1:1" x14ac:dyDescent="0.4">
      <c r="A355" s="63"/>
    </row>
    <row r="356" spans="1:1" x14ac:dyDescent="0.4">
      <c r="A356" s="63"/>
    </row>
    <row r="357" spans="1:1" x14ac:dyDescent="0.4">
      <c r="A357" s="63"/>
    </row>
    <row r="358" spans="1:1" x14ac:dyDescent="0.4">
      <c r="A358" s="63"/>
    </row>
    <row r="359" spans="1:1" x14ac:dyDescent="0.4">
      <c r="A359" s="63"/>
    </row>
    <row r="360" spans="1:1" x14ac:dyDescent="0.4">
      <c r="A360" s="63"/>
    </row>
    <row r="361" spans="1:1" x14ac:dyDescent="0.4">
      <c r="A361" s="63"/>
    </row>
    <row r="362" spans="1:1" x14ac:dyDescent="0.4">
      <c r="A362" s="63"/>
    </row>
    <row r="363" spans="1:1" x14ac:dyDescent="0.4">
      <c r="A363" s="63"/>
    </row>
    <row r="364" spans="1:1" x14ac:dyDescent="0.4">
      <c r="A364" s="63"/>
    </row>
    <row r="365" spans="1:1" x14ac:dyDescent="0.4">
      <c r="A365" s="63"/>
    </row>
    <row r="366" spans="1:1" x14ac:dyDescent="0.4">
      <c r="A366" s="63"/>
    </row>
    <row r="367" spans="1:1" x14ac:dyDescent="0.4">
      <c r="A367" s="63"/>
    </row>
    <row r="368" spans="1:1" x14ac:dyDescent="0.4">
      <c r="A368" s="63"/>
    </row>
    <row r="369" spans="1:1" x14ac:dyDescent="0.4">
      <c r="A369" s="63"/>
    </row>
    <row r="370" spans="1:1" x14ac:dyDescent="0.4">
      <c r="A370" s="63"/>
    </row>
    <row r="371" spans="1:1" x14ac:dyDescent="0.4">
      <c r="A371" s="63"/>
    </row>
    <row r="372" spans="1:1" x14ac:dyDescent="0.4">
      <c r="A372" s="63"/>
    </row>
    <row r="373" spans="1:1" x14ac:dyDescent="0.4">
      <c r="A373" s="63"/>
    </row>
    <row r="374" spans="1:1" x14ac:dyDescent="0.4">
      <c r="A374" s="63"/>
    </row>
    <row r="375" spans="1:1" x14ac:dyDescent="0.4">
      <c r="A375" s="63"/>
    </row>
    <row r="376" spans="1:1" x14ac:dyDescent="0.4">
      <c r="A376" s="63"/>
    </row>
    <row r="377" spans="1:1" x14ac:dyDescent="0.4">
      <c r="A377" s="63"/>
    </row>
    <row r="378" spans="1:1" x14ac:dyDescent="0.4">
      <c r="A378" s="63"/>
    </row>
    <row r="379" spans="1:1" x14ac:dyDescent="0.4">
      <c r="A379" s="63"/>
    </row>
    <row r="380" spans="1:1" x14ac:dyDescent="0.4">
      <c r="A380" s="63"/>
    </row>
    <row r="381" spans="1:1" x14ac:dyDescent="0.4">
      <c r="A381" s="63"/>
    </row>
    <row r="382" spans="1:1" x14ac:dyDescent="0.4">
      <c r="A382" s="63"/>
    </row>
    <row r="383" spans="1:1" x14ac:dyDescent="0.4">
      <c r="A383" s="63"/>
    </row>
    <row r="384" spans="1:1" x14ac:dyDescent="0.4">
      <c r="A384" s="63"/>
    </row>
    <row r="385" spans="1:1" x14ac:dyDescent="0.4">
      <c r="A385" s="63"/>
    </row>
    <row r="386" spans="1:1" x14ac:dyDescent="0.4">
      <c r="A386" s="63"/>
    </row>
    <row r="387" spans="1:1" x14ac:dyDescent="0.4">
      <c r="A387" s="63"/>
    </row>
    <row r="388" spans="1:1" x14ac:dyDescent="0.4">
      <c r="A388" s="63"/>
    </row>
    <row r="389" spans="1:1" x14ac:dyDescent="0.4">
      <c r="A389" s="63"/>
    </row>
    <row r="390" spans="1:1" x14ac:dyDescent="0.4">
      <c r="A390" s="63"/>
    </row>
    <row r="391" spans="1:1" x14ac:dyDescent="0.4">
      <c r="A391" s="63"/>
    </row>
    <row r="392" spans="1:1" x14ac:dyDescent="0.4">
      <c r="A392" s="63"/>
    </row>
    <row r="393" spans="1:1" x14ac:dyDescent="0.4">
      <c r="A393" s="63"/>
    </row>
    <row r="394" spans="1:1" x14ac:dyDescent="0.4">
      <c r="A394" s="63"/>
    </row>
    <row r="395" spans="1:1" x14ac:dyDescent="0.4">
      <c r="A395" s="63"/>
    </row>
    <row r="396" spans="1:1" x14ac:dyDescent="0.4">
      <c r="A396" s="63"/>
    </row>
    <row r="397" spans="1:1" x14ac:dyDescent="0.4">
      <c r="A397" s="63"/>
    </row>
    <row r="398" spans="1:1" x14ac:dyDescent="0.4">
      <c r="A398" s="63"/>
    </row>
    <row r="399" spans="1:1" x14ac:dyDescent="0.4">
      <c r="A399" s="63"/>
    </row>
    <row r="400" spans="1:1" x14ac:dyDescent="0.4">
      <c r="A400" s="63"/>
    </row>
    <row r="401" spans="1:1" x14ac:dyDescent="0.4">
      <c r="A401" s="63"/>
    </row>
    <row r="402" spans="1:1" x14ac:dyDescent="0.4">
      <c r="A402" s="63"/>
    </row>
    <row r="403" spans="1:1" x14ac:dyDescent="0.4">
      <c r="A403" s="63"/>
    </row>
    <row r="404" spans="1:1" x14ac:dyDescent="0.4">
      <c r="A404" s="63"/>
    </row>
    <row r="405" spans="1:1" x14ac:dyDescent="0.4">
      <c r="A405" s="63"/>
    </row>
    <row r="406" spans="1:1" x14ac:dyDescent="0.4">
      <c r="A406" s="63"/>
    </row>
    <row r="407" spans="1:1" x14ac:dyDescent="0.4">
      <c r="A407" s="63"/>
    </row>
    <row r="408" spans="1:1" x14ac:dyDescent="0.4">
      <c r="A408" s="63"/>
    </row>
    <row r="409" spans="1:1" x14ac:dyDescent="0.4">
      <c r="A409" s="63"/>
    </row>
    <row r="410" spans="1:1" x14ac:dyDescent="0.4">
      <c r="A410" s="63"/>
    </row>
    <row r="411" spans="1:1" x14ac:dyDescent="0.4">
      <c r="A411" s="63"/>
    </row>
    <row r="412" spans="1:1" x14ac:dyDescent="0.4">
      <c r="A412" s="63"/>
    </row>
    <row r="413" spans="1:1" x14ac:dyDescent="0.4">
      <c r="A413" s="63"/>
    </row>
    <row r="414" spans="1:1" x14ac:dyDescent="0.4">
      <c r="A414" s="63"/>
    </row>
    <row r="415" spans="1:1" x14ac:dyDescent="0.4">
      <c r="A415" s="63"/>
    </row>
    <row r="416" spans="1:1" x14ac:dyDescent="0.4">
      <c r="A416" s="63"/>
    </row>
    <row r="417" spans="1:1" x14ac:dyDescent="0.4">
      <c r="A417" s="63"/>
    </row>
    <row r="418" spans="1:1" x14ac:dyDescent="0.4">
      <c r="A418" s="63"/>
    </row>
    <row r="419" spans="1:1" x14ac:dyDescent="0.4">
      <c r="A419" s="63"/>
    </row>
    <row r="420" spans="1:1" x14ac:dyDescent="0.4">
      <c r="A420" s="63"/>
    </row>
    <row r="421" spans="1:1" x14ac:dyDescent="0.4">
      <c r="A421" s="63"/>
    </row>
    <row r="422" spans="1:1" x14ac:dyDescent="0.4">
      <c r="A422" s="63"/>
    </row>
    <row r="423" spans="1:1" x14ac:dyDescent="0.4">
      <c r="A423" s="63"/>
    </row>
    <row r="424" spans="1:1" x14ac:dyDescent="0.4">
      <c r="A424" s="63"/>
    </row>
    <row r="425" spans="1:1" x14ac:dyDescent="0.4">
      <c r="A425" s="63"/>
    </row>
    <row r="426" spans="1:1" x14ac:dyDescent="0.4">
      <c r="A426" s="63"/>
    </row>
    <row r="427" spans="1:1" x14ac:dyDescent="0.4">
      <c r="A427" s="63"/>
    </row>
    <row r="428" spans="1:1" x14ac:dyDescent="0.4">
      <c r="A428" s="63"/>
    </row>
    <row r="429" spans="1:1" x14ac:dyDescent="0.4">
      <c r="A429" s="63"/>
    </row>
    <row r="430" spans="1:1" x14ac:dyDescent="0.4">
      <c r="A430" s="63"/>
    </row>
    <row r="431" spans="1:1" x14ac:dyDescent="0.4">
      <c r="A431" s="63"/>
    </row>
    <row r="432" spans="1:1" x14ac:dyDescent="0.4">
      <c r="A432" s="63"/>
    </row>
    <row r="433" spans="1:1" x14ac:dyDescent="0.4">
      <c r="A433" s="63"/>
    </row>
    <row r="434" spans="1:1" x14ac:dyDescent="0.4">
      <c r="A434" s="63"/>
    </row>
    <row r="435" spans="1:1" x14ac:dyDescent="0.4">
      <c r="A435" s="63"/>
    </row>
    <row r="436" spans="1:1" x14ac:dyDescent="0.4">
      <c r="A436" s="63"/>
    </row>
    <row r="437" spans="1:1" x14ac:dyDescent="0.4">
      <c r="A437" s="63"/>
    </row>
    <row r="438" spans="1:1" x14ac:dyDescent="0.4">
      <c r="A438" s="63"/>
    </row>
    <row r="439" spans="1:1" x14ac:dyDescent="0.4">
      <c r="A439" s="63"/>
    </row>
    <row r="440" spans="1:1" x14ac:dyDescent="0.4">
      <c r="A440" s="63"/>
    </row>
    <row r="441" spans="1:1" x14ac:dyDescent="0.4">
      <c r="A441" s="63"/>
    </row>
    <row r="442" spans="1:1" x14ac:dyDescent="0.4">
      <c r="A442" s="63"/>
    </row>
    <row r="443" spans="1:1" x14ac:dyDescent="0.4">
      <c r="A443" s="63"/>
    </row>
    <row r="444" spans="1:1" x14ac:dyDescent="0.4">
      <c r="A444" s="63"/>
    </row>
    <row r="445" spans="1:1" x14ac:dyDescent="0.4">
      <c r="A445" s="63"/>
    </row>
    <row r="446" spans="1:1" x14ac:dyDescent="0.4">
      <c r="A446" s="63"/>
    </row>
    <row r="447" spans="1:1" x14ac:dyDescent="0.4">
      <c r="A447" s="63"/>
    </row>
    <row r="448" spans="1:1" x14ac:dyDescent="0.4">
      <c r="A448" s="63"/>
    </row>
    <row r="449" spans="1:1" x14ac:dyDescent="0.4">
      <c r="A449" s="63"/>
    </row>
    <row r="450" spans="1:1" x14ac:dyDescent="0.4">
      <c r="A450" s="63"/>
    </row>
    <row r="451" spans="1:1" x14ac:dyDescent="0.4">
      <c r="A451" s="63"/>
    </row>
    <row r="452" spans="1:1" x14ac:dyDescent="0.4">
      <c r="A452" s="63"/>
    </row>
    <row r="453" spans="1:1" x14ac:dyDescent="0.4">
      <c r="A453" s="63"/>
    </row>
    <row r="454" spans="1:1" x14ac:dyDescent="0.4">
      <c r="A454" s="63"/>
    </row>
    <row r="455" spans="1:1" x14ac:dyDescent="0.4">
      <c r="A455" s="63"/>
    </row>
    <row r="456" spans="1:1" x14ac:dyDescent="0.4">
      <c r="A456" s="63"/>
    </row>
    <row r="457" spans="1:1" x14ac:dyDescent="0.4">
      <c r="A457" s="63"/>
    </row>
    <row r="458" spans="1:1" x14ac:dyDescent="0.4">
      <c r="A458" s="63"/>
    </row>
    <row r="459" spans="1:1" x14ac:dyDescent="0.4">
      <c r="A459" s="63"/>
    </row>
    <row r="460" spans="1:1" x14ac:dyDescent="0.4">
      <c r="A460" s="63"/>
    </row>
    <row r="461" spans="1:1" x14ac:dyDescent="0.4">
      <c r="A461" s="63"/>
    </row>
    <row r="462" spans="1:1" x14ac:dyDescent="0.4">
      <c r="A462" s="63"/>
    </row>
    <row r="463" spans="1:1" x14ac:dyDescent="0.4">
      <c r="A463" s="63"/>
    </row>
    <row r="464" spans="1:1" x14ac:dyDescent="0.4">
      <c r="A464" s="63"/>
    </row>
    <row r="465" spans="1:1" x14ac:dyDescent="0.4">
      <c r="A465" s="63"/>
    </row>
    <row r="466" spans="1:1" x14ac:dyDescent="0.4">
      <c r="A466" s="63"/>
    </row>
    <row r="467" spans="1:1" x14ac:dyDescent="0.4">
      <c r="A467" s="63"/>
    </row>
    <row r="468" spans="1:1" x14ac:dyDescent="0.4">
      <c r="A468" s="63"/>
    </row>
    <row r="469" spans="1:1" x14ac:dyDescent="0.4">
      <c r="A469" s="63"/>
    </row>
    <row r="470" spans="1:1" x14ac:dyDescent="0.4">
      <c r="A470" s="63"/>
    </row>
    <row r="471" spans="1:1" x14ac:dyDescent="0.4">
      <c r="A471" s="63"/>
    </row>
    <row r="472" spans="1:1" x14ac:dyDescent="0.4">
      <c r="A472" s="63"/>
    </row>
    <row r="473" spans="1:1" x14ac:dyDescent="0.4">
      <c r="A473" s="63"/>
    </row>
    <row r="474" spans="1:1" x14ac:dyDescent="0.4">
      <c r="A474" s="63"/>
    </row>
    <row r="475" spans="1:1" x14ac:dyDescent="0.4">
      <c r="A475" s="63"/>
    </row>
    <row r="476" spans="1:1" x14ac:dyDescent="0.4">
      <c r="A476" s="63"/>
    </row>
    <row r="477" spans="1:1" x14ac:dyDescent="0.4">
      <c r="A477" s="63"/>
    </row>
    <row r="478" spans="1:1" x14ac:dyDescent="0.4">
      <c r="A478" s="63"/>
    </row>
    <row r="479" spans="1:1" x14ac:dyDescent="0.4">
      <c r="A479" s="63"/>
    </row>
    <row r="480" spans="1:1" x14ac:dyDescent="0.4">
      <c r="A480" s="63"/>
    </row>
    <row r="481" spans="1:1" x14ac:dyDescent="0.4">
      <c r="A481" s="63"/>
    </row>
    <row r="482" spans="1:1" x14ac:dyDescent="0.4">
      <c r="A482" s="63"/>
    </row>
    <row r="483" spans="1:1" x14ac:dyDescent="0.4">
      <c r="A483" s="63"/>
    </row>
    <row r="484" spans="1:1" x14ac:dyDescent="0.4">
      <c r="A484" s="63"/>
    </row>
    <row r="485" spans="1:1" x14ac:dyDescent="0.4">
      <c r="A485" s="63"/>
    </row>
    <row r="486" spans="1:1" x14ac:dyDescent="0.4">
      <c r="A486" s="63"/>
    </row>
    <row r="487" spans="1:1" x14ac:dyDescent="0.4">
      <c r="A487" s="63"/>
    </row>
    <row r="488" spans="1:1" x14ac:dyDescent="0.4">
      <c r="A488" s="63"/>
    </row>
    <row r="489" spans="1:1" x14ac:dyDescent="0.4">
      <c r="A489" s="63"/>
    </row>
    <row r="490" spans="1:1" x14ac:dyDescent="0.4">
      <c r="A490" s="63"/>
    </row>
    <row r="491" spans="1:1" x14ac:dyDescent="0.4">
      <c r="A491" s="63"/>
    </row>
    <row r="492" spans="1:1" x14ac:dyDescent="0.4">
      <c r="A492" s="63"/>
    </row>
    <row r="493" spans="1:1" x14ac:dyDescent="0.4">
      <c r="A493" s="63"/>
    </row>
    <row r="494" spans="1:1" x14ac:dyDescent="0.4">
      <c r="A494" s="63"/>
    </row>
    <row r="495" spans="1:1" x14ac:dyDescent="0.4">
      <c r="A495" s="63"/>
    </row>
    <row r="496" spans="1:1" x14ac:dyDescent="0.4">
      <c r="A496" s="63"/>
    </row>
    <row r="497" spans="1:1" x14ac:dyDescent="0.4">
      <c r="A497" s="63"/>
    </row>
    <row r="498" spans="1:1" x14ac:dyDescent="0.4">
      <c r="A498" s="63"/>
    </row>
    <row r="499" spans="1:1" x14ac:dyDescent="0.4">
      <c r="A499" s="63"/>
    </row>
    <row r="500" spans="1:1" x14ac:dyDescent="0.4">
      <c r="A500" s="63"/>
    </row>
    <row r="501" spans="1:1" x14ac:dyDescent="0.4">
      <c r="A501" s="63"/>
    </row>
    <row r="502" spans="1:1" x14ac:dyDescent="0.4">
      <c r="A502" s="63"/>
    </row>
    <row r="503" spans="1:1" x14ac:dyDescent="0.4">
      <c r="A503" s="63"/>
    </row>
    <row r="504" spans="1:1" x14ac:dyDescent="0.4">
      <c r="A504" s="63"/>
    </row>
    <row r="505" spans="1:1" x14ac:dyDescent="0.4">
      <c r="A505" s="63"/>
    </row>
    <row r="506" spans="1:1" x14ac:dyDescent="0.4">
      <c r="A506" s="63"/>
    </row>
    <row r="507" spans="1:1" x14ac:dyDescent="0.4">
      <c r="A507" s="63"/>
    </row>
    <row r="508" spans="1:1" x14ac:dyDescent="0.4">
      <c r="A508" s="63"/>
    </row>
    <row r="509" spans="1:1" x14ac:dyDescent="0.4">
      <c r="A509" s="63"/>
    </row>
    <row r="510" spans="1:1" x14ac:dyDescent="0.4">
      <c r="A510" s="63"/>
    </row>
    <row r="511" spans="1:1" x14ac:dyDescent="0.4">
      <c r="A511" s="63"/>
    </row>
    <row r="512" spans="1:1" x14ac:dyDescent="0.4">
      <c r="A512" s="63"/>
    </row>
    <row r="513" spans="1:1" x14ac:dyDescent="0.4">
      <c r="A513" s="63"/>
    </row>
    <row r="514" spans="1:1" x14ac:dyDescent="0.4">
      <c r="A514" s="63"/>
    </row>
    <row r="515" spans="1:1" x14ac:dyDescent="0.4">
      <c r="A515" s="63"/>
    </row>
    <row r="516" spans="1:1" x14ac:dyDescent="0.4">
      <c r="A516" s="63"/>
    </row>
    <row r="517" spans="1:1" x14ac:dyDescent="0.4">
      <c r="A517" s="63"/>
    </row>
    <row r="518" spans="1:1" x14ac:dyDescent="0.4">
      <c r="A518" s="63"/>
    </row>
    <row r="519" spans="1:1" x14ac:dyDescent="0.4">
      <c r="A519" s="63"/>
    </row>
    <row r="520" spans="1:1" x14ac:dyDescent="0.4">
      <c r="A520" s="63"/>
    </row>
    <row r="521" spans="1:1" x14ac:dyDescent="0.4">
      <c r="A521" s="63"/>
    </row>
    <row r="522" spans="1:1" x14ac:dyDescent="0.4">
      <c r="A522" s="63"/>
    </row>
    <row r="523" spans="1:1" x14ac:dyDescent="0.4">
      <c r="A523" s="63"/>
    </row>
    <row r="524" spans="1:1" x14ac:dyDescent="0.4">
      <c r="A524" s="63"/>
    </row>
    <row r="525" spans="1:1" x14ac:dyDescent="0.4">
      <c r="A525" s="63"/>
    </row>
    <row r="526" spans="1:1" x14ac:dyDescent="0.4">
      <c r="A526" s="63"/>
    </row>
    <row r="527" spans="1:1" x14ac:dyDescent="0.4">
      <c r="A527" s="63"/>
    </row>
    <row r="528" spans="1:1" x14ac:dyDescent="0.4">
      <c r="A528" s="63"/>
    </row>
    <row r="529" spans="1:1" x14ac:dyDescent="0.4">
      <c r="A529" s="63"/>
    </row>
    <row r="530" spans="1:1" x14ac:dyDescent="0.4">
      <c r="A530" s="63"/>
    </row>
    <row r="531" spans="1:1" x14ac:dyDescent="0.4">
      <c r="A531" s="63"/>
    </row>
    <row r="532" spans="1:1" x14ac:dyDescent="0.4">
      <c r="A532" s="63"/>
    </row>
    <row r="533" spans="1:1" x14ac:dyDescent="0.4">
      <c r="A533" s="63"/>
    </row>
    <row r="534" spans="1:1" x14ac:dyDescent="0.4">
      <c r="A534" s="63"/>
    </row>
    <row r="535" spans="1:1" x14ac:dyDescent="0.4">
      <c r="A535" s="63"/>
    </row>
    <row r="536" spans="1:1" x14ac:dyDescent="0.4">
      <c r="A536" s="63"/>
    </row>
    <row r="537" spans="1:1" x14ac:dyDescent="0.4">
      <c r="A537" s="63"/>
    </row>
    <row r="538" spans="1:1" x14ac:dyDescent="0.4">
      <c r="A538" s="63"/>
    </row>
    <row r="539" spans="1:1" x14ac:dyDescent="0.4">
      <c r="A539" s="63"/>
    </row>
    <row r="540" spans="1:1" x14ac:dyDescent="0.4">
      <c r="A540" s="63"/>
    </row>
    <row r="541" spans="1:1" x14ac:dyDescent="0.4">
      <c r="A541" s="63"/>
    </row>
    <row r="542" spans="1:1" x14ac:dyDescent="0.4">
      <c r="A542" s="63"/>
    </row>
    <row r="543" spans="1:1" x14ac:dyDescent="0.4">
      <c r="A543" s="63"/>
    </row>
    <row r="544" spans="1:1" x14ac:dyDescent="0.4">
      <c r="A544" s="63"/>
    </row>
    <row r="545" spans="1:1" x14ac:dyDescent="0.4">
      <c r="A545" s="63"/>
    </row>
    <row r="546" spans="1:1" x14ac:dyDescent="0.4">
      <c r="A546" s="63"/>
    </row>
    <row r="547" spans="1:1" x14ac:dyDescent="0.4">
      <c r="A547" s="63"/>
    </row>
    <row r="548" spans="1:1" x14ac:dyDescent="0.4">
      <c r="A548" s="63"/>
    </row>
    <row r="549" spans="1:1" x14ac:dyDescent="0.4">
      <c r="A549" s="63"/>
    </row>
    <row r="550" spans="1:1" x14ac:dyDescent="0.4">
      <c r="A550" s="63"/>
    </row>
    <row r="551" spans="1:1" x14ac:dyDescent="0.4">
      <c r="A551" s="63"/>
    </row>
    <row r="552" spans="1:1" x14ac:dyDescent="0.4">
      <c r="A552" s="63"/>
    </row>
    <row r="553" spans="1:1" x14ac:dyDescent="0.4">
      <c r="A553" s="63"/>
    </row>
    <row r="554" spans="1:1" x14ac:dyDescent="0.4">
      <c r="A554" s="63"/>
    </row>
    <row r="555" spans="1:1" x14ac:dyDescent="0.4">
      <c r="A555" s="63"/>
    </row>
    <row r="556" spans="1:1" x14ac:dyDescent="0.4">
      <c r="A556" s="63"/>
    </row>
    <row r="557" spans="1:1" x14ac:dyDescent="0.4">
      <c r="A557" s="63"/>
    </row>
    <row r="558" spans="1:1" x14ac:dyDescent="0.4">
      <c r="A558" s="63"/>
    </row>
    <row r="559" spans="1:1" x14ac:dyDescent="0.4">
      <c r="A559" s="63"/>
    </row>
    <row r="560" spans="1:1" x14ac:dyDescent="0.4">
      <c r="A560" s="63"/>
    </row>
    <row r="561" spans="1:1" x14ac:dyDescent="0.4">
      <c r="A561" s="63"/>
    </row>
    <row r="562" spans="1:1" x14ac:dyDescent="0.4">
      <c r="A562" s="63"/>
    </row>
    <row r="563" spans="1:1" x14ac:dyDescent="0.4">
      <c r="A563" s="63"/>
    </row>
    <row r="564" spans="1:1" x14ac:dyDescent="0.4">
      <c r="A564" s="63"/>
    </row>
    <row r="565" spans="1:1" x14ac:dyDescent="0.4">
      <c r="A565" s="63"/>
    </row>
    <row r="566" spans="1:1" x14ac:dyDescent="0.4">
      <c r="A566" s="63"/>
    </row>
    <row r="567" spans="1:1" x14ac:dyDescent="0.4">
      <c r="A567" s="63"/>
    </row>
    <row r="568" spans="1:1" x14ac:dyDescent="0.4">
      <c r="A568" s="63"/>
    </row>
    <row r="569" spans="1:1" x14ac:dyDescent="0.4">
      <c r="A569" s="63"/>
    </row>
    <row r="570" spans="1:1" x14ac:dyDescent="0.4">
      <c r="A570" s="63"/>
    </row>
    <row r="571" spans="1:1" x14ac:dyDescent="0.4">
      <c r="A571" s="63"/>
    </row>
    <row r="572" spans="1:1" x14ac:dyDescent="0.4">
      <c r="A572" s="63"/>
    </row>
    <row r="573" spans="1:1" x14ac:dyDescent="0.4">
      <c r="A573" s="63"/>
    </row>
    <row r="574" spans="1:1" x14ac:dyDescent="0.4">
      <c r="A574" s="63"/>
    </row>
    <row r="575" spans="1:1" x14ac:dyDescent="0.4">
      <c r="A575" s="63"/>
    </row>
    <row r="576" spans="1:1" x14ac:dyDescent="0.4">
      <c r="A576" s="63"/>
    </row>
    <row r="577" spans="1:1" x14ac:dyDescent="0.4">
      <c r="A577" s="63"/>
    </row>
    <row r="578" spans="1:1" x14ac:dyDescent="0.4">
      <c r="A578" s="63"/>
    </row>
    <row r="579" spans="1:1" x14ac:dyDescent="0.4">
      <c r="A579" s="63"/>
    </row>
    <row r="580" spans="1:1" x14ac:dyDescent="0.4">
      <c r="A580" s="63"/>
    </row>
    <row r="581" spans="1:1" x14ac:dyDescent="0.4">
      <c r="A581" s="63"/>
    </row>
    <row r="582" spans="1:1" x14ac:dyDescent="0.4">
      <c r="A582" s="63"/>
    </row>
    <row r="583" spans="1:1" x14ac:dyDescent="0.4">
      <c r="A583" s="63"/>
    </row>
    <row r="584" spans="1:1" x14ac:dyDescent="0.4">
      <c r="A584" s="63"/>
    </row>
    <row r="585" spans="1:1" x14ac:dyDescent="0.4">
      <c r="A585" s="63"/>
    </row>
    <row r="586" spans="1:1" x14ac:dyDescent="0.4">
      <c r="A586" s="63"/>
    </row>
    <row r="587" spans="1:1" x14ac:dyDescent="0.4">
      <c r="A587" s="63"/>
    </row>
    <row r="588" spans="1:1" x14ac:dyDescent="0.4">
      <c r="A588" s="63"/>
    </row>
    <row r="589" spans="1:1" x14ac:dyDescent="0.4">
      <c r="A589" s="63"/>
    </row>
    <row r="590" spans="1:1" x14ac:dyDescent="0.4">
      <c r="A590" s="63"/>
    </row>
    <row r="591" spans="1:1" x14ac:dyDescent="0.4">
      <c r="A591" s="63"/>
    </row>
    <row r="592" spans="1:1" x14ac:dyDescent="0.4">
      <c r="A592" s="63"/>
    </row>
    <row r="593" spans="1:1" x14ac:dyDescent="0.4">
      <c r="A593" s="63"/>
    </row>
    <row r="594" spans="1:1" x14ac:dyDescent="0.4">
      <c r="A594" s="63"/>
    </row>
    <row r="595" spans="1:1" x14ac:dyDescent="0.4">
      <c r="A595" s="63"/>
    </row>
    <row r="596" spans="1:1" x14ac:dyDescent="0.4">
      <c r="A596" s="63"/>
    </row>
    <row r="597" spans="1:1" x14ac:dyDescent="0.4">
      <c r="A597" s="63"/>
    </row>
    <row r="598" spans="1:1" x14ac:dyDescent="0.4">
      <c r="A598" s="63"/>
    </row>
    <row r="599" spans="1:1" x14ac:dyDescent="0.4">
      <c r="A599" s="63"/>
    </row>
    <row r="600" spans="1:1" x14ac:dyDescent="0.4">
      <c r="A600" s="63"/>
    </row>
    <row r="601" spans="1:1" x14ac:dyDescent="0.4">
      <c r="A601" s="63"/>
    </row>
    <row r="602" spans="1:1" x14ac:dyDescent="0.4">
      <c r="A602" s="63"/>
    </row>
    <row r="603" spans="1:1" x14ac:dyDescent="0.4">
      <c r="A603" s="63"/>
    </row>
    <row r="604" spans="1:1" x14ac:dyDescent="0.4">
      <c r="A604" s="63"/>
    </row>
    <row r="605" spans="1:1" x14ac:dyDescent="0.4">
      <c r="A605" s="63"/>
    </row>
    <row r="606" spans="1:1" x14ac:dyDescent="0.4">
      <c r="A606" s="63"/>
    </row>
    <row r="607" spans="1:1" x14ac:dyDescent="0.4">
      <c r="A607" s="63"/>
    </row>
    <row r="608" spans="1:1" x14ac:dyDescent="0.4">
      <c r="A608" s="63"/>
    </row>
    <row r="609" spans="1:1" x14ac:dyDescent="0.4">
      <c r="A609" s="63"/>
    </row>
    <row r="610" spans="1:1" x14ac:dyDescent="0.4">
      <c r="A610" s="63"/>
    </row>
    <row r="611" spans="1:1" x14ac:dyDescent="0.4">
      <c r="A611" s="63"/>
    </row>
    <row r="612" spans="1:1" x14ac:dyDescent="0.4">
      <c r="A612" s="63"/>
    </row>
    <row r="613" spans="1:1" x14ac:dyDescent="0.4">
      <c r="A613" s="63"/>
    </row>
    <row r="614" spans="1:1" x14ac:dyDescent="0.4">
      <c r="A614" s="63"/>
    </row>
    <row r="615" spans="1:1" x14ac:dyDescent="0.4">
      <c r="A615" s="63"/>
    </row>
    <row r="616" spans="1:1" x14ac:dyDescent="0.4">
      <c r="A616" s="63"/>
    </row>
    <row r="617" spans="1:1" x14ac:dyDescent="0.4">
      <c r="A617" s="63"/>
    </row>
    <row r="618" spans="1:1" x14ac:dyDescent="0.4">
      <c r="A618" s="63"/>
    </row>
    <row r="619" spans="1:1" x14ac:dyDescent="0.4">
      <c r="A619" s="63"/>
    </row>
    <row r="620" spans="1:1" x14ac:dyDescent="0.4">
      <c r="A620" s="63"/>
    </row>
    <row r="621" spans="1:1" x14ac:dyDescent="0.4">
      <c r="A621" s="63"/>
    </row>
    <row r="622" spans="1:1" x14ac:dyDescent="0.4">
      <c r="A622" s="63"/>
    </row>
    <row r="623" spans="1:1" x14ac:dyDescent="0.4">
      <c r="A623" s="63"/>
    </row>
    <row r="624" spans="1:1" x14ac:dyDescent="0.4">
      <c r="A624" s="63"/>
    </row>
    <row r="625" spans="1:1" x14ac:dyDescent="0.4">
      <c r="A625" s="63"/>
    </row>
    <row r="626" spans="1:1" x14ac:dyDescent="0.4">
      <c r="A626" s="63"/>
    </row>
    <row r="627" spans="1:1" x14ac:dyDescent="0.4">
      <c r="A627" s="63"/>
    </row>
    <row r="628" spans="1:1" x14ac:dyDescent="0.4">
      <c r="A628" s="63"/>
    </row>
    <row r="629" spans="1:1" x14ac:dyDescent="0.4">
      <c r="A629" s="63"/>
    </row>
    <row r="630" spans="1:1" x14ac:dyDescent="0.4">
      <c r="A630" s="63"/>
    </row>
    <row r="631" spans="1:1" x14ac:dyDescent="0.4">
      <c r="A631" s="63"/>
    </row>
    <row r="632" spans="1:1" x14ac:dyDescent="0.4">
      <c r="A632" s="63"/>
    </row>
    <row r="633" spans="1:1" x14ac:dyDescent="0.4">
      <c r="A633" s="63"/>
    </row>
    <row r="634" spans="1:1" x14ac:dyDescent="0.4">
      <c r="A634" s="63"/>
    </row>
    <row r="635" spans="1:1" x14ac:dyDescent="0.4">
      <c r="A635" s="63"/>
    </row>
    <row r="636" spans="1:1" x14ac:dyDescent="0.4">
      <c r="A636" s="63"/>
    </row>
    <row r="637" spans="1:1" x14ac:dyDescent="0.4">
      <c r="A637" s="63"/>
    </row>
    <row r="638" spans="1:1" x14ac:dyDescent="0.4">
      <c r="A638" s="63"/>
    </row>
    <row r="639" spans="1:1" x14ac:dyDescent="0.4">
      <c r="A639" s="63"/>
    </row>
    <row r="640" spans="1:1" x14ac:dyDescent="0.4">
      <c r="A640" s="63"/>
    </row>
    <row r="641" spans="1:1" x14ac:dyDescent="0.4">
      <c r="A641" s="63"/>
    </row>
    <row r="642" spans="1:1" x14ac:dyDescent="0.4">
      <c r="A642" s="63"/>
    </row>
    <row r="643" spans="1:1" x14ac:dyDescent="0.4">
      <c r="A643" s="63"/>
    </row>
    <row r="644" spans="1:1" x14ac:dyDescent="0.4">
      <c r="A644" s="63"/>
    </row>
    <row r="645" spans="1:1" x14ac:dyDescent="0.4">
      <c r="A645" s="63"/>
    </row>
    <row r="646" spans="1:1" x14ac:dyDescent="0.4">
      <c r="A646" s="63"/>
    </row>
    <row r="647" spans="1:1" x14ac:dyDescent="0.4">
      <c r="A647" s="63"/>
    </row>
    <row r="648" spans="1:1" x14ac:dyDescent="0.4">
      <c r="A648" s="63"/>
    </row>
    <row r="649" spans="1:1" x14ac:dyDescent="0.4">
      <c r="A649" s="63"/>
    </row>
    <row r="650" spans="1:1" x14ac:dyDescent="0.4">
      <c r="A650" s="63"/>
    </row>
    <row r="651" spans="1:1" x14ac:dyDescent="0.4">
      <c r="A651" s="63"/>
    </row>
    <row r="652" spans="1:1" x14ac:dyDescent="0.4">
      <c r="A652" s="63"/>
    </row>
    <row r="653" spans="1:1" x14ac:dyDescent="0.4">
      <c r="A653" s="63"/>
    </row>
    <row r="654" spans="1:1" x14ac:dyDescent="0.4">
      <c r="A654" s="63"/>
    </row>
    <row r="655" spans="1:1" x14ac:dyDescent="0.4">
      <c r="A655" s="63"/>
    </row>
    <row r="656" spans="1:1" x14ac:dyDescent="0.4">
      <c r="A656" s="63"/>
    </row>
    <row r="657" spans="1:1" x14ac:dyDescent="0.4">
      <c r="A657" s="63"/>
    </row>
    <row r="658" spans="1:1" x14ac:dyDescent="0.4">
      <c r="A658" s="63"/>
    </row>
    <row r="659" spans="1:1" x14ac:dyDescent="0.4">
      <c r="A659" s="63"/>
    </row>
    <row r="660" spans="1:1" x14ac:dyDescent="0.4">
      <c r="A660" s="63"/>
    </row>
    <row r="661" spans="1:1" x14ac:dyDescent="0.4">
      <c r="A661" s="63"/>
    </row>
    <row r="662" spans="1:1" x14ac:dyDescent="0.4">
      <c r="A662" s="63"/>
    </row>
    <row r="663" spans="1:1" x14ac:dyDescent="0.4">
      <c r="A663" s="63"/>
    </row>
    <row r="664" spans="1:1" x14ac:dyDescent="0.4">
      <c r="A664" s="63"/>
    </row>
    <row r="665" spans="1:1" x14ac:dyDescent="0.4">
      <c r="A665" s="63"/>
    </row>
    <row r="666" spans="1:1" x14ac:dyDescent="0.4">
      <c r="A666" s="63"/>
    </row>
    <row r="667" spans="1:1" x14ac:dyDescent="0.4">
      <c r="A667" s="63"/>
    </row>
    <row r="668" spans="1:1" x14ac:dyDescent="0.4">
      <c r="A668" s="63"/>
    </row>
    <row r="669" spans="1:1" x14ac:dyDescent="0.4">
      <c r="A669" s="63"/>
    </row>
    <row r="670" spans="1:1" x14ac:dyDescent="0.4">
      <c r="A670" s="63"/>
    </row>
    <row r="671" spans="1:1" x14ac:dyDescent="0.4">
      <c r="A671" s="63"/>
    </row>
    <row r="672" spans="1:1" x14ac:dyDescent="0.4">
      <c r="A672" s="63"/>
    </row>
    <row r="673" spans="1:1" x14ac:dyDescent="0.4">
      <c r="A673" s="63"/>
    </row>
    <row r="674" spans="1:1" x14ac:dyDescent="0.4">
      <c r="A674" s="63"/>
    </row>
    <row r="675" spans="1:1" x14ac:dyDescent="0.4">
      <c r="A675" s="63"/>
    </row>
    <row r="676" spans="1:1" x14ac:dyDescent="0.4">
      <c r="A676" s="63"/>
    </row>
    <row r="677" spans="1:1" x14ac:dyDescent="0.4">
      <c r="A677" s="63"/>
    </row>
    <row r="678" spans="1:1" x14ac:dyDescent="0.4">
      <c r="A678" s="63"/>
    </row>
    <row r="679" spans="1:1" x14ac:dyDescent="0.4">
      <c r="A679" s="63"/>
    </row>
    <row r="680" spans="1:1" x14ac:dyDescent="0.4">
      <c r="A680" s="63"/>
    </row>
    <row r="681" spans="1:1" x14ac:dyDescent="0.4">
      <c r="A681" s="63"/>
    </row>
    <row r="682" spans="1:1" x14ac:dyDescent="0.4">
      <c r="A682" s="63"/>
    </row>
    <row r="683" spans="1:1" x14ac:dyDescent="0.4">
      <c r="A683" s="63"/>
    </row>
    <row r="684" spans="1:1" x14ac:dyDescent="0.4">
      <c r="A684" s="63"/>
    </row>
    <row r="685" spans="1:1" x14ac:dyDescent="0.4">
      <c r="A685" s="63"/>
    </row>
    <row r="686" spans="1:1" x14ac:dyDescent="0.4">
      <c r="A686" s="63"/>
    </row>
    <row r="687" spans="1:1" x14ac:dyDescent="0.4">
      <c r="A687" s="63"/>
    </row>
    <row r="688" spans="1:1" x14ac:dyDescent="0.4">
      <c r="A688" s="63"/>
    </row>
    <row r="689" spans="1:1" x14ac:dyDescent="0.4">
      <c r="A689" s="63"/>
    </row>
    <row r="690" spans="1:1" x14ac:dyDescent="0.4">
      <c r="A690" s="63"/>
    </row>
    <row r="691" spans="1:1" x14ac:dyDescent="0.4">
      <c r="A691" s="63"/>
    </row>
    <row r="692" spans="1:1" x14ac:dyDescent="0.4">
      <c r="A692" s="63"/>
    </row>
    <row r="693" spans="1:1" x14ac:dyDescent="0.4">
      <c r="A693" s="63"/>
    </row>
    <row r="694" spans="1:1" x14ac:dyDescent="0.4">
      <c r="A694" s="63"/>
    </row>
    <row r="695" spans="1:1" x14ac:dyDescent="0.4">
      <c r="A695" s="63"/>
    </row>
    <row r="696" spans="1:1" x14ac:dyDescent="0.4">
      <c r="A696" s="63"/>
    </row>
    <row r="697" spans="1:1" x14ac:dyDescent="0.4">
      <c r="A697" s="63"/>
    </row>
    <row r="698" spans="1:1" x14ac:dyDescent="0.4">
      <c r="A698" s="63"/>
    </row>
    <row r="699" spans="1:1" x14ac:dyDescent="0.4">
      <c r="A699" s="63"/>
    </row>
    <row r="700" spans="1:1" x14ac:dyDescent="0.4">
      <c r="A700" s="63"/>
    </row>
    <row r="701" spans="1:1" x14ac:dyDescent="0.4">
      <c r="A701" s="63"/>
    </row>
    <row r="702" spans="1:1" x14ac:dyDescent="0.4">
      <c r="A702" s="63"/>
    </row>
    <row r="703" spans="1:1" x14ac:dyDescent="0.4">
      <c r="A703" s="63"/>
    </row>
    <row r="704" spans="1:1" x14ac:dyDescent="0.4">
      <c r="A704" s="63"/>
    </row>
    <row r="705" spans="1:1" x14ac:dyDescent="0.4">
      <c r="A705" s="63"/>
    </row>
    <row r="706" spans="1:1" x14ac:dyDescent="0.4">
      <c r="A706" s="63"/>
    </row>
    <row r="707" spans="1:1" x14ac:dyDescent="0.4">
      <c r="A707" s="63"/>
    </row>
    <row r="708" spans="1:1" x14ac:dyDescent="0.4">
      <c r="A708" s="63"/>
    </row>
    <row r="709" spans="1:1" x14ac:dyDescent="0.4">
      <c r="A709" s="63"/>
    </row>
    <row r="710" spans="1:1" x14ac:dyDescent="0.4">
      <c r="A710" s="63"/>
    </row>
    <row r="711" spans="1:1" x14ac:dyDescent="0.4">
      <c r="A711" s="63"/>
    </row>
    <row r="712" spans="1:1" x14ac:dyDescent="0.4">
      <c r="A712" s="63"/>
    </row>
    <row r="713" spans="1:1" x14ac:dyDescent="0.4">
      <c r="A713" s="63"/>
    </row>
    <row r="714" spans="1:1" x14ac:dyDescent="0.4">
      <c r="A714" s="63"/>
    </row>
    <row r="715" spans="1:1" x14ac:dyDescent="0.4">
      <c r="A715" s="63"/>
    </row>
    <row r="716" spans="1:1" x14ac:dyDescent="0.4">
      <c r="A716" s="63"/>
    </row>
    <row r="717" spans="1:1" x14ac:dyDescent="0.4">
      <c r="A717" s="63"/>
    </row>
    <row r="718" spans="1:1" x14ac:dyDescent="0.4">
      <c r="A718" s="63"/>
    </row>
    <row r="719" spans="1:1" x14ac:dyDescent="0.4">
      <c r="A719" s="63"/>
    </row>
    <row r="720" spans="1:1" x14ac:dyDescent="0.4">
      <c r="A720" s="63"/>
    </row>
    <row r="721" spans="1:1" x14ac:dyDescent="0.4">
      <c r="A721" s="63"/>
    </row>
    <row r="722" spans="1:1" x14ac:dyDescent="0.4">
      <c r="A722" s="63"/>
    </row>
    <row r="723" spans="1:1" x14ac:dyDescent="0.4">
      <c r="A723" s="63"/>
    </row>
    <row r="724" spans="1:1" x14ac:dyDescent="0.4">
      <c r="A724" s="63"/>
    </row>
    <row r="725" spans="1:1" x14ac:dyDescent="0.4">
      <c r="A725" s="63"/>
    </row>
    <row r="726" spans="1:1" x14ac:dyDescent="0.4">
      <c r="A726" s="63"/>
    </row>
    <row r="727" spans="1:1" x14ac:dyDescent="0.4">
      <c r="A727" s="63"/>
    </row>
    <row r="728" spans="1:1" x14ac:dyDescent="0.4">
      <c r="A728" s="63"/>
    </row>
    <row r="729" spans="1:1" x14ac:dyDescent="0.4">
      <c r="A729" s="63"/>
    </row>
    <row r="730" spans="1:1" x14ac:dyDescent="0.4">
      <c r="A730" s="63"/>
    </row>
    <row r="731" spans="1:1" x14ac:dyDescent="0.4">
      <c r="A731" s="63"/>
    </row>
    <row r="732" spans="1:1" x14ac:dyDescent="0.4">
      <c r="A732" s="63"/>
    </row>
    <row r="733" spans="1:1" x14ac:dyDescent="0.4">
      <c r="A733" s="63"/>
    </row>
    <row r="734" spans="1:1" x14ac:dyDescent="0.4">
      <c r="A734" s="63"/>
    </row>
    <row r="735" spans="1:1" x14ac:dyDescent="0.4">
      <c r="A735" s="63"/>
    </row>
    <row r="736" spans="1:1" x14ac:dyDescent="0.4">
      <c r="A736" s="63"/>
    </row>
    <row r="737" spans="1:1" x14ac:dyDescent="0.4">
      <c r="A737" s="63"/>
    </row>
    <row r="738" spans="1:1" x14ac:dyDescent="0.4">
      <c r="A738" s="63"/>
    </row>
    <row r="739" spans="1:1" x14ac:dyDescent="0.4">
      <c r="A739" s="63"/>
    </row>
    <row r="740" spans="1:1" x14ac:dyDescent="0.4">
      <c r="A740" s="63"/>
    </row>
    <row r="741" spans="1:1" x14ac:dyDescent="0.4">
      <c r="A741" s="63"/>
    </row>
    <row r="742" spans="1:1" x14ac:dyDescent="0.4">
      <c r="A742" s="63"/>
    </row>
    <row r="743" spans="1:1" x14ac:dyDescent="0.4">
      <c r="A743" s="63"/>
    </row>
    <row r="744" spans="1:1" x14ac:dyDescent="0.4">
      <c r="A744" s="63"/>
    </row>
    <row r="745" spans="1:1" x14ac:dyDescent="0.4">
      <c r="A745" s="63"/>
    </row>
    <row r="746" spans="1:1" x14ac:dyDescent="0.4">
      <c r="A746" s="63"/>
    </row>
    <row r="747" spans="1:1" x14ac:dyDescent="0.4">
      <c r="A747" s="63"/>
    </row>
    <row r="748" spans="1:1" x14ac:dyDescent="0.4">
      <c r="A748" s="63"/>
    </row>
    <row r="749" spans="1:1" x14ac:dyDescent="0.4">
      <c r="A749" s="63"/>
    </row>
    <row r="750" spans="1:1" x14ac:dyDescent="0.4">
      <c r="A750" s="63"/>
    </row>
    <row r="751" spans="1:1" x14ac:dyDescent="0.4">
      <c r="A751" s="63"/>
    </row>
    <row r="752" spans="1:1" x14ac:dyDescent="0.4">
      <c r="A752" s="63"/>
    </row>
    <row r="753" spans="1:1" x14ac:dyDescent="0.4">
      <c r="A753" s="63"/>
    </row>
    <row r="754" spans="1:1" x14ac:dyDescent="0.4">
      <c r="A754" s="63"/>
    </row>
    <row r="755" spans="1:1" x14ac:dyDescent="0.4">
      <c r="A755" s="63"/>
    </row>
    <row r="756" spans="1:1" x14ac:dyDescent="0.4">
      <c r="A756" s="63"/>
    </row>
    <row r="757" spans="1:1" x14ac:dyDescent="0.4">
      <c r="A757" s="63"/>
    </row>
    <row r="758" spans="1:1" x14ac:dyDescent="0.4">
      <c r="A758" s="63"/>
    </row>
    <row r="759" spans="1:1" x14ac:dyDescent="0.4">
      <c r="A759" s="63"/>
    </row>
    <row r="760" spans="1:1" x14ac:dyDescent="0.4">
      <c r="A760" s="63"/>
    </row>
    <row r="761" spans="1:1" x14ac:dyDescent="0.4">
      <c r="A761" s="63"/>
    </row>
    <row r="762" spans="1:1" x14ac:dyDescent="0.4">
      <c r="A762" s="63"/>
    </row>
    <row r="763" spans="1:1" x14ac:dyDescent="0.4">
      <c r="A763" s="63"/>
    </row>
    <row r="764" spans="1:1" x14ac:dyDescent="0.4">
      <c r="A764" s="63"/>
    </row>
    <row r="765" spans="1:1" x14ac:dyDescent="0.4">
      <c r="A765" s="63"/>
    </row>
    <row r="766" spans="1:1" x14ac:dyDescent="0.4">
      <c r="A766" s="63"/>
    </row>
    <row r="767" spans="1:1" x14ac:dyDescent="0.4">
      <c r="A767" s="63"/>
    </row>
    <row r="768" spans="1:1" x14ac:dyDescent="0.4">
      <c r="A768" s="63"/>
    </row>
    <row r="769" spans="1:1" x14ac:dyDescent="0.4">
      <c r="A769" s="63"/>
    </row>
    <row r="770" spans="1:1" x14ac:dyDescent="0.4">
      <c r="A770" s="63"/>
    </row>
    <row r="771" spans="1:1" x14ac:dyDescent="0.4">
      <c r="A771" s="63"/>
    </row>
    <row r="772" spans="1:1" x14ac:dyDescent="0.4">
      <c r="A772" s="63"/>
    </row>
    <row r="773" spans="1:1" x14ac:dyDescent="0.4">
      <c r="A773" s="63"/>
    </row>
    <row r="774" spans="1:1" x14ac:dyDescent="0.4">
      <c r="A774" s="63"/>
    </row>
    <row r="775" spans="1:1" x14ac:dyDescent="0.4">
      <c r="A775" s="63"/>
    </row>
    <row r="776" spans="1:1" x14ac:dyDescent="0.4">
      <c r="A776" s="63"/>
    </row>
    <row r="777" spans="1:1" x14ac:dyDescent="0.4">
      <c r="A777" s="63"/>
    </row>
    <row r="778" spans="1:1" x14ac:dyDescent="0.4">
      <c r="A778" s="63"/>
    </row>
    <row r="779" spans="1:1" x14ac:dyDescent="0.4">
      <c r="A779" s="63"/>
    </row>
    <row r="780" spans="1:1" x14ac:dyDescent="0.4">
      <c r="A780" s="63"/>
    </row>
    <row r="781" spans="1:1" x14ac:dyDescent="0.4">
      <c r="A781" s="63"/>
    </row>
    <row r="782" spans="1:1" x14ac:dyDescent="0.4">
      <c r="A782" s="63"/>
    </row>
    <row r="783" spans="1:1" x14ac:dyDescent="0.4">
      <c r="A783" s="63"/>
    </row>
    <row r="784" spans="1:1" x14ac:dyDescent="0.4">
      <c r="A784" s="63"/>
    </row>
    <row r="785" spans="1:1" x14ac:dyDescent="0.4">
      <c r="A785" s="63"/>
    </row>
    <row r="786" spans="1:1" x14ac:dyDescent="0.4">
      <c r="A786" s="63"/>
    </row>
    <row r="787" spans="1:1" x14ac:dyDescent="0.4">
      <c r="A787" s="63"/>
    </row>
    <row r="788" spans="1:1" x14ac:dyDescent="0.4">
      <c r="A788" s="63"/>
    </row>
    <row r="789" spans="1:1" x14ac:dyDescent="0.4">
      <c r="A789" s="63"/>
    </row>
    <row r="790" spans="1:1" x14ac:dyDescent="0.4">
      <c r="A790" s="63"/>
    </row>
    <row r="791" spans="1:1" x14ac:dyDescent="0.4">
      <c r="A791" s="63"/>
    </row>
    <row r="792" spans="1:1" x14ac:dyDescent="0.4">
      <c r="A792" s="63"/>
    </row>
    <row r="793" spans="1:1" x14ac:dyDescent="0.4">
      <c r="A793" s="63"/>
    </row>
    <row r="794" spans="1:1" x14ac:dyDescent="0.4">
      <c r="A794" s="63"/>
    </row>
    <row r="795" spans="1:1" x14ac:dyDescent="0.4">
      <c r="A795" s="63"/>
    </row>
    <row r="796" spans="1:1" x14ac:dyDescent="0.4">
      <c r="A796" s="63"/>
    </row>
    <row r="797" spans="1:1" x14ac:dyDescent="0.4">
      <c r="A797" s="63"/>
    </row>
    <row r="798" spans="1:1" x14ac:dyDescent="0.4">
      <c r="A798" s="63"/>
    </row>
    <row r="799" spans="1:1" x14ac:dyDescent="0.4">
      <c r="A799" s="63"/>
    </row>
    <row r="800" spans="1:1" x14ac:dyDescent="0.4">
      <c r="A800" s="63"/>
    </row>
    <row r="801" spans="1:1" x14ac:dyDescent="0.4">
      <c r="A801" s="63"/>
    </row>
    <row r="802" spans="1:1" x14ac:dyDescent="0.4">
      <c r="A802" s="63"/>
    </row>
    <row r="803" spans="1:1" x14ac:dyDescent="0.4">
      <c r="A803" s="63"/>
    </row>
    <row r="804" spans="1:1" x14ac:dyDescent="0.4">
      <c r="A804" s="63"/>
    </row>
    <row r="805" spans="1:1" x14ac:dyDescent="0.4">
      <c r="A805" s="63"/>
    </row>
    <row r="806" spans="1:1" x14ac:dyDescent="0.4">
      <c r="A806" s="63"/>
    </row>
    <row r="807" spans="1:1" x14ac:dyDescent="0.4">
      <c r="A807" s="63"/>
    </row>
    <row r="808" spans="1:1" x14ac:dyDescent="0.4">
      <c r="A808" s="63"/>
    </row>
    <row r="809" spans="1:1" x14ac:dyDescent="0.4">
      <c r="A809" s="63"/>
    </row>
    <row r="810" spans="1:1" x14ac:dyDescent="0.4">
      <c r="A810" s="63"/>
    </row>
    <row r="811" spans="1:1" x14ac:dyDescent="0.4">
      <c r="A811" s="63"/>
    </row>
    <row r="812" spans="1:1" x14ac:dyDescent="0.4">
      <c r="A812" s="63"/>
    </row>
    <row r="813" spans="1:1" x14ac:dyDescent="0.4">
      <c r="A813" s="63"/>
    </row>
    <row r="814" spans="1:1" x14ac:dyDescent="0.4">
      <c r="A814" s="63"/>
    </row>
    <row r="815" spans="1:1" x14ac:dyDescent="0.4">
      <c r="A815" s="63"/>
    </row>
    <row r="816" spans="1:1" x14ac:dyDescent="0.4">
      <c r="A816" s="63"/>
    </row>
    <row r="817" spans="1:1" x14ac:dyDescent="0.4">
      <c r="A817" s="63"/>
    </row>
    <row r="818" spans="1:1" x14ac:dyDescent="0.4">
      <c r="A818" s="63"/>
    </row>
    <row r="819" spans="1:1" x14ac:dyDescent="0.4">
      <c r="A819" s="63"/>
    </row>
    <row r="820" spans="1:1" x14ac:dyDescent="0.4">
      <c r="A820" s="63"/>
    </row>
    <row r="821" spans="1:1" x14ac:dyDescent="0.4">
      <c r="A821" s="63"/>
    </row>
    <row r="822" spans="1:1" x14ac:dyDescent="0.4">
      <c r="A822" s="63"/>
    </row>
    <row r="823" spans="1:1" x14ac:dyDescent="0.4">
      <c r="A823" s="63"/>
    </row>
    <row r="824" spans="1:1" x14ac:dyDescent="0.4">
      <c r="A824" s="63"/>
    </row>
    <row r="825" spans="1:1" x14ac:dyDescent="0.4">
      <c r="A825" s="63"/>
    </row>
    <row r="826" spans="1:1" x14ac:dyDescent="0.4">
      <c r="A826" s="63"/>
    </row>
    <row r="827" spans="1:1" x14ac:dyDescent="0.4">
      <c r="A827" s="63"/>
    </row>
    <row r="828" spans="1:1" x14ac:dyDescent="0.4">
      <c r="A828" s="63"/>
    </row>
    <row r="829" spans="1:1" x14ac:dyDescent="0.4">
      <c r="A829" s="63"/>
    </row>
    <row r="830" spans="1:1" x14ac:dyDescent="0.4">
      <c r="A830" s="63"/>
    </row>
    <row r="831" spans="1:1" x14ac:dyDescent="0.4">
      <c r="A831" s="63"/>
    </row>
    <row r="832" spans="1:1" x14ac:dyDescent="0.4">
      <c r="A832" s="63"/>
    </row>
    <row r="833" spans="1:1" x14ac:dyDescent="0.4">
      <c r="A833" s="63"/>
    </row>
    <row r="834" spans="1:1" x14ac:dyDescent="0.4">
      <c r="A834" s="63"/>
    </row>
    <row r="835" spans="1:1" x14ac:dyDescent="0.4">
      <c r="A835" s="63"/>
    </row>
    <row r="836" spans="1:1" x14ac:dyDescent="0.4">
      <c r="A836" s="63"/>
    </row>
    <row r="837" spans="1:1" x14ac:dyDescent="0.4">
      <c r="A837" s="63"/>
    </row>
    <row r="838" spans="1:1" x14ac:dyDescent="0.4">
      <c r="A838" s="63"/>
    </row>
    <row r="839" spans="1:1" x14ac:dyDescent="0.4">
      <c r="A839" s="63"/>
    </row>
    <row r="840" spans="1:1" x14ac:dyDescent="0.4">
      <c r="A840" s="63"/>
    </row>
    <row r="841" spans="1:1" x14ac:dyDescent="0.4">
      <c r="A841" s="63"/>
    </row>
    <row r="842" spans="1:1" x14ac:dyDescent="0.4">
      <c r="A842" s="63"/>
    </row>
    <row r="843" spans="1:1" x14ac:dyDescent="0.4">
      <c r="A843" s="63"/>
    </row>
    <row r="844" spans="1:1" x14ac:dyDescent="0.4">
      <c r="A844" s="63"/>
    </row>
    <row r="845" spans="1:1" x14ac:dyDescent="0.4">
      <c r="A845" s="63"/>
    </row>
    <row r="846" spans="1:1" x14ac:dyDescent="0.4">
      <c r="A846" s="63"/>
    </row>
    <row r="847" spans="1:1" x14ac:dyDescent="0.4">
      <c r="A847" s="63"/>
    </row>
    <row r="848" spans="1:1" x14ac:dyDescent="0.4">
      <c r="A848" s="63"/>
    </row>
    <row r="849" spans="1:1" x14ac:dyDescent="0.4">
      <c r="A849" s="63"/>
    </row>
    <row r="850" spans="1:1" x14ac:dyDescent="0.4">
      <c r="A850" s="63"/>
    </row>
    <row r="851" spans="1:1" x14ac:dyDescent="0.4">
      <c r="A851" s="63"/>
    </row>
    <row r="852" spans="1:1" x14ac:dyDescent="0.4">
      <c r="A852" s="63"/>
    </row>
    <row r="853" spans="1:1" x14ac:dyDescent="0.4">
      <c r="A853" s="63"/>
    </row>
    <row r="854" spans="1:1" x14ac:dyDescent="0.4">
      <c r="A854" s="63"/>
    </row>
    <row r="855" spans="1:1" x14ac:dyDescent="0.4">
      <c r="A855" s="63"/>
    </row>
    <row r="856" spans="1:1" x14ac:dyDescent="0.4">
      <c r="A856" s="63"/>
    </row>
    <row r="857" spans="1:1" x14ac:dyDescent="0.4">
      <c r="A857" s="63"/>
    </row>
    <row r="858" spans="1:1" x14ac:dyDescent="0.4">
      <c r="A858" s="63"/>
    </row>
    <row r="859" spans="1:1" x14ac:dyDescent="0.4">
      <c r="A859" s="63"/>
    </row>
    <row r="860" spans="1:1" x14ac:dyDescent="0.4">
      <c r="A860" s="63"/>
    </row>
    <row r="861" spans="1:1" x14ac:dyDescent="0.4">
      <c r="A861" s="63"/>
    </row>
    <row r="862" spans="1:1" x14ac:dyDescent="0.4">
      <c r="A862" s="63"/>
    </row>
    <row r="863" spans="1:1" x14ac:dyDescent="0.4">
      <c r="A863" s="63"/>
    </row>
    <row r="864" spans="1:1" x14ac:dyDescent="0.4">
      <c r="A864" s="63"/>
    </row>
    <row r="865" spans="1:1" x14ac:dyDescent="0.4">
      <c r="A865" s="63"/>
    </row>
    <row r="866" spans="1:1" x14ac:dyDescent="0.4">
      <c r="A866" s="63"/>
    </row>
    <row r="867" spans="1:1" x14ac:dyDescent="0.4">
      <c r="A867" s="63"/>
    </row>
    <row r="868" spans="1:1" x14ac:dyDescent="0.4">
      <c r="A868" s="63"/>
    </row>
    <row r="869" spans="1:1" x14ac:dyDescent="0.4">
      <c r="A869" s="63"/>
    </row>
    <row r="870" spans="1:1" x14ac:dyDescent="0.4">
      <c r="A870" s="63"/>
    </row>
    <row r="871" spans="1:1" x14ac:dyDescent="0.4">
      <c r="A871" s="63"/>
    </row>
    <row r="872" spans="1:1" x14ac:dyDescent="0.4">
      <c r="A872" s="63"/>
    </row>
    <row r="873" spans="1:1" x14ac:dyDescent="0.4">
      <c r="A873" s="63"/>
    </row>
    <row r="874" spans="1:1" x14ac:dyDescent="0.4">
      <c r="A874" s="63"/>
    </row>
    <row r="875" spans="1:1" x14ac:dyDescent="0.4">
      <c r="A875" s="63"/>
    </row>
    <row r="876" spans="1:1" x14ac:dyDescent="0.4">
      <c r="A876" s="63"/>
    </row>
    <row r="877" spans="1:1" x14ac:dyDescent="0.4">
      <c r="A877" s="63"/>
    </row>
    <row r="878" spans="1:1" x14ac:dyDescent="0.4">
      <c r="A878" s="63"/>
    </row>
    <row r="879" spans="1:1" x14ac:dyDescent="0.4">
      <c r="A879" s="63"/>
    </row>
    <row r="880" spans="1:1" x14ac:dyDescent="0.4">
      <c r="A880" s="63"/>
    </row>
    <row r="881" spans="1:1" x14ac:dyDescent="0.4">
      <c r="A881" s="63"/>
    </row>
    <row r="882" spans="1:1" x14ac:dyDescent="0.4">
      <c r="A882" s="63"/>
    </row>
    <row r="883" spans="1:1" x14ac:dyDescent="0.4">
      <c r="A883" s="63"/>
    </row>
    <row r="884" spans="1:1" x14ac:dyDescent="0.4">
      <c r="A884" s="63"/>
    </row>
    <row r="885" spans="1:1" x14ac:dyDescent="0.4">
      <c r="A885" s="63"/>
    </row>
    <row r="886" spans="1:1" x14ac:dyDescent="0.4">
      <c r="A886" s="63"/>
    </row>
    <row r="887" spans="1:1" x14ac:dyDescent="0.4">
      <c r="A887" s="63"/>
    </row>
    <row r="888" spans="1:1" x14ac:dyDescent="0.4">
      <c r="A888" s="63"/>
    </row>
    <row r="889" spans="1:1" x14ac:dyDescent="0.4">
      <c r="A889" s="63"/>
    </row>
    <row r="890" spans="1:1" x14ac:dyDescent="0.4">
      <c r="A890" s="63"/>
    </row>
    <row r="891" spans="1:1" x14ac:dyDescent="0.4">
      <c r="A891" s="63"/>
    </row>
    <row r="892" spans="1:1" x14ac:dyDescent="0.4">
      <c r="A892" s="63"/>
    </row>
    <row r="893" spans="1:1" x14ac:dyDescent="0.4">
      <c r="A893" s="63"/>
    </row>
    <row r="894" spans="1:1" x14ac:dyDescent="0.4">
      <c r="A894" s="63"/>
    </row>
    <row r="895" spans="1:1" x14ac:dyDescent="0.4">
      <c r="A895" s="63"/>
    </row>
    <row r="896" spans="1:1" x14ac:dyDescent="0.4">
      <c r="A896" s="63"/>
    </row>
    <row r="897" spans="1:1" x14ac:dyDescent="0.4">
      <c r="A897" s="63"/>
    </row>
    <row r="898" spans="1:1" x14ac:dyDescent="0.4">
      <c r="A898" s="63"/>
    </row>
    <row r="899" spans="1:1" x14ac:dyDescent="0.4">
      <c r="A899" s="63"/>
    </row>
    <row r="900" spans="1:1" x14ac:dyDescent="0.4">
      <c r="A900" s="63"/>
    </row>
    <row r="901" spans="1:1" x14ac:dyDescent="0.4">
      <c r="A901" s="63"/>
    </row>
    <row r="902" spans="1:1" x14ac:dyDescent="0.4">
      <c r="A902" s="63"/>
    </row>
    <row r="903" spans="1:1" x14ac:dyDescent="0.4">
      <c r="A903" s="63"/>
    </row>
    <row r="904" spans="1:1" x14ac:dyDescent="0.4">
      <c r="A904" s="63"/>
    </row>
    <row r="905" spans="1:1" x14ac:dyDescent="0.4">
      <c r="A905" s="63"/>
    </row>
    <row r="906" spans="1:1" x14ac:dyDescent="0.4">
      <c r="A906" s="63"/>
    </row>
    <row r="907" spans="1:1" x14ac:dyDescent="0.4">
      <c r="A907" s="63"/>
    </row>
    <row r="908" spans="1:1" x14ac:dyDescent="0.4">
      <c r="A908" s="63"/>
    </row>
    <row r="909" spans="1:1" x14ac:dyDescent="0.4">
      <c r="A909" s="63"/>
    </row>
    <row r="910" spans="1:1" x14ac:dyDescent="0.4">
      <c r="A910" s="63"/>
    </row>
    <row r="911" spans="1:1" x14ac:dyDescent="0.4">
      <c r="A911" s="63"/>
    </row>
    <row r="912" spans="1:1" x14ac:dyDescent="0.4">
      <c r="A912" s="63"/>
    </row>
    <row r="913" spans="1:1" x14ac:dyDescent="0.4">
      <c r="A913" s="63"/>
    </row>
    <row r="914" spans="1:1" x14ac:dyDescent="0.4">
      <c r="A914" s="63"/>
    </row>
    <row r="915" spans="1:1" x14ac:dyDescent="0.4">
      <c r="A915" s="63"/>
    </row>
    <row r="916" spans="1:1" x14ac:dyDescent="0.4">
      <c r="A916" s="63"/>
    </row>
    <row r="917" spans="1:1" x14ac:dyDescent="0.4">
      <c r="A917" s="63"/>
    </row>
    <row r="918" spans="1:1" x14ac:dyDescent="0.4">
      <c r="A918" s="63"/>
    </row>
    <row r="919" spans="1:1" x14ac:dyDescent="0.4">
      <c r="A919" s="63"/>
    </row>
    <row r="920" spans="1:1" x14ac:dyDescent="0.4">
      <c r="A920" s="63"/>
    </row>
    <row r="921" spans="1:1" x14ac:dyDescent="0.4">
      <c r="A921" s="63"/>
    </row>
    <row r="922" spans="1:1" x14ac:dyDescent="0.4">
      <c r="A922" s="63"/>
    </row>
    <row r="923" spans="1:1" x14ac:dyDescent="0.4">
      <c r="A923" s="63"/>
    </row>
    <row r="924" spans="1:1" x14ac:dyDescent="0.4">
      <c r="A924" s="63"/>
    </row>
    <row r="925" spans="1:1" x14ac:dyDescent="0.4">
      <c r="A925" s="63"/>
    </row>
    <row r="926" spans="1:1" x14ac:dyDescent="0.4">
      <c r="A926" s="63"/>
    </row>
    <row r="927" spans="1:1" x14ac:dyDescent="0.4">
      <c r="A927" s="63"/>
    </row>
    <row r="928" spans="1:1" x14ac:dyDescent="0.4">
      <c r="A928" s="63"/>
    </row>
    <row r="929" spans="1:1" x14ac:dyDescent="0.4">
      <c r="A929" s="63"/>
    </row>
    <row r="930" spans="1:1" x14ac:dyDescent="0.4">
      <c r="A930" s="63"/>
    </row>
    <row r="931" spans="1:1" x14ac:dyDescent="0.4">
      <c r="A931" s="63"/>
    </row>
    <row r="932" spans="1:1" x14ac:dyDescent="0.4">
      <c r="A932" s="63"/>
    </row>
    <row r="933" spans="1:1" x14ac:dyDescent="0.4">
      <c r="A933" s="63"/>
    </row>
    <row r="934" spans="1:1" x14ac:dyDescent="0.4">
      <c r="A934" s="63"/>
    </row>
    <row r="935" spans="1:1" x14ac:dyDescent="0.4">
      <c r="A935" s="63"/>
    </row>
    <row r="936" spans="1:1" x14ac:dyDescent="0.4">
      <c r="A936" s="63"/>
    </row>
    <row r="937" spans="1:1" x14ac:dyDescent="0.4">
      <c r="A937" s="63"/>
    </row>
    <row r="938" spans="1:1" x14ac:dyDescent="0.4">
      <c r="A938" s="63"/>
    </row>
    <row r="939" spans="1:1" x14ac:dyDescent="0.4">
      <c r="A939" s="63"/>
    </row>
    <row r="940" spans="1:1" x14ac:dyDescent="0.4">
      <c r="A940" s="63"/>
    </row>
    <row r="941" spans="1:1" x14ac:dyDescent="0.4">
      <c r="A941" s="63"/>
    </row>
    <row r="942" spans="1:1" x14ac:dyDescent="0.4">
      <c r="A942" s="63"/>
    </row>
    <row r="943" spans="1:1" x14ac:dyDescent="0.4">
      <c r="A943" s="63"/>
    </row>
    <row r="944" spans="1:1" x14ac:dyDescent="0.4">
      <c r="A944" s="63"/>
    </row>
    <row r="945" spans="1:1" x14ac:dyDescent="0.4">
      <c r="A945" s="63"/>
    </row>
    <row r="946" spans="1:1" x14ac:dyDescent="0.4">
      <c r="A946" s="63"/>
    </row>
    <row r="947" spans="1:1" x14ac:dyDescent="0.4">
      <c r="A947" s="63"/>
    </row>
    <row r="948" spans="1:1" x14ac:dyDescent="0.4">
      <c r="A948" s="63"/>
    </row>
    <row r="949" spans="1:1" x14ac:dyDescent="0.4">
      <c r="A949" s="63"/>
    </row>
    <row r="950" spans="1:1" x14ac:dyDescent="0.4">
      <c r="A950" s="63"/>
    </row>
    <row r="951" spans="1:1" x14ac:dyDescent="0.4">
      <c r="A951" s="63"/>
    </row>
    <row r="952" spans="1:1" x14ac:dyDescent="0.4">
      <c r="A952" s="63"/>
    </row>
    <row r="953" spans="1:1" x14ac:dyDescent="0.4">
      <c r="A953" s="63"/>
    </row>
    <row r="954" spans="1:1" x14ac:dyDescent="0.4">
      <c r="A954" s="63"/>
    </row>
    <row r="955" spans="1:1" x14ac:dyDescent="0.4">
      <c r="A955" s="63"/>
    </row>
    <row r="956" spans="1:1" x14ac:dyDescent="0.4">
      <c r="A956" s="63"/>
    </row>
    <row r="957" spans="1:1" x14ac:dyDescent="0.4">
      <c r="A957" s="63"/>
    </row>
    <row r="958" spans="1:1" x14ac:dyDescent="0.4">
      <c r="A958" s="63"/>
    </row>
    <row r="959" spans="1:1" x14ac:dyDescent="0.4">
      <c r="A959" s="63"/>
    </row>
    <row r="960" spans="1:1" x14ac:dyDescent="0.4">
      <c r="A960" s="63"/>
    </row>
    <row r="961" spans="1:1" x14ac:dyDescent="0.4">
      <c r="A961" s="63"/>
    </row>
    <row r="962" spans="1:1" x14ac:dyDescent="0.4">
      <c r="A962" s="63"/>
    </row>
    <row r="963" spans="1:1" x14ac:dyDescent="0.4">
      <c r="A963" s="63"/>
    </row>
    <row r="964" spans="1:1" x14ac:dyDescent="0.4">
      <c r="A964" s="63"/>
    </row>
    <row r="965" spans="1:1" x14ac:dyDescent="0.4">
      <c r="A965" s="63"/>
    </row>
    <row r="966" spans="1:1" x14ac:dyDescent="0.4">
      <c r="A966" s="63"/>
    </row>
    <row r="967" spans="1:1" x14ac:dyDescent="0.4">
      <c r="A967" s="63"/>
    </row>
    <row r="968" spans="1:1" x14ac:dyDescent="0.4">
      <c r="A968" s="63"/>
    </row>
    <row r="969" spans="1:1" x14ac:dyDescent="0.4">
      <c r="A969" s="63"/>
    </row>
    <row r="970" spans="1:1" x14ac:dyDescent="0.4">
      <c r="A970" s="63"/>
    </row>
    <row r="971" spans="1:1" x14ac:dyDescent="0.4">
      <c r="A971" s="63"/>
    </row>
    <row r="972" spans="1:1" x14ac:dyDescent="0.4">
      <c r="A972" s="63"/>
    </row>
    <row r="973" spans="1:1" x14ac:dyDescent="0.4">
      <c r="A973" s="63"/>
    </row>
    <row r="974" spans="1:1" x14ac:dyDescent="0.4">
      <c r="A974" s="63"/>
    </row>
    <row r="975" spans="1:1" x14ac:dyDescent="0.4">
      <c r="A975" s="63"/>
    </row>
    <row r="976" spans="1:1" x14ac:dyDescent="0.4">
      <c r="A976" s="63"/>
    </row>
    <row r="977" spans="1:1" x14ac:dyDescent="0.4">
      <c r="A977" s="63"/>
    </row>
    <row r="978" spans="1:1" x14ac:dyDescent="0.4">
      <c r="A978" s="63"/>
    </row>
    <row r="979" spans="1:1" x14ac:dyDescent="0.4">
      <c r="A979" s="63"/>
    </row>
    <row r="980" spans="1:1" x14ac:dyDescent="0.4">
      <c r="A980" s="63"/>
    </row>
    <row r="981" spans="1:1" x14ac:dyDescent="0.4">
      <c r="A981" s="63"/>
    </row>
    <row r="982" spans="1:1" x14ac:dyDescent="0.4">
      <c r="A982" s="63"/>
    </row>
    <row r="983" spans="1:1" x14ac:dyDescent="0.4">
      <c r="A983" s="63"/>
    </row>
    <row r="984" spans="1:1" x14ac:dyDescent="0.4">
      <c r="A984" s="63"/>
    </row>
    <row r="985" spans="1:1" x14ac:dyDescent="0.4">
      <c r="A985" s="63"/>
    </row>
    <row r="986" spans="1:1" x14ac:dyDescent="0.4">
      <c r="A986" s="63"/>
    </row>
    <row r="987" spans="1:1" x14ac:dyDescent="0.4">
      <c r="A987" s="63"/>
    </row>
    <row r="988" spans="1:1" x14ac:dyDescent="0.4">
      <c r="A988" s="63"/>
    </row>
    <row r="989" spans="1:1" x14ac:dyDescent="0.4">
      <c r="A989" s="63"/>
    </row>
    <row r="990" spans="1:1" x14ac:dyDescent="0.4">
      <c r="A990" s="63"/>
    </row>
    <row r="991" spans="1:1" x14ac:dyDescent="0.4">
      <c r="A991" s="63"/>
    </row>
    <row r="992" spans="1:1" x14ac:dyDescent="0.4">
      <c r="A992" s="63"/>
    </row>
    <row r="993" spans="1:1" x14ac:dyDescent="0.4">
      <c r="A993" s="63"/>
    </row>
    <row r="994" spans="1:1" x14ac:dyDescent="0.4">
      <c r="A994" s="63"/>
    </row>
    <row r="995" spans="1:1" x14ac:dyDescent="0.4">
      <c r="A995" s="63"/>
    </row>
    <row r="996" spans="1:1" x14ac:dyDescent="0.4">
      <c r="A996" s="63"/>
    </row>
    <row r="997" spans="1:1" x14ac:dyDescent="0.4">
      <c r="A997" s="63"/>
    </row>
    <row r="998" spans="1:1" x14ac:dyDescent="0.4">
      <c r="A998" s="63"/>
    </row>
    <row r="999" spans="1:1" x14ac:dyDescent="0.4">
      <c r="A999" s="63"/>
    </row>
    <row r="1000" spans="1:1" x14ac:dyDescent="0.4">
      <c r="A1000" s="63"/>
    </row>
    <row r="1001" spans="1:1" x14ac:dyDescent="0.4">
      <c r="A1001" s="63"/>
    </row>
    <row r="1002" spans="1:1" x14ac:dyDescent="0.4">
      <c r="A1002" s="63"/>
    </row>
    <row r="1003" spans="1:1" x14ac:dyDescent="0.4">
      <c r="A1003" s="63"/>
    </row>
    <row r="1004" spans="1:1" x14ac:dyDescent="0.4">
      <c r="A1004" s="63"/>
    </row>
    <row r="1005" spans="1:1" x14ac:dyDescent="0.4">
      <c r="A1005" s="63"/>
    </row>
    <row r="1006" spans="1:1" x14ac:dyDescent="0.4">
      <c r="A1006" s="63"/>
    </row>
    <row r="1007" spans="1:1" x14ac:dyDescent="0.4">
      <c r="A1007" s="63"/>
    </row>
    <row r="1008" spans="1:1" x14ac:dyDescent="0.4">
      <c r="A1008" s="63"/>
    </row>
    <row r="1009" spans="1:1" x14ac:dyDescent="0.4">
      <c r="A1009" s="63"/>
    </row>
    <row r="1010" spans="1:1" x14ac:dyDescent="0.4">
      <c r="A1010" s="63"/>
    </row>
    <row r="1011" spans="1:1" x14ac:dyDescent="0.4">
      <c r="A1011" s="63"/>
    </row>
    <row r="1012" spans="1:1" x14ac:dyDescent="0.4">
      <c r="A1012" s="63"/>
    </row>
    <row r="1013" spans="1:1" x14ac:dyDescent="0.4">
      <c r="A1013" s="63"/>
    </row>
    <row r="1014" spans="1:1" x14ac:dyDescent="0.4">
      <c r="A1014" s="63"/>
    </row>
    <row r="1015" spans="1:1" x14ac:dyDescent="0.4">
      <c r="A1015" s="63"/>
    </row>
    <row r="1016" spans="1:1" x14ac:dyDescent="0.4">
      <c r="A1016" s="63"/>
    </row>
    <row r="1017" spans="1:1" x14ac:dyDescent="0.4">
      <c r="A1017" s="63"/>
    </row>
    <row r="1018" spans="1:1" x14ac:dyDescent="0.4">
      <c r="A1018" s="63"/>
    </row>
    <row r="1019" spans="1:1" x14ac:dyDescent="0.4">
      <c r="A1019" s="63"/>
    </row>
    <row r="1020" spans="1:1" x14ac:dyDescent="0.4">
      <c r="A1020" s="63"/>
    </row>
    <row r="1021" spans="1:1" x14ac:dyDescent="0.4">
      <c r="A1021" s="63"/>
    </row>
    <row r="1022" spans="1:1" x14ac:dyDescent="0.4">
      <c r="A1022" s="63"/>
    </row>
    <row r="1023" spans="1:1" x14ac:dyDescent="0.4">
      <c r="A1023" s="63"/>
    </row>
    <row r="1024" spans="1:1" x14ac:dyDescent="0.4">
      <c r="A1024" s="63"/>
    </row>
    <row r="1025" spans="1:1" x14ac:dyDescent="0.4">
      <c r="A1025" s="63"/>
    </row>
    <row r="1026" spans="1:1" x14ac:dyDescent="0.4">
      <c r="A1026" s="63"/>
    </row>
    <row r="1027" spans="1:1" x14ac:dyDescent="0.4">
      <c r="A1027" s="63"/>
    </row>
    <row r="1028" spans="1:1" x14ac:dyDescent="0.4">
      <c r="A1028" s="63"/>
    </row>
    <row r="1029" spans="1:1" x14ac:dyDescent="0.4">
      <c r="A1029" s="63"/>
    </row>
    <row r="1030" spans="1:1" x14ac:dyDescent="0.4">
      <c r="A1030" s="63"/>
    </row>
    <row r="1031" spans="1:1" x14ac:dyDescent="0.4">
      <c r="A1031" s="63"/>
    </row>
    <row r="1032" spans="1:1" x14ac:dyDescent="0.4">
      <c r="A1032" s="63"/>
    </row>
    <row r="1033" spans="1:1" x14ac:dyDescent="0.4">
      <c r="A1033" s="63"/>
    </row>
    <row r="1034" spans="1:1" x14ac:dyDescent="0.4">
      <c r="A1034" s="63"/>
    </row>
    <row r="1035" spans="1:1" x14ac:dyDescent="0.4">
      <c r="A1035" s="63"/>
    </row>
    <row r="1036" spans="1:1" x14ac:dyDescent="0.4">
      <c r="A1036" s="63"/>
    </row>
    <row r="1037" spans="1:1" x14ac:dyDescent="0.4">
      <c r="A1037" s="63"/>
    </row>
    <row r="1038" spans="1:1" x14ac:dyDescent="0.4">
      <c r="A1038" s="63"/>
    </row>
    <row r="1039" spans="1:1" x14ac:dyDescent="0.4">
      <c r="A1039" s="63"/>
    </row>
    <row r="1040" spans="1:1" x14ac:dyDescent="0.4">
      <c r="A1040" s="63"/>
    </row>
    <row r="1041" spans="1:1" x14ac:dyDescent="0.4">
      <c r="A1041" s="63"/>
    </row>
    <row r="1042" spans="1:1" x14ac:dyDescent="0.4">
      <c r="A1042" s="63"/>
    </row>
    <row r="1043" spans="1:1" x14ac:dyDescent="0.4">
      <c r="A1043" s="63"/>
    </row>
    <row r="1044" spans="1:1" x14ac:dyDescent="0.4">
      <c r="A1044" s="63"/>
    </row>
    <row r="1045" spans="1:1" x14ac:dyDescent="0.4">
      <c r="A1045" s="63"/>
    </row>
    <row r="1046" spans="1:1" x14ac:dyDescent="0.4">
      <c r="A1046" s="63"/>
    </row>
    <row r="1047" spans="1:1" x14ac:dyDescent="0.4">
      <c r="A1047" s="63"/>
    </row>
    <row r="1048" spans="1:1" x14ac:dyDescent="0.4">
      <c r="A1048" s="63"/>
    </row>
    <row r="1049" spans="1:1" x14ac:dyDescent="0.4">
      <c r="A1049" s="63"/>
    </row>
    <row r="1050" spans="1:1" x14ac:dyDescent="0.4">
      <c r="A1050" s="63"/>
    </row>
    <row r="1051" spans="1:1" x14ac:dyDescent="0.4">
      <c r="A1051" s="63"/>
    </row>
    <row r="1052" spans="1:1" x14ac:dyDescent="0.4">
      <c r="A1052" s="63"/>
    </row>
    <row r="1053" spans="1:1" x14ac:dyDescent="0.4">
      <c r="A1053" s="63"/>
    </row>
    <row r="1054" spans="1:1" x14ac:dyDescent="0.4">
      <c r="A1054" s="63"/>
    </row>
    <row r="1055" spans="1:1" x14ac:dyDescent="0.4">
      <c r="A1055" s="63"/>
    </row>
    <row r="1056" spans="1:1" x14ac:dyDescent="0.4">
      <c r="A1056" s="63"/>
    </row>
    <row r="1057" spans="1:1" x14ac:dyDescent="0.4">
      <c r="A1057" s="63"/>
    </row>
    <row r="1058" spans="1:1" x14ac:dyDescent="0.4">
      <c r="A1058" s="63"/>
    </row>
    <row r="1059" spans="1:1" x14ac:dyDescent="0.4">
      <c r="A1059" s="63"/>
    </row>
    <row r="1060" spans="1:1" x14ac:dyDescent="0.4">
      <c r="A1060" s="63"/>
    </row>
    <row r="1061" spans="1:1" x14ac:dyDescent="0.4">
      <c r="A1061" s="63"/>
    </row>
    <row r="1062" spans="1:1" x14ac:dyDescent="0.4">
      <c r="A1062" s="63"/>
    </row>
    <row r="1063" spans="1:1" x14ac:dyDescent="0.4">
      <c r="A1063" s="63"/>
    </row>
    <row r="1064" spans="1:1" x14ac:dyDescent="0.4">
      <c r="A1064" s="63"/>
    </row>
    <row r="1065" spans="1:1" x14ac:dyDescent="0.4">
      <c r="A1065" s="63"/>
    </row>
    <row r="1066" spans="1:1" x14ac:dyDescent="0.4">
      <c r="A1066" s="63"/>
    </row>
    <row r="1067" spans="1:1" x14ac:dyDescent="0.4">
      <c r="A1067" s="63"/>
    </row>
    <row r="1068" spans="1:1" x14ac:dyDescent="0.4">
      <c r="A1068" s="63"/>
    </row>
    <row r="1069" spans="1:1" x14ac:dyDescent="0.4">
      <c r="A1069" s="63"/>
    </row>
    <row r="1070" spans="1:1" x14ac:dyDescent="0.4">
      <c r="A1070" s="63"/>
    </row>
    <row r="1071" spans="1:1" x14ac:dyDescent="0.4">
      <c r="A1071" s="63"/>
    </row>
    <row r="1072" spans="1:1" x14ac:dyDescent="0.4">
      <c r="A1072" s="63"/>
    </row>
    <row r="1073" spans="1:1" x14ac:dyDescent="0.4">
      <c r="A1073" s="63"/>
    </row>
    <row r="1074" spans="1:1" x14ac:dyDescent="0.4">
      <c r="A1074" s="63"/>
    </row>
    <row r="1075" spans="1:1" x14ac:dyDescent="0.4">
      <c r="A1075" s="63"/>
    </row>
    <row r="1076" spans="1:1" x14ac:dyDescent="0.4">
      <c r="A1076" s="63"/>
    </row>
    <row r="1077" spans="1:1" x14ac:dyDescent="0.4">
      <c r="A1077" s="63"/>
    </row>
    <row r="1078" spans="1:1" x14ac:dyDescent="0.4">
      <c r="A1078" s="63"/>
    </row>
    <row r="1079" spans="1:1" x14ac:dyDescent="0.4">
      <c r="A1079" s="63"/>
    </row>
    <row r="1080" spans="1:1" x14ac:dyDescent="0.4">
      <c r="A1080" s="63"/>
    </row>
    <row r="1081" spans="1:1" x14ac:dyDescent="0.4">
      <c r="A1081" s="63"/>
    </row>
    <row r="1082" spans="1:1" x14ac:dyDescent="0.4">
      <c r="A1082" s="63"/>
    </row>
    <row r="1083" spans="1:1" x14ac:dyDescent="0.4">
      <c r="A1083" s="63"/>
    </row>
    <row r="1084" spans="1:1" x14ac:dyDescent="0.4">
      <c r="A1084" s="63"/>
    </row>
    <row r="1085" spans="1:1" x14ac:dyDescent="0.4">
      <c r="A1085" s="63"/>
    </row>
    <row r="1086" spans="1:1" x14ac:dyDescent="0.4">
      <c r="A1086" s="63"/>
    </row>
    <row r="1087" spans="1:1" x14ac:dyDescent="0.4">
      <c r="A1087" s="63"/>
    </row>
    <row r="1088" spans="1:1" x14ac:dyDescent="0.4">
      <c r="A1088" s="63"/>
    </row>
    <row r="1089" spans="1:1" x14ac:dyDescent="0.4">
      <c r="A1089" s="63"/>
    </row>
    <row r="1090" spans="1:1" x14ac:dyDescent="0.4">
      <c r="A1090" s="63"/>
    </row>
    <row r="1091" spans="1:1" x14ac:dyDescent="0.4">
      <c r="A1091" s="63"/>
    </row>
    <row r="1092" spans="1:1" x14ac:dyDescent="0.4">
      <c r="A1092" s="63"/>
    </row>
    <row r="1093" spans="1:1" x14ac:dyDescent="0.4">
      <c r="A1093" s="63"/>
    </row>
    <row r="1094" spans="1:1" x14ac:dyDescent="0.4">
      <c r="A1094" s="63"/>
    </row>
    <row r="1095" spans="1:1" x14ac:dyDescent="0.4">
      <c r="A1095" s="63"/>
    </row>
    <row r="1096" spans="1:1" x14ac:dyDescent="0.4">
      <c r="A1096" s="63"/>
    </row>
    <row r="1097" spans="1:1" x14ac:dyDescent="0.4">
      <c r="A1097" s="63"/>
    </row>
    <row r="1098" spans="1:1" x14ac:dyDescent="0.4">
      <c r="A1098" s="63"/>
    </row>
    <row r="1099" spans="1:1" x14ac:dyDescent="0.4">
      <c r="A1099" s="63"/>
    </row>
    <row r="1100" spans="1:1" x14ac:dyDescent="0.4">
      <c r="A1100" s="63"/>
    </row>
    <row r="1101" spans="1:1" x14ac:dyDescent="0.4">
      <c r="A1101" s="63"/>
    </row>
    <row r="1102" spans="1:1" x14ac:dyDescent="0.4">
      <c r="A1102" s="63"/>
    </row>
  </sheetData>
  <sheetProtection algorithmName="SHA-512" hashValue="HLve86+Fbljoy5G546EZcsHOKDGvH0SjyqeZUhQPpY2MDRuOP8bdOnx2AuFqp6PN4bUDY4WUFQN8FoxhFZdVLg==" saltValue="JI2s/kSTfdgv58DlapYCEA==" spinCount="100000" sheet="1" objects="1" scenarios="1"/>
  <phoneticPr fontId="1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93C1A-1964-4D02-8275-E46D41B318F5}">
  <sheetPr codeName="Sheet1"/>
  <dimension ref="A1:K1467"/>
  <sheetViews>
    <sheetView workbookViewId="0">
      <selection activeCell="A2" sqref="A2"/>
    </sheetView>
  </sheetViews>
  <sheetFormatPr defaultRowHeight="18.75" x14ac:dyDescent="0.4"/>
  <cols>
    <col min="1" max="1" width="11.875" style="55" customWidth="1"/>
    <col min="2" max="2" width="9.875" style="55" bestFit="1" customWidth="1"/>
    <col min="3" max="4" width="12.25" style="55" bestFit="1" customWidth="1"/>
    <col min="5" max="5" width="11.625" style="55" bestFit="1" customWidth="1"/>
    <col min="6" max="6" width="12.25" style="55" bestFit="1" customWidth="1"/>
    <col min="7" max="8" width="8.875" style="55"/>
    <col min="9" max="9" width="12.375" customWidth="1"/>
    <col min="10" max="10" width="10.5" bestFit="1" customWidth="1"/>
  </cols>
  <sheetData>
    <row r="1" spans="1:11" ht="30" x14ac:dyDescent="0.4">
      <c r="A1" s="2" t="s">
        <v>1</v>
      </c>
      <c r="B1" s="10" t="s">
        <v>2</v>
      </c>
      <c r="C1" s="2" t="s">
        <v>6</v>
      </c>
      <c r="D1" s="2" t="s">
        <v>3</v>
      </c>
      <c r="E1" s="3" t="s">
        <v>13</v>
      </c>
      <c r="F1" s="2" t="s">
        <v>4</v>
      </c>
      <c r="G1" s="4" t="s">
        <v>15</v>
      </c>
      <c r="H1" s="11" t="s">
        <v>17</v>
      </c>
      <c r="I1" s="5" t="s">
        <v>12</v>
      </c>
      <c r="J1" s="5" t="s">
        <v>14</v>
      </c>
      <c r="K1" s="5" t="s">
        <v>16</v>
      </c>
    </row>
    <row r="2" spans="1:11" x14ac:dyDescent="0.4">
      <c r="B2" s="56"/>
      <c r="C2" s="57"/>
      <c r="D2" s="57"/>
      <c r="E2" s="58"/>
      <c r="F2" s="57"/>
      <c r="I2" t="str">
        <f t="array" ref="I2">IFERROR(INDEX(Raw!$A$2:$A$500,MATCH(0,IF("Done"=Raw!$G$2:$G$500,COUNTIF($I$1:$I1,Raw!$A$2:$A$500)),0)),"")</f>
        <v/>
      </c>
      <c r="J2" t="str">
        <f t="array" ref="J2">IFERROR(INDEX(Raw!$A$2:$A$500,MATCH(0,IF("Pause"=Raw!$E$2:$E$500,COUNTIF($J$1:$J1,Raw!$A$2:$A$500)),0)),"")</f>
        <v/>
      </c>
      <c r="K2" t="str">
        <f t="array" ref="K2">IFERROR(INDEX(Raw!$A$2:$A$500,MATCH(0,IF("Start"=Raw!$H$2:$H$500,COUNTIF($I$1:$I1,Raw!$A$2:$A$500)),0)),"")</f>
        <v/>
      </c>
    </row>
    <row r="3" spans="1:11" x14ac:dyDescent="0.4">
      <c r="B3" s="56"/>
      <c r="C3" s="57"/>
      <c r="D3" s="57"/>
      <c r="F3" s="57"/>
      <c r="I3" t="str">
        <f t="array" ref="I3">IFERROR(INDEX(Raw!$A$2:$A$500,MATCH(0,IF("Done"=Raw!$G$2:$G$500,COUNTIF($I$1:$I2,Raw!$A$2:$A$500)),0)),"")</f>
        <v/>
      </c>
      <c r="J3" t="str">
        <f t="array" ref="J3">IFERROR(INDEX(Raw!$A$2:$A$500,MATCH(0,IF("Pause"=Raw!$E$2:$E$500,COUNTIF($J$1:$J2,Raw!$A$2:$A$500)),0)),"")</f>
        <v/>
      </c>
    </row>
    <row r="4" spans="1:11" x14ac:dyDescent="0.4">
      <c r="B4" s="56"/>
      <c r="C4" s="57"/>
      <c r="D4" s="57"/>
      <c r="F4" s="57"/>
      <c r="I4" t="str">
        <f t="array" ref="I4">IFERROR(INDEX(Raw!$A$2:$A$500,MATCH(0,IF("Done"=Raw!$G$2:$G$500,COUNTIF($I$1:$I3,Raw!$A$2:$A$500)),0)),"")</f>
        <v/>
      </c>
      <c r="J4" t="str">
        <f t="array" ref="J4">IFERROR(INDEX(Raw!$A$2:$A$500,MATCH(0,IF("Pause"=Raw!$E$2:$E$500,COUNTIF($J$1:$J3,Raw!$A$2:$A$500)),0)),"")</f>
        <v/>
      </c>
    </row>
    <row r="5" spans="1:11" x14ac:dyDescent="0.4">
      <c r="B5" s="56"/>
      <c r="C5" s="57"/>
      <c r="D5" s="57"/>
      <c r="F5" s="57"/>
      <c r="I5" t="str">
        <f t="array" ref="I5">IFERROR(INDEX(Raw!$A$2:$A$500,MATCH(0,IF("Done"=Raw!$G$2:$G$500,COUNTIF($I$1:$I4,Raw!$A$2:$A$500)),0)),"")</f>
        <v/>
      </c>
      <c r="J5" t="str">
        <f t="array" ref="J5">IFERROR(INDEX(Raw!$A$2:$A$500,MATCH(0,IF("Pause"=Raw!$E$2:$E$500,COUNTIF($J$1:$J4,Raw!$A$2:$A$500)),0)),"")</f>
        <v/>
      </c>
    </row>
    <row r="6" spans="1:11" x14ac:dyDescent="0.4">
      <c r="B6" s="56"/>
      <c r="C6" s="57"/>
      <c r="D6" s="57"/>
      <c r="E6" s="58"/>
      <c r="F6" s="57"/>
      <c r="I6" t="str">
        <f t="array" ref="I6">IFERROR(INDEX(Raw!$A$2:$A$500,MATCH(0,IF("Done"=Raw!$G$2:$G$500,COUNTIF($I$1:$I5,Raw!$A$2:$A$500)),0)),"")</f>
        <v/>
      </c>
      <c r="J6" t="str">
        <f t="array" ref="J6">IFERROR(INDEX(Raw!$A$2:$A$500,MATCH(0,IF("Pause"=Raw!$E$2:$E$500,COUNTIF($J$1:$J5,Raw!$A$2:$A$500)),0)),"")</f>
        <v/>
      </c>
    </row>
    <row r="7" spans="1:11" x14ac:dyDescent="0.4">
      <c r="B7" s="56"/>
      <c r="C7" s="57"/>
      <c r="D7" s="57"/>
      <c r="E7" s="58"/>
      <c r="F7" s="57"/>
      <c r="I7" t="str">
        <f t="array" ref="I7">IFERROR(INDEX(Raw!$A$2:$A$500,MATCH(0,IF("Done"=Raw!$G$2:$G$500,COUNTIF($I$1:$I6,Raw!$A$2:$A$500)),0)),"")</f>
        <v/>
      </c>
      <c r="J7" t="str">
        <f t="array" ref="J7">IFERROR(INDEX(Raw!$A$2:$A$500,MATCH(0,IF("Pause"=Raw!$E$2:$E$500,COUNTIF($J$1:$J6,Raw!$A$2:$A$500)),0)),"")</f>
        <v/>
      </c>
    </row>
    <row r="8" spans="1:11" x14ac:dyDescent="0.4">
      <c r="B8" s="56"/>
      <c r="C8" s="57"/>
      <c r="D8" s="57"/>
      <c r="E8" s="58"/>
      <c r="F8" s="57"/>
      <c r="I8" t="str">
        <f t="array" ref="I8">IFERROR(INDEX(Raw!$A$2:$A$500,MATCH(0,IF("Done"=Raw!$G$2:$G$500,COUNTIF($I$1:$I7,Raw!$A$2:$A$500)),0)),"")</f>
        <v/>
      </c>
      <c r="J8" t="str">
        <f t="array" ref="J8">IFERROR(INDEX(Raw!$A$2:$A$500,MATCH(0,IF("Pause"=Raw!$E$2:$E$500,COUNTIF($J$1:$J7,Raw!$A$2:$A$500)),0)),"")</f>
        <v/>
      </c>
    </row>
    <row r="9" spans="1:11" x14ac:dyDescent="0.4">
      <c r="B9" s="56"/>
      <c r="C9" s="57"/>
      <c r="D9" s="57"/>
      <c r="E9" s="58"/>
      <c r="F9" s="57"/>
    </row>
    <row r="10" spans="1:11" x14ac:dyDescent="0.4">
      <c r="B10" s="56"/>
      <c r="C10" s="57"/>
      <c r="D10" s="57"/>
      <c r="F10" s="57"/>
      <c r="I10" t="str">
        <f t="array" ref="I10">IF(E10:E508="Done", "", IFERROR(INDEX(A10:A508,MATCH(0,IF($I$1=G10:G508,COUNTIF($I$1:I9,A10:A508)),0)),""))</f>
        <v/>
      </c>
    </row>
    <row r="11" spans="1:11" x14ac:dyDescent="0.4">
      <c r="B11" s="56"/>
      <c r="C11" s="57"/>
      <c r="D11" s="57"/>
      <c r="F11" s="57"/>
    </row>
    <row r="12" spans="1:11" x14ac:dyDescent="0.4">
      <c r="B12" s="56"/>
      <c r="C12" s="57"/>
      <c r="D12" s="57"/>
      <c r="E12" s="58"/>
      <c r="F12" s="57"/>
    </row>
    <row r="13" spans="1:11" x14ac:dyDescent="0.4">
      <c r="B13" s="56"/>
      <c r="C13" s="57"/>
      <c r="D13" s="57"/>
      <c r="F13" s="58"/>
    </row>
    <row r="14" spans="1:11" x14ac:dyDescent="0.4">
      <c r="B14" s="56"/>
      <c r="C14" s="57"/>
      <c r="D14" s="57"/>
      <c r="F14" s="58"/>
    </row>
    <row r="15" spans="1:11" x14ac:dyDescent="0.4">
      <c r="B15" s="56"/>
      <c r="C15" s="57"/>
      <c r="D15" s="57"/>
      <c r="F15" s="58"/>
    </row>
    <row r="16" spans="1:11" x14ac:dyDescent="0.4">
      <c r="B16" s="56"/>
      <c r="C16" s="57"/>
      <c r="D16" s="57"/>
      <c r="F16" s="58"/>
    </row>
    <row r="17" spans="2:6" x14ac:dyDescent="0.4">
      <c r="B17" s="56"/>
      <c r="D17" s="57"/>
      <c r="F17" s="58"/>
    </row>
    <row r="18" spans="2:6" x14ac:dyDescent="0.4">
      <c r="D18" s="57"/>
      <c r="F18" s="58"/>
    </row>
    <row r="19" spans="2:6" x14ac:dyDescent="0.4">
      <c r="D19" s="57"/>
      <c r="F19" s="58"/>
    </row>
    <row r="20" spans="2:6" x14ac:dyDescent="0.4">
      <c r="D20" s="57"/>
      <c r="F20" s="58"/>
    </row>
    <row r="21" spans="2:6" x14ac:dyDescent="0.4">
      <c r="D21" s="57"/>
      <c r="F21" s="58"/>
    </row>
    <row r="22" spans="2:6" x14ac:dyDescent="0.4">
      <c r="D22" s="57"/>
      <c r="F22" s="58"/>
    </row>
    <row r="23" spans="2:6" x14ac:dyDescent="0.4">
      <c r="D23" s="57"/>
      <c r="F23" s="58"/>
    </row>
    <row r="24" spans="2:6" x14ac:dyDescent="0.4">
      <c r="D24" s="57"/>
      <c r="F24" s="58"/>
    </row>
    <row r="25" spans="2:6" x14ac:dyDescent="0.4">
      <c r="D25" s="57"/>
      <c r="F25" s="58"/>
    </row>
    <row r="26" spans="2:6" x14ac:dyDescent="0.4">
      <c r="D26" s="57"/>
      <c r="F26" s="58"/>
    </row>
    <row r="27" spans="2:6" x14ac:dyDescent="0.4">
      <c r="D27" s="57"/>
      <c r="F27" s="58"/>
    </row>
    <row r="28" spans="2:6" x14ac:dyDescent="0.4">
      <c r="D28" s="57"/>
      <c r="F28" s="58"/>
    </row>
    <row r="29" spans="2:6" x14ac:dyDescent="0.4">
      <c r="D29" s="57"/>
      <c r="F29" s="58"/>
    </row>
    <row r="30" spans="2:6" x14ac:dyDescent="0.4">
      <c r="D30" s="57"/>
      <c r="F30" s="58"/>
    </row>
    <row r="31" spans="2:6" x14ac:dyDescent="0.4">
      <c r="D31" s="57"/>
      <c r="F31" s="58"/>
    </row>
    <row r="32" spans="2:6" x14ac:dyDescent="0.4">
      <c r="D32" s="57"/>
      <c r="F32" s="58"/>
    </row>
    <row r="33" spans="4:6" x14ac:dyDescent="0.4">
      <c r="D33" s="57"/>
      <c r="F33" s="58"/>
    </row>
    <row r="34" spans="4:6" x14ac:dyDescent="0.4">
      <c r="D34" s="57"/>
      <c r="F34" s="58"/>
    </row>
    <row r="35" spans="4:6" x14ac:dyDescent="0.4">
      <c r="D35" s="57"/>
      <c r="F35" s="58"/>
    </row>
    <row r="36" spans="4:6" x14ac:dyDescent="0.4">
      <c r="D36" s="57"/>
      <c r="F36" s="58"/>
    </row>
    <row r="37" spans="4:6" x14ac:dyDescent="0.4">
      <c r="D37" s="57"/>
      <c r="F37" s="58"/>
    </row>
    <row r="38" spans="4:6" x14ac:dyDescent="0.4">
      <c r="D38" s="57"/>
      <c r="F38" s="58"/>
    </row>
    <row r="39" spans="4:6" x14ac:dyDescent="0.4">
      <c r="D39" s="57"/>
      <c r="F39" s="58"/>
    </row>
    <row r="40" spans="4:6" x14ac:dyDescent="0.4">
      <c r="D40" s="57"/>
      <c r="F40" s="58"/>
    </row>
    <row r="41" spans="4:6" x14ac:dyDescent="0.4">
      <c r="D41" s="57"/>
      <c r="F41" s="58"/>
    </row>
    <row r="42" spans="4:6" x14ac:dyDescent="0.4">
      <c r="D42" s="57"/>
      <c r="F42" s="58"/>
    </row>
    <row r="43" spans="4:6" x14ac:dyDescent="0.4">
      <c r="D43" s="57"/>
      <c r="F43" s="58"/>
    </row>
    <row r="44" spans="4:6" x14ac:dyDescent="0.4">
      <c r="D44" s="57"/>
      <c r="F44" s="58"/>
    </row>
    <row r="45" spans="4:6" x14ac:dyDescent="0.4">
      <c r="D45" s="57"/>
      <c r="F45" s="58"/>
    </row>
    <row r="46" spans="4:6" x14ac:dyDescent="0.4">
      <c r="D46" s="57"/>
      <c r="F46" s="58"/>
    </row>
    <row r="47" spans="4:6" x14ac:dyDescent="0.4">
      <c r="D47" s="57"/>
      <c r="F47" s="58"/>
    </row>
    <row r="48" spans="4:6" x14ac:dyDescent="0.4">
      <c r="D48" s="57"/>
      <c r="F48" s="58"/>
    </row>
    <row r="49" spans="4:6" x14ac:dyDescent="0.4">
      <c r="D49" s="57"/>
      <c r="F49" s="58"/>
    </row>
    <row r="50" spans="4:6" x14ac:dyDescent="0.4">
      <c r="D50" s="57"/>
      <c r="F50" s="58"/>
    </row>
    <row r="51" spans="4:6" x14ac:dyDescent="0.4">
      <c r="D51" s="57"/>
      <c r="F51" s="58"/>
    </row>
    <row r="52" spans="4:6" x14ac:dyDescent="0.4">
      <c r="D52" s="57"/>
      <c r="F52" s="58"/>
    </row>
    <row r="53" spans="4:6" x14ac:dyDescent="0.4">
      <c r="D53" s="57"/>
      <c r="F53" s="58"/>
    </row>
    <row r="54" spans="4:6" x14ac:dyDescent="0.4">
      <c r="D54" s="57"/>
      <c r="F54" s="58"/>
    </row>
    <row r="55" spans="4:6" x14ac:dyDescent="0.4">
      <c r="D55" s="57"/>
      <c r="F55" s="58"/>
    </row>
    <row r="56" spans="4:6" x14ac:dyDescent="0.4">
      <c r="D56" s="57"/>
      <c r="F56" s="58"/>
    </row>
    <row r="57" spans="4:6" x14ac:dyDescent="0.4">
      <c r="D57" s="57"/>
      <c r="F57" s="58"/>
    </row>
    <row r="58" spans="4:6" x14ac:dyDescent="0.4">
      <c r="D58" s="57"/>
      <c r="F58" s="58"/>
    </row>
    <row r="59" spans="4:6" x14ac:dyDescent="0.4">
      <c r="D59" s="57"/>
      <c r="F59" s="58"/>
    </row>
    <row r="60" spans="4:6" x14ac:dyDescent="0.4">
      <c r="D60" s="57"/>
      <c r="F60" s="58"/>
    </row>
    <row r="61" spans="4:6" x14ac:dyDescent="0.4">
      <c r="D61" s="57"/>
      <c r="F61" s="58"/>
    </row>
    <row r="62" spans="4:6" x14ac:dyDescent="0.4">
      <c r="D62" s="57"/>
      <c r="F62" s="58"/>
    </row>
    <row r="63" spans="4:6" x14ac:dyDescent="0.4">
      <c r="D63" s="57"/>
      <c r="F63" s="58"/>
    </row>
    <row r="64" spans="4:6" x14ac:dyDescent="0.4">
      <c r="D64" s="57"/>
      <c r="F64" s="58"/>
    </row>
    <row r="65" spans="4:6" x14ac:dyDescent="0.4">
      <c r="D65" s="57"/>
      <c r="F65" s="58"/>
    </row>
    <row r="66" spans="4:6" x14ac:dyDescent="0.4">
      <c r="D66" s="57"/>
      <c r="F66" s="58"/>
    </row>
    <row r="67" spans="4:6" x14ac:dyDescent="0.4">
      <c r="D67" s="57"/>
      <c r="F67" s="58"/>
    </row>
    <row r="68" spans="4:6" x14ac:dyDescent="0.4">
      <c r="D68" s="57"/>
      <c r="F68" s="58"/>
    </row>
    <row r="69" spans="4:6" x14ac:dyDescent="0.4">
      <c r="D69" s="57"/>
      <c r="F69" s="58"/>
    </row>
    <row r="70" spans="4:6" x14ac:dyDescent="0.4">
      <c r="D70" s="57"/>
      <c r="F70" s="58"/>
    </row>
    <row r="71" spans="4:6" x14ac:dyDescent="0.4">
      <c r="D71" s="57"/>
      <c r="F71" s="58"/>
    </row>
    <row r="72" spans="4:6" x14ac:dyDescent="0.4">
      <c r="D72" s="57"/>
      <c r="F72" s="58"/>
    </row>
    <row r="73" spans="4:6" x14ac:dyDescent="0.4">
      <c r="D73" s="57"/>
      <c r="F73" s="58"/>
    </row>
    <row r="74" spans="4:6" x14ac:dyDescent="0.4">
      <c r="D74" s="57"/>
      <c r="F74" s="58"/>
    </row>
    <row r="75" spans="4:6" x14ac:dyDescent="0.4">
      <c r="D75" s="57"/>
      <c r="F75" s="58"/>
    </row>
    <row r="76" spans="4:6" x14ac:dyDescent="0.4">
      <c r="D76" s="57"/>
      <c r="F76" s="58"/>
    </row>
    <row r="77" spans="4:6" x14ac:dyDescent="0.4">
      <c r="D77" s="57"/>
      <c r="F77" s="58"/>
    </row>
    <row r="78" spans="4:6" x14ac:dyDescent="0.4">
      <c r="D78" s="57"/>
      <c r="F78" s="58"/>
    </row>
    <row r="79" spans="4:6" x14ac:dyDescent="0.4">
      <c r="D79" s="57"/>
      <c r="F79" s="58"/>
    </row>
    <row r="80" spans="4:6" x14ac:dyDescent="0.4">
      <c r="D80" s="57"/>
      <c r="F80" s="58"/>
    </row>
    <row r="81" spans="4:6" x14ac:dyDescent="0.4">
      <c r="D81" s="57"/>
      <c r="F81" s="58"/>
    </row>
    <row r="82" spans="4:6" x14ac:dyDescent="0.4">
      <c r="D82" s="57"/>
      <c r="F82" s="58"/>
    </row>
    <row r="83" spans="4:6" x14ac:dyDescent="0.4">
      <c r="D83" s="57"/>
      <c r="F83" s="58"/>
    </row>
    <row r="84" spans="4:6" x14ac:dyDescent="0.4">
      <c r="D84" s="57"/>
      <c r="F84" s="58"/>
    </row>
    <row r="85" spans="4:6" x14ac:dyDescent="0.4">
      <c r="D85" s="57"/>
      <c r="F85" s="58"/>
    </row>
    <row r="86" spans="4:6" x14ac:dyDescent="0.4">
      <c r="D86" s="57"/>
      <c r="F86" s="58"/>
    </row>
    <row r="87" spans="4:6" x14ac:dyDescent="0.4">
      <c r="D87" s="57"/>
      <c r="F87" s="58"/>
    </row>
    <row r="88" spans="4:6" x14ac:dyDescent="0.4">
      <c r="D88" s="57"/>
      <c r="F88" s="58"/>
    </row>
    <row r="89" spans="4:6" x14ac:dyDescent="0.4">
      <c r="D89" s="57"/>
      <c r="F89" s="58"/>
    </row>
    <row r="90" spans="4:6" x14ac:dyDescent="0.4">
      <c r="D90" s="57"/>
      <c r="F90" s="58"/>
    </row>
    <row r="91" spans="4:6" x14ac:dyDescent="0.4">
      <c r="D91" s="57"/>
      <c r="F91" s="58"/>
    </row>
    <row r="92" spans="4:6" x14ac:dyDescent="0.4">
      <c r="D92" s="57"/>
      <c r="F92" s="58"/>
    </row>
    <row r="93" spans="4:6" x14ac:dyDescent="0.4">
      <c r="D93" s="57"/>
      <c r="F93" s="58"/>
    </row>
    <row r="94" spans="4:6" x14ac:dyDescent="0.4">
      <c r="D94" s="57"/>
      <c r="F94" s="58"/>
    </row>
    <row r="95" spans="4:6" x14ac:dyDescent="0.4">
      <c r="D95" s="57"/>
      <c r="F95" s="58"/>
    </row>
    <row r="96" spans="4:6" x14ac:dyDescent="0.4">
      <c r="D96" s="57"/>
      <c r="F96" s="58"/>
    </row>
    <row r="97" spans="4:6" x14ac:dyDescent="0.4">
      <c r="D97" s="57"/>
      <c r="F97" s="58"/>
    </row>
    <row r="98" spans="4:6" x14ac:dyDescent="0.4">
      <c r="D98" s="57"/>
      <c r="F98" s="58"/>
    </row>
    <row r="99" spans="4:6" x14ac:dyDescent="0.4">
      <c r="D99" s="57"/>
      <c r="F99" s="58"/>
    </row>
    <row r="100" spans="4:6" x14ac:dyDescent="0.4">
      <c r="D100" s="57"/>
      <c r="F100" s="58"/>
    </row>
    <row r="101" spans="4:6" x14ac:dyDescent="0.4">
      <c r="D101" s="57"/>
      <c r="F101" s="58"/>
    </row>
    <row r="102" spans="4:6" x14ac:dyDescent="0.4">
      <c r="D102" s="57"/>
      <c r="F102" s="58"/>
    </row>
    <row r="103" spans="4:6" x14ac:dyDescent="0.4">
      <c r="D103" s="57"/>
      <c r="F103" s="58"/>
    </row>
    <row r="104" spans="4:6" x14ac:dyDescent="0.4">
      <c r="D104" s="57"/>
      <c r="F104" s="58"/>
    </row>
    <row r="105" spans="4:6" x14ac:dyDescent="0.4">
      <c r="D105" s="57"/>
      <c r="F105" s="58"/>
    </row>
    <row r="106" spans="4:6" x14ac:dyDescent="0.4">
      <c r="D106" s="57"/>
      <c r="F106" s="58"/>
    </row>
    <row r="107" spans="4:6" x14ac:dyDescent="0.4">
      <c r="D107" s="57"/>
      <c r="F107" s="58"/>
    </row>
    <row r="108" spans="4:6" x14ac:dyDescent="0.4">
      <c r="D108" s="57"/>
      <c r="F108" s="58"/>
    </row>
    <row r="109" spans="4:6" x14ac:dyDescent="0.4">
      <c r="D109" s="57"/>
      <c r="F109" s="58"/>
    </row>
    <row r="110" spans="4:6" x14ac:dyDescent="0.4">
      <c r="D110" s="57"/>
      <c r="F110" s="58"/>
    </row>
    <row r="111" spans="4:6" x14ac:dyDescent="0.4">
      <c r="D111" s="57"/>
      <c r="F111" s="58"/>
    </row>
    <row r="112" spans="4:6" x14ac:dyDescent="0.4">
      <c r="D112" s="57"/>
      <c r="F112" s="58"/>
    </row>
    <row r="113" spans="4:6" x14ac:dyDescent="0.4">
      <c r="D113" s="57"/>
      <c r="F113" s="58"/>
    </row>
    <row r="114" spans="4:6" x14ac:dyDescent="0.4">
      <c r="D114" s="57"/>
      <c r="F114" s="58"/>
    </row>
    <row r="115" spans="4:6" x14ac:dyDescent="0.4">
      <c r="D115" s="57"/>
      <c r="F115" s="58"/>
    </row>
    <row r="116" spans="4:6" x14ac:dyDescent="0.4">
      <c r="D116" s="57"/>
      <c r="F116" s="58"/>
    </row>
    <row r="117" spans="4:6" x14ac:dyDescent="0.4">
      <c r="D117" s="57"/>
      <c r="F117" s="58"/>
    </row>
    <row r="118" spans="4:6" x14ac:dyDescent="0.4">
      <c r="D118" s="57"/>
      <c r="F118" s="58"/>
    </row>
    <row r="119" spans="4:6" x14ac:dyDescent="0.4">
      <c r="D119" s="57"/>
      <c r="F119" s="58"/>
    </row>
    <row r="120" spans="4:6" x14ac:dyDescent="0.4">
      <c r="D120" s="57"/>
      <c r="F120" s="58"/>
    </row>
    <row r="121" spans="4:6" x14ac:dyDescent="0.4">
      <c r="D121" s="57"/>
      <c r="F121" s="58"/>
    </row>
    <row r="122" spans="4:6" x14ac:dyDescent="0.4">
      <c r="D122" s="57"/>
      <c r="F122" s="58"/>
    </row>
    <row r="123" spans="4:6" x14ac:dyDescent="0.4">
      <c r="D123" s="57"/>
      <c r="F123" s="58"/>
    </row>
    <row r="124" spans="4:6" x14ac:dyDescent="0.4">
      <c r="D124" s="57"/>
      <c r="F124" s="58"/>
    </row>
    <row r="125" spans="4:6" x14ac:dyDescent="0.4">
      <c r="D125" s="57"/>
      <c r="F125" s="58"/>
    </row>
    <row r="126" spans="4:6" x14ac:dyDescent="0.4">
      <c r="D126" s="57"/>
      <c r="F126" s="58"/>
    </row>
    <row r="127" spans="4:6" x14ac:dyDescent="0.4">
      <c r="D127" s="57"/>
      <c r="F127" s="58"/>
    </row>
    <row r="128" spans="4:6" x14ac:dyDescent="0.4">
      <c r="D128" s="57"/>
      <c r="F128" s="58"/>
    </row>
    <row r="129" spans="4:6" x14ac:dyDescent="0.4">
      <c r="D129" s="57"/>
      <c r="F129" s="58"/>
    </row>
    <row r="130" spans="4:6" x14ac:dyDescent="0.4">
      <c r="D130" s="57"/>
      <c r="F130" s="58"/>
    </row>
    <row r="131" spans="4:6" x14ac:dyDescent="0.4">
      <c r="D131" s="57"/>
      <c r="F131" s="58"/>
    </row>
    <row r="132" spans="4:6" x14ac:dyDescent="0.4">
      <c r="D132" s="57"/>
      <c r="F132" s="58"/>
    </row>
    <row r="133" spans="4:6" x14ac:dyDescent="0.4">
      <c r="D133" s="57"/>
      <c r="F133" s="58"/>
    </row>
    <row r="134" spans="4:6" x14ac:dyDescent="0.4">
      <c r="D134" s="57"/>
      <c r="F134" s="58"/>
    </row>
    <row r="135" spans="4:6" x14ac:dyDescent="0.4">
      <c r="D135" s="57"/>
      <c r="F135" s="58"/>
    </row>
    <row r="136" spans="4:6" x14ac:dyDescent="0.4">
      <c r="D136" s="57"/>
      <c r="F136" s="58"/>
    </row>
    <row r="137" spans="4:6" x14ac:dyDescent="0.4">
      <c r="D137" s="57"/>
      <c r="F137" s="58"/>
    </row>
    <row r="138" spans="4:6" x14ac:dyDescent="0.4">
      <c r="D138" s="57"/>
      <c r="F138" s="58"/>
    </row>
    <row r="139" spans="4:6" x14ac:dyDescent="0.4">
      <c r="D139" s="57"/>
      <c r="F139" s="58"/>
    </row>
    <row r="140" spans="4:6" x14ac:dyDescent="0.4">
      <c r="D140" s="57"/>
      <c r="F140" s="58"/>
    </row>
    <row r="141" spans="4:6" x14ac:dyDescent="0.4">
      <c r="D141" s="57"/>
      <c r="F141" s="58"/>
    </row>
    <row r="142" spans="4:6" x14ac:dyDescent="0.4">
      <c r="D142" s="57"/>
      <c r="F142" s="58"/>
    </row>
    <row r="143" spans="4:6" x14ac:dyDescent="0.4">
      <c r="D143" s="57"/>
      <c r="F143" s="58"/>
    </row>
    <row r="144" spans="4:6" x14ac:dyDescent="0.4">
      <c r="D144" s="57"/>
      <c r="F144" s="58"/>
    </row>
    <row r="145" spans="4:6" x14ac:dyDescent="0.4">
      <c r="D145" s="57"/>
      <c r="F145" s="58"/>
    </row>
    <row r="146" spans="4:6" x14ac:dyDescent="0.4">
      <c r="D146" s="57"/>
      <c r="F146" s="58"/>
    </row>
    <row r="147" spans="4:6" x14ac:dyDescent="0.4">
      <c r="D147" s="57"/>
      <c r="F147" s="58"/>
    </row>
    <row r="148" spans="4:6" x14ac:dyDescent="0.4">
      <c r="D148" s="57"/>
      <c r="F148" s="58"/>
    </row>
    <row r="149" spans="4:6" x14ac:dyDescent="0.4">
      <c r="D149" s="57"/>
      <c r="F149" s="58"/>
    </row>
    <row r="150" spans="4:6" x14ac:dyDescent="0.4">
      <c r="D150" s="57"/>
      <c r="F150" s="58"/>
    </row>
    <row r="151" spans="4:6" x14ac:dyDescent="0.4">
      <c r="D151" s="57"/>
      <c r="F151" s="58"/>
    </row>
    <row r="152" spans="4:6" x14ac:dyDescent="0.4">
      <c r="D152" s="57"/>
      <c r="F152" s="58"/>
    </row>
    <row r="153" spans="4:6" x14ac:dyDescent="0.4">
      <c r="D153" s="57"/>
      <c r="F153" s="58"/>
    </row>
    <row r="154" spans="4:6" x14ac:dyDescent="0.4">
      <c r="D154" s="57"/>
      <c r="F154" s="58"/>
    </row>
    <row r="155" spans="4:6" x14ac:dyDescent="0.4">
      <c r="D155" s="57"/>
      <c r="F155" s="58"/>
    </row>
    <row r="156" spans="4:6" x14ac:dyDescent="0.4">
      <c r="D156" s="57"/>
      <c r="F156" s="58"/>
    </row>
    <row r="157" spans="4:6" x14ac:dyDescent="0.4">
      <c r="D157" s="57"/>
      <c r="F157" s="58"/>
    </row>
    <row r="158" spans="4:6" x14ac:dyDescent="0.4">
      <c r="D158" s="57"/>
      <c r="F158" s="58"/>
    </row>
    <row r="159" spans="4:6" x14ac:dyDescent="0.4">
      <c r="D159" s="57"/>
      <c r="F159" s="58"/>
    </row>
    <row r="160" spans="4:6" x14ac:dyDescent="0.4">
      <c r="D160" s="57"/>
      <c r="F160" s="58"/>
    </row>
    <row r="161" spans="4:6" x14ac:dyDescent="0.4">
      <c r="D161" s="57"/>
      <c r="F161" s="58"/>
    </row>
    <row r="162" spans="4:6" x14ac:dyDescent="0.4">
      <c r="D162" s="57"/>
      <c r="F162" s="58"/>
    </row>
    <row r="163" spans="4:6" x14ac:dyDescent="0.4">
      <c r="D163" s="57"/>
      <c r="F163" s="58"/>
    </row>
    <row r="164" spans="4:6" x14ac:dyDescent="0.4">
      <c r="D164" s="57"/>
      <c r="F164" s="58"/>
    </row>
    <row r="165" spans="4:6" x14ac:dyDescent="0.4">
      <c r="D165" s="57"/>
      <c r="F165" s="58"/>
    </row>
    <row r="166" spans="4:6" x14ac:dyDescent="0.4">
      <c r="D166" s="57"/>
      <c r="F166" s="58"/>
    </row>
    <row r="167" spans="4:6" x14ac:dyDescent="0.4">
      <c r="D167" s="57"/>
      <c r="F167" s="58"/>
    </row>
    <row r="168" spans="4:6" x14ac:dyDescent="0.4">
      <c r="D168" s="57"/>
      <c r="F168" s="58"/>
    </row>
    <row r="169" spans="4:6" x14ac:dyDescent="0.4">
      <c r="D169" s="57"/>
      <c r="F169" s="58"/>
    </row>
    <row r="170" spans="4:6" x14ac:dyDescent="0.4">
      <c r="D170" s="57"/>
      <c r="F170" s="58"/>
    </row>
    <row r="171" spans="4:6" x14ac:dyDescent="0.4">
      <c r="D171" s="57"/>
      <c r="F171" s="58"/>
    </row>
    <row r="172" spans="4:6" x14ac:dyDescent="0.4">
      <c r="D172" s="57"/>
      <c r="F172" s="58"/>
    </row>
    <row r="173" spans="4:6" x14ac:dyDescent="0.4">
      <c r="D173" s="57"/>
      <c r="F173" s="58"/>
    </row>
    <row r="174" spans="4:6" x14ac:dyDescent="0.4">
      <c r="D174" s="57"/>
      <c r="F174" s="58"/>
    </row>
    <row r="175" spans="4:6" x14ac:dyDescent="0.4">
      <c r="D175" s="57"/>
      <c r="F175" s="58"/>
    </row>
    <row r="176" spans="4:6" x14ac:dyDescent="0.4">
      <c r="D176" s="57"/>
      <c r="F176" s="58"/>
    </row>
    <row r="177" spans="4:6" x14ac:dyDescent="0.4">
      <c r="D177" s="57"/>
      <c r="F177" s="58"/>
    </row>
    <row r="178" spans="4:6" x14ac:dyDescent="0.4">
      <c r="D178" s="57"/>
      <c r="F178" s="58"/>
    </row>
    <row r="179" spans="4:6" x14ac:dyDescent="0.4">
      <c r="D179" s="57"/>
      <c r="F179" s="58"/>
    </row>
    <row r="180" spans="4:6" x14ac:dyDescent="0.4">
      <c r="D180" s="57"/>
      <c r="F180" s="58"/>
    </row>
    <row r="181" spans="4:6" x14ac:dyDescent="0.4">
      <c r="D181" s="57"/>
      <c r="F181" s="58"/>
    </row>
    <row r="182" spans="4:6" x14ac:dyDescent="0.4">
      <c r="D182" s="57"/>
      <c r="F182" s="58"/>
    </row>
    <row r="183" spans="4:6" x14ac:dyDescent="0.4">
      <c r="D183" s="57"/>
      <c r="F183" s="58"/>
    </row>
    <row r="184" spans="4:6" x14ac:dyDescent="0.4">
      <c r="D184" s="57"/>
      <c r="F184" s="58"/>
    </row>
    <row r="185" spans="4:6" x14ac:dyDescent="0.4">
      <c r="D185" s="57"/>
      <c r="F185" s="58"/>
    </row>
    <row r="186" spans="4:6" x14ac:dyDescent="0.4">
      <c r="D186" s="57"/>
      <c r="F186" s="58"/>
    </row>
    <row r="187" spans="4:6" x14ac:dyDescent="0.4">
      <c r="D187" s="57"/>
      <c r="F187" s="58"/>
    </row>
    <row r="188" spans="4:6" x14ac:dyDescent="0.4">
      <c r="D188" s="57"/>
      <c r="F188" s="58"/>
    </row>
    <row r="189" spans="4:6" x14ac:dyDescent="0.4">
      <c r="D189" s="57"/>
      <c r="F189" s="58"/>
    </row>
    <row r="190" spans="4:6" x14ac:dyDescent="0.4">
      <c r="D190" s="57"/>
      <c r="F190" s="58"/>
    </row>
    <row r="191" spans="4:6" x14ac:dyDescent="0.4">
      <c r="D191" s="57"/>
      <c r="F191" s="58"/>
    </row>
    <row r="192" spans="4:6" x14ac:dyDescent="0.4">
      <c r="D192" s="57"/>
      <c r="F192" s="58"/>
    </row>
    <row r="193" spans="4:6" x14ac:dyDescent="0.4">
      <c r="D193" s="57"/>
      <c r="F193" s="58"/>
    </row>
    <row r="194" spans="4:6" x14ac:dyDescent="0.4">
      <c r="D194" s="57"/>
      <c r="F194" s="58"/>
    </row>
    <row r="195" spans="4:6" x14ac:dyDescent="0.4">
      <c r="D195" s="57"/>
      <c r="F195" s="58"/>
    </row>
    <row r="196" spans="4:6" x14ac:dyDescent="0.4">
      <c r="D196" s="57"/>
      <c r="F196" s="58"/>
    </row>
    <row r="197" spans="4:6" x14ac:dyDescent="0.4">
      <c r="D197" s="57"/>
      <c r="F197" s="58"/>
    </row>
    <row r="198" spans="4:6" x14ac:dyDescent="0.4">
      <c r="D198" s="57"/>
      <c r="F198" s="58"/>
    </row>
    <row r="199" spans="4:6" x14ac:dyDescent="0.4">
      <c r="D199" s="57"/>
      <c r="F199" s="58"/>
    </row>
    <row r="200" spans="4:6" x14ac:dyDescent="0.4">
      <c r="D200" s="57"/>
      <c r="F200" s="58"/>
    </row>
    <row r="201" spans="4:6" x14ac:dyDescent="0.4">
      <c r="D201" s="57"/>
      <c r="F201" s="58"/>
    </row>
    <row r="202" spans="4:6" x14ac:dyDescent="0.4">
      <c r="D202" s="57"/>
      <c r="F202" s="58"/>
    </row>
    <row r="203" spans="4:6" x14ac:dyDescent="0.4">
      <c r="D203" s="57"/>
      <c r="F203" s="58"/>
    </row>
    <row r="204" spans="4:6" x14ac:dyDescent="0.4">
      <c r="D204" s="57"/>
      <c r="F204" s="58"/>
    </row>
    <row r="205" spans="4:6" x14ac:dyDescent="0.4">
      <c r="D205" s="57"/>
      <c r="F205" s="58"/>
    </row>
    <row r="206" spans="4:6" x14ac:dyDescent="0.4">
      <c r="D206" s="57"/>
      <c r="F206" s="58"/>
    </row>
    <row r="207" spans="4:6" x14ac:dyDescent="0.4">
      <c r="D207" s="57"/>
      <c r="F207" s="58"/>
    </row>
    <row r="208" spans="4:6" x14ac:dyDescent="0.4">
      <c r="D208" s="57"/>
      <c r="F208" s="58"/>
    </row>
    <row r="209" spans="4:6" x14ac:dyDescent="0.4">
      <c r="D209" s="57"/>
      <c r="F209" s="58"/>
    </row>
    <row r="210" spans="4:6" x14ac:dyDescent="0.4">
      <c r="D210" s="57"/>
      <c r="F210" s="58"/>
    </row>
    <row r="211" spans="4:6" x14ac:dyDescent="0.4">
      <c r="D211" s="57"/>
      <c r="F211" s="58"/>
    </row>
    <row r="212" spans="4:6" x14ac:dyDescent="0.4">
      <c r="D212" s="57"/>
      <c r="F212" s="58"/>
    </row>
    <row r="213" spans="4:6" x14ac:dyDescent="0.4">
      <c r="D213" s="57"/>
      <c r="F213" s="58"/>
    </row>
    <row r="214" spans="4:6" x14ac:dyDescent="0.4">
      <c r="D214" s="57"/>
      <c r="F214" s="58"/>
    </row>
    <row r="215" spans="4:6" x14ac:dyDescent="0.4">
      <c r="D215" s="57"/>
      <c r="F215" s="58"/>
    </row>
    <row r="216" spans="4:6" x14ac:dyDescent="0.4">
      <c r="D216" s="57"/>
      <c r="F216" s="58"/>
    </row>
    <row r="217" spans="4:6" x14ac:dyDescent="0.4">
      <c r="D217" s="57"/>
      <c r="F217" s="58"/>
    </row>
    <row r="218" spans="4:6" x14ac:dyDescent="0.4">
      <c r="D218" s="57"/>
      <c r="F218" s="58"/>
    </row>
    <row r="219" spans="4:6" x14ac:dyDescent="0.4">
      <c r="D219" s="57"/>
      <c r="F219" s="58"/>
    </row>
    <row r="220" spans="4:6" x14ac:dyDescent="0.4">
      <c r="D220" s="57"/>
      <c r="F220" s="58"/>
    </row>
    <row r="221" spans="4:6" x14ac:dyDescent="0.4">
      <c r="D221" s="57"/>
      <c r="F221" s="58"/>
    </row>
    <row r="222" spans="4:6" x14ac:dyDescent="0.4">
      <c r="D222" s="57"/>
      <c r="F222" s="58"/>
    </row>
    <row r="223" spans="4:6" x14ac:dyDescent="0.4">
      <c r="D223" s="57"/>
      <c r="F223" s="58"/>
    </row>
    <row r="224" spans="4:6" x14ac:dyDescent="0.4">
      <c r="D224" s="57"/>
      <c r="F224" s="58"/>
    </row>
    <row r="225" spans="4:6" x14ac:dyDescent="0.4">
      <c r="D225" s="57"/>
      <c r="F225" s="58"/>
    </row>
    <row r="226" spans="4:6" x14ac:dyDescent="0.4">
      <c r="D226" s="57"/>
      <c r="F226" s="58"/>
    </row>
    <row r="227" spans="4:6" x14ac:dyDescent="0.4">
      <c r="D227" s="57"/>
      <c r="F227" s="58"/>
    </row>
    <row r="228" spans="4:6" x14ac:dyDescent="0.4">
      <c r="D228" s="57"/>
      <c r="F228" s="58"/>
    </row>
    <row r="229" spans="4:6" x14ac:dyDescent="0.4">
      <c r="D229" s="57"/>
      <c r="F229" s="58"/>
    </row>
    <row r="230" spans="4:6" x14ac:dyDescent="0.4">
      <c r="D230" s="57"/>
      <c r="F230" s="58"/>
    </row>
    <row r="231" spans="4:6" x14ac:dyDescent="0.4">
      <c r="D231" s="57"/>
      <c r="F231" s="58"/>
    </row>
    <row r="232" spans="4:6" x14ac:dyDescent="0.4">
      <c r="D232" s="57"/>
      <c r="F232" s="58"/>
    </row>
    <row r="233" spans="4:6" x14ac:dyDescent="0.4">
      <c r="D233" s="57"/>
      <c r="F233" s="58"/>
    </row>
    <row r="234" spans="4:6" x14ac:dyDescent="0.4">
      <c r="D234" s="57"/>
      <c r="F234" s="58"/>
    </row>
    <row r="235" spans="4:6" x14ac:dyDescent="0.4">
      <c r="D235" s="57"/>
      <c r="F235" s="58"/>
    </row>
    <row r="236" spans="4:6" x14ac:dyDescent="0.4">
      <c r="D236" s="57"/>
      <c r="F236" s="58"/>
    </row>
    <row r="237" spans="4:6" x14ac:dyDescent="0.4">
      <c r="D237" s="57"/>
      <c r="F237" s="58"/>
    </row>
    <row r="238" spans="4:6" x14ac:dyDescent="0.4">
      <c r="D238" s="57"/>
      <c r="F238" s="58"/>
    </row>
    <row r="239" spans="4:6" x14ac:dyDescent="0.4">
      <c r="D239" s="57"/>
      <c r="F239" s="58"/>
    </row>
    <row r="240" spans="4:6" x14ac:dyDescent="0.4">
      <c r="D240" s="57"/>
      <c r="F240" s="58"/>
    </row>
    <row r="241" spans="4:6" x14ac:dyDescent="0.4">
      <c r="D241" s="57"/>
      <c r="F241" s="58"/>
    </row>
    <row r="242" spans="4:6" x14ac:dyDescent="0.4">
      <c r="D242" s="57"/>
      <c r="F242" s="58"/>
    </row>
    <row r="243" spans="4:6" x14ac:dyDescent="0.4">
      <c r="D243" s="57"/>
      <c r="F243" s="58"/>
    </row>
    <row r="244" spans="4:6" x14ac:dyDescent="0.4">
      <c r="D244" s="57"/>
      <c r="F244" s="58"/>
    </row>
    <row r="245" spans="4:6" x14ac:dyDescent="0.4">
      <c r="D245" s="57"/>
      <c r="F245" s="58"/>
    </row>
    <row r="246" spans="4:6" x14ac:dyDescent="0.4">
      <c r="D246" s="57"/>
      <c r="F246" s="58"/>
    </row>
    <row r="247" spans="4:6" x14ac:dyDescent="0.4">
      <c r="D247" s="57"/>
      <c r="F247" s="58"/>
    </row>
    <row r="248" spans="4:6" x14ac:dyDescent="0.4">
      <c r="D248" s="57"/>
      <c r="F248" s="58"/>
    </row>
    <row r="249" spans="4:6" x14ac:dyDescent="0.4">
      <c r="D249" s="57"/>
      <c r="F249" s="58"/>
    </row>
    <row r="250" spans="4:6" x14ac:dyDescent="0.4">
      <c r="D250" s="57"/>
      <c r="F250" s="58"/>
    </row>
    <row r="251" spans="4:6" x14ac:dyDescent="0.4">
      <c r="D251" s="57"/>
      <c r="F251" s="58"/>
    </row>
    <row r="252" spans="4:6" x14ac:dyDescent="0.4">
      <c r="D252" s="57"/>
      <c r="F252" s="58"/>
    </row>
    <row r="253" spans="4:6" x14ac:dyDescent="0.4">
      <c r="D253" s="57"/>
      <c r="F253" s="58"/>
    </row>
    <row r="254" spans="4:6" x14ac:dyDescent="0.4">
      <c r="D254" s="57"/>
      <c r="F254" s="58"/>
    </row>
    <row r="255" spans="4:6" x14ac:dyDescent="0.4">
      <c r="D255" s="57"/>
      <c r="F255" s="58"/>
    </row>
    <row r="256" spans="4:6" x14ac:dyDescent="0.4">
      <c r="D256" s="57"/>
      <c r="F256" s="58"/>
    </row>
    <row r="257" spans="4:6" x14ac:dyDescent="0.4">
      <c r="D257" s="57"/>
      <c r="F257" s="58"/>
    </row>
    <row r="258" spans="4:6" x14ac:dyDescent="0.4">
      <c r="D258" s="57"/>
      <c r="F258" s="58"/>
    </row>
    <row r="259" spans="4:6" x14ac:dyDescent="0.4">
      <c r="D259" s="57"/>
      <c r="F259" s="58"/>
    </row>
    <row r="260" spans="4:6" x14ac:dyDescent="0.4">
      <c r="D260" s="57"/>
      <c r="F260" s="58"/>
    </row>
    <row r="261" spans="4:6" x14ac:dyDescent="0.4">
      <c r="D261" s="57"/>
      <c r="F261" s="58"/>
    </row>
    <row r="262" spans="4:6" x14ac:dyDescent="0.4">
      <c r="D262" s="57"/>
      <c r="F262" s="58"/>
    </row>
    <row r="263" spans="4:6" x14ac:dyDescent="0.4">
      <c r="D263" s="57"/>
      <c r="F263" s="58"/>
    </row>
    <row r="264" spans="4:6" x14ac:dyDescent="0.4">
      <c r="D264" s="57"/>
      <c r="F264" s="58"/>
    </row>
    <row r="265" spans="4:6" x14ac:dyDescent="0.4">
      <c r="D265" s="57"/>
      <c r="F265" s="58"/>
    </row>
    <row r="266" spans="4:6" x14ac:dyDescent="0.4">
      <c r="D266" s="57"/>
      <c r="F266" s="58"/>
    </row>
    <row r="267" spans="4:6" x14ac:dyDescent="0.4">
      <c r="D267" s="57"/>
      <c r="F267" s="58"/>
    </row>
    <row r="268" spans="4:6" x14ac:dyDescent="0.4">
      <c r="D268" s="57"/>
      <c r="F268" s="58"/>
    </row>
    <row r="269" spans="4:6" x14ac:dyDescent="0.4">
      <c r="D269" s="57"/>
      <c r="F269" s="58"/>
    </row>
    <row r="270" spans="4:6" x14ac:dyDescent="0.4">
      <c r="D270" s="57"/>
      <c r="F270" s="58"/>
    </row>
    <row r="271" spans="4:6" x14ac:dyDescent="0.4">
      <c r="D271" s="57"/>
      <c r="F271" s="58"/>
    </row>
    <row r="272" spans="4:6" x14ac:dyDescent="0.4">
      <c r="D272" s="57"/>
      <c r="F272" s="58"/>
    </row>
    <row r="273" spans="4:6" x14ac:dyDescent="0.4">
      <c r="D273" s="57"/>
      <c r="F273" s="58"/>
    </row>
    <row r="274" spans="4:6" x14ac:dyDescent="0.4">
      <c r="D274" s="57"/>
      <c r="F274" s="58"/>
    </row>
    <row r="275" spans="4:6" x14ac:dyDescent="0.4">
      <c r="D275" s="57"/>
      <c r="F275" s="58"/>
    </row>
    <row r="276" spans="4:6" x14ac:dyDescent="0.4">
      <c r="D276" s="57"/>
      <c r="F276" s="58"/>
    </row>
    <row r="277" spans="4:6" x14ac:dyDescent="0.4">
      <c r="D277" s="57"/>
      <c r="F277" s="58"/>
    </row>
    <row r="278" spans="4:6" x14ac:dyDescent="0.4">
      <c r="D278" s="57"/>
      <c r="F278" s="58"/>
    </row>
    <row r="279" spans="4:6" x14ac:dyDescent="0.4">
      <c r="D279" s="57"/>
      <c r="F279" s="58"/>
    </row>
    <row r="280" spans="4:6" x14ac:dyDescent="0.4">
      <c r="D280" s="57"/>
      <c r="F280" s="58"/>
    </row>
    <row r="281" spans="4:6" x14ac:dyDescent="0.4">
      <c r="D281" s="57"/>
      <c r="F281" s="58"/>
    </row>
    <row r="282" spans="4:6" x14ac:dyDescent="0.4">
      <c r="D282" s="57"/>
      <c r="F282" s="58"/>
    </row>
    <row r="283" spans="4:6" x14ac:dyDescent="0.4">
      <c r="D283" s="57"/>
      <c r="F283" s="58"/>
    </row>
    <row r="284" spans="4:6" x14ac:dyDescent="0.4">
      <c r="D284" s="57"/>
      <c r="F284" s="58"/>
    </row>
    <row r="285" spans="4:6" x14ac:dyDescent="0.4">
      <c r="D285" s="57"/>
      <c r="F285" s="58"/>
    </row>
    <row r="286" spans="4:6" x14ac:dyDescent="0.4">
      <c r="D286" s="57"/>
      <c r="F286" s="58"/>
    </row>
    <row r="287" spans="4:6" x14ac:dyDescent="0.4">
      <c r="D287" s="57"/>
      <c r="F287" s="58"/>
    </row>
    <row r="288" spans="4:6" x14ac:dyDescent="0.4">
      <c r="D288" s="57"/>
      <c r="F288" s="58"/>
    </row>
    <row r="289" spans="4:6" x14ac:dyDescent="0.4">
      <c r="D289" s="57"/>
      <c r="F289" s="58"/>
    </row>
    <row r="290" spans="4:6" x14ac:dyDescent="0.4">
      <c r="D290" s="57"/>
      <c r="F290" s="58"/>
    </row>
    <row r="291" spans="4:6" x14ac:dyDescent="0.4">
      <c r="D291" s="57"/>
      <c r="F291" s="58"/>
    </row>
    <row r="292" spans="4:6" x14ac:dyDescent="0.4">
      <c r="D292" s="57"/>
      <c r="F292" s="58"/>
    </row>
    <row r="293" spans="4:6" x14ac:dyDescent="0.4">
      <c r="D293" s="57"/>
      <c r="F293" s="58"/>
    </row>
    <row r="294" spans="4:6" x14ac:dyDescent="0.4">
      <c r="D294" s="57"/>
      <c r="F294" s="58"/>
    </row>
    <row r="295" spans="4:6" x14ac:dyDescent="0.4">
      <c r="D295" s="57"/>
      <c r="F295" s="58"/>
    </row>
    <row r="296" spans="4:6" x14ac:dyDescent="0.4">
      <c r="D296" s="57"/>
      <c r="F296" s="58"/>
    </row>
    <row r="297" spans="4:6" x14ac:dyDescent="0.4">
      <c r="D297" s="57"/>
      <c r="F297" s="58"/>
    </row>
    <row r="298" spans="4:6" x14ac:dyDescent="0.4">
      <c r="D298" s="57"/>
      <c r="F298" s="58"/>
    </row>
    <row r="299" spans="4:6" x14ac:dyDescent="0.4">
      <c r="D299" s="57"/>
      <c r="F299" s="58"/>
    </row>
    <row r="300" spans="4:6" x14ac:dyDescent="0.4">
      <c r="D300" s="57"/>
      <c r="F300" s="58"/>
    </row>
    <row r="301" spans="4:6" x14ac:dyDescent="0.4">
      <c r="D301" s="57"/>
      <c r="F301" s="58"/>
    </row>
    <row r="302" spans="4:6" x14ac:dyDescent="0.4">
      <c r="D302" s="57"/>
      <c r="F302" s="58"/>
    </row>
    <row r="303" spans="4:6" x14ac:dyDescent="0.4">
      <c r="D303" s="57"/>
      <c r="F303" s="58"/>
    </row>
    <row r="304" spans="4:6" x14ac:dyDescent="0.4">
      <c r="D304" s="57"/>
      <c r="F304" s="58"/>
    </row>
    <row r="305" spans="4:6" x14ac:dyDescent="0.4">
      <c r="D305" s="57"/>
      <c r="F305" s="58"/>
    </row>
    <row r="306" spans="4:6" x14ac:dyDescent="0.4">
      <c r="D306" s="57"/>
      <c r="F306" s="58"/>
    </row>
    <row r="307" spans="4:6" x14ac:dyDescent="0.4">
      <c r="D307" s="57"/>
      <c r="F307" s="58"/>
    </row>
    <row r="308" spans="4:6" x14ac:dyDescent="0.4">
      <c r="D308" s="57"/>
      <c r="F308" s="58"/>
    </row>
    <row r="309" spans="4:6" x14ac:dyDescent="0.4">
      <c r="D309" s="57"/>
      <c r="F309" s="58"/>
    </row>
    <row r="310" spans="4:6" x14ac:dyDescent="0.4">
      <c r="D310" s="57"/>
      <c r="F310" s="58"/>
    </row>
    <row r="311" spans="4:6" x14ac:dyDescent="0.4">
      <c r="D311" s="57"/>
      <c r="F311" s="58"/>
    </row>
    <row r="312" spans="4:6" x14ac:dyDescent="0.4">
      <c r="D312" s="57"/>
      <c r="F312" s="58"/>
    </row>
    <row r="313" spans="4:6" x14ac:dyDescent="0.4">
      <c r="D313" s="57"/>
      <c r="F313" s="58"/>
    </row>
    <row r="314" spans="4:6" x14ac:dyDescent="0.4">
      <c r="D314" s="57"/>
      <c r="F314" s="58"/>
    </row>
    <row r="315" spans="4:6" x14ac:dyDescent="0.4">
      <c r="D315" s="57"/>
      <c r="F315" s="58"/>
    </row>
    <row r="316" spans="4:6" x14ac:dyDescent="0.4">
      <c r="D316" s="57"/>
      <c r="F316" s="58"/>
    </row>
    <row r="317" spans="4:6" x14ac:dyDescent="0.4">
      <c r="D317" s="57"/>
      <c r="F317" s="58"/>
    </row>
    <row r="318" spans="4:6" x14ac:dyDescent="0.4">
      <c r="D318" s="57"/>
      <c r="F318" s="58"/>
    </row>
    <row r="319" spans="4:6" x14ac:dyDescent="0.4">
      <c r="D319" s="57"/>
      <c r="F319" s="58"/>
    </row>
    <row r="320" spans="4:6" x14ac:dyDescent="0.4">
      <c r="D320" s="57"/>
      <c r="F320" s="58"/>
    </row>
    <row r="321" spans="4:6" x14ac:dyDescent="0.4">
      <c r="D321" s="57"/>
      <c r="F321" s="58"/>
    </row>
    <row r="322" spans="4:6" x14ac:dyDescent="0.4">
      <c r="D322" s="57"/>
      <c r="F322" s="58"/>
    </row>
    <row r="323" spans="4:6" x14ac:dyDescent="0.4">
      <c r="D323" s="57"/>
      <c r="F323" s="58"/>
    </row>
    <row r="324" spans="4:6" x14ac:dyDescent="0.4">
      <c r="D324" s="57"/>
      <c r="F324" s="58"/>
    </row>
    <row r="325" spans="4:6" x14ac:dyDescent="0.4">
      <c r="D325" s="57"/>
      <c r="F325" s="58"/>
    </row>
    <row r="326" spans="4:6" x14ac:dyDescent="0.4">
      <c r="D326" s="57"/>
      <c r="F326" s="58"/>
    </row>
    <row r="327" spans="4:6" x14ac:dyDescent="0.4">
      <c r="D327" s="57"/>
      <c r="F327" s="58"/>
    </row>
    <row r="328" spans="4:6" x14ac:dyDescent="0.4">
      <c r="D328" s="57"/>
      <c r="F328" s="58"/>
    </row>
    <row r="329" spans="4:6" x14ac:dyDescent="0.4">
      <c r="D329" s="57"/>
      <c r="F329" s="58"/>
    </row>
    <row r="330" spans="4:6" x14ac:dyDescent="0.4">
      <c r="D330" s="57"/>
      <c r="F330" s="58"/>
    </row>
    <row r="331" spans="4:6" x14ac:dyDescent="0.4">
      <c r="D331" s="57"/>
      <c r="F331" s="58"/>
    </row>
    <row r="332" spans="4:6" x14ac:dyDescent="0.4">
      <c r="D332" s="57"/>
      <c r="F332" s="58"/>
    </row>
    <row r="333" spans="4:6" x14ac:dyDescent="0.4">
      <c r="D333" s="57"/>
      <c r="F333" s="58"/>
    </row>
    <row r="334" spans="4:6" x14ac:dyDescent="0.4">
      <c r="D334" s="57"/>
      <c r="F334" s="58"/>
    </row>
    <row r="335" spans="4:6" x14ac:dyDescent="0.4">
      <c r="D335" s="57"/>
      <c r="F335" s="58"/>
    </row>
    <row r="336" spans="4:6" x14ac:dyDescent="0.4">
      <c r="D336" s="57"/>
      <c r="F336" s="58"/>
    </row>
    <row r="337" spans="4:6" x14ac:dyDescent="0.4">
      <c r="D337" s="57"/>
      <c r="F337" s="58"/>
    </row>
    <row r="338" spans="4:6" x14ac:dyDescent="0.4">
      <c r="D338" s="57"/>
      <c r="F338" s="58"/>
    </row>
    <row r="339" spans="4:6" x14ac:dyDescent="0.4">
      <c r="D339" s="57"/>
      <c r="F339" s="58"/>
    </row>
    <row r="340" spans="4:6" x14ac:dyDescent="0.4">
      <c r="D340" s="57"/>
      <c r="F340" s="58"/>
    </row>
    <row r="341" spans="4:6" x14ac:dyDescent="0.4">
      <c r="D341" s="57"/>
      <c r="F341" s="58"/>
    </row>
    <row r="342" spans="4:6" x14ac:dyDescent="0.4">
      <c r="D342" s="57"/>
      <c r="F342" s="58"/>
    </row>
    <row r="343" spans="4:6" x14ac:dyDescent="0.4">
      <c r="D343" s="57"/>
      <c r="F343" s="58"/>
    </row>
    <row r="344" spans="4:6" x14ac:dyDescent="0.4">
      <c r="D344" s="57"/>
      <c r="F344" s="58"/>
    </row>
    <row r="345" spans="4:6" x14ac:dyDescent="0.4">
      <c r="D345" s="57"/>
      <c r="F345" s="58"/>
    </row>
    <row r="346" spans="4:6" x14ac:dyDescent="0.4">
      <c r="D346" s="57"/>
      <c r="F346" s="58"/>
    </row>
    <row r="347" spans="4:6" x14ac:dyDescent="0.4">
      <c r="D347" s="57"/>
      <c r="F347" s="58"/>
    </row>
    <row r="348" spans="4:6" x14ac:dyDescent="0.4">
      <c r="D348" s="57"/>
      <c r="F348" s="58"/>
    </row>
    <row r="349" spans="4:6" x14ac:dyDescent="0.4">
      <c r="D349" s="57"/>
      <c r="F349" s="58"/>
    </row>
    <row r="350" spans="4:6" x14ac:dyDescent="0.4">
      <c r="D350" s="57"/>
      <c r="F350" s="58"/>
    </row>
    <row r="351" spans="4:6" x14ac:dyDescent="0.4">
      <c r="D351" s="57"/>
      <c r="F351" s="58"/>
    </row>
    <row r="352" spans="4:6" x14ac:dyDescent="0.4">
      <c r="D352" s="57"/>
      <c r="F352" s="58"/>
    </row>
    <row r="353" spans="4:6" x14ac:dyDescent="0.4">
      <c r="D353" s="57"/>
      <c r="F353" s="58"/>
    </row>
    <row r="354" spans="4:6" x14ac:dyDescent="0.4">
      <c r="D354" s="57"/>
      <c r="F354" s="58"/>
    </row>
    <row r="355" spans="4:6" x14ac:dyDescent="0.4">
      <c r="D355" s="57"/>
      <c r="F355" s="58"/>
    </row>
    <row r="356" spans="4:6" x14ac:dyDescent="0.4">
      <c r="D356" s="57"/>
      <c r="F356" s="58"/>
    </row>
    <row r="357" spans="4:6" x14ac:dyDescent="0.4">
      <c r="D357" s="57"/>
      <c r="F357" s="58"/>
    </row>
    <row r="358" spans="4:6" x14ac:dyDescent="0.4">
      <c r="D358" s="57"/>
      <c r="F358" s="58"/>
    </row>
    <row r="359" spans="4:6" x14ac:dyDescent="0.4">
      <c r="D359" s="57"/>
      <c r="F359" s="58"/>
    </row>
    <row r="360" spans="4:6" x14ac:dyDescent="0.4">
      <c r="D360" s="57"/>
      <c r="F360" s="58"/>
    </row>
    <row r="361" spans="4:6" x14ac:dyDescent="0.4">
      <c r="D361" s="57"/>
      <c r="F361" s="58"/>
    </row>
    <row r="362" spans="4:6" x14ac:dyDescent="0.4">
      <c r="D362" s="57"/>
      <c r="F362" s="58"/>
    </row>
    <row r="363" spans="4:6" x14ac:dyDescent="0.4">
      <c r="D363" s="57"/>
      <c r="F363" s="58"/>
    </row>
    <row r="364" spans="4:6" x14ac:dyDescent="0.4">
      <c r="D364" s="57"/>
      <c r="F364" s="58"/>
    </row>
    <row r="365" spans="4:6" x14ac:dyDescent="0.4">
      <c r="D365" s="57"/>
      <c r="F365" s="58"/>
    </row>
    <row r="366" spans="4:6" x14ac:dyDescent="0.4">
      <c r="D366" s="57"/>
      <c r="F366" s="58"/>
    </row>
    <row r="367" spans="4:6" x14ac:dyDescent="0.4">
      <c r="D367" s="57"/>
      <c r="F367" s="58"/>
    </row>
    <row r="368" spans="4:6" x14ac:dyDescent="0.4">
      <c r="D368" s="57"/>
      <c r="F368" s="58"/>
    </row>
    <row r="369" spans="4:6" x14ac:dyDescent="0.4">
      <c r="D369" s="57"/>
      <c r="F369" s="58"/>
    </row>
    <row r="370" spans="4:6" x14ac:dyDescent="0.4">
      <c r="D370" s="57"/>
      <c r="F370" s="58"/>
    </row>
    <row r="371" spans="4:6" x14ac:dyDescent="0.4">
      <c r="D371" s="57"/>
      <c r="F371" s="58"/>
    </row>
    <row r="372" spans="4:6" x14ac:dyDescent="0.4">
      <c r="D372" s="57"/>
      <c r="F372" s="58"/>
    </row>
    <row r="373" spans="4:6" x14ac:dyDescent="0.4">
      <c r="D373" s="57"/>
      <c r="F373" s="58"/>
    </row>
    <row r="374" spans="4:6" x14ac:dyDescent="0.4">
      <c r="D374" s="57"/>
      <c r="F374" s="58"/>
    </row>
    <row r="375" spans="4:6" x14ac:dyDescent="0.4">
      <c r="D375" s="57"/>
      <c r="F375" s="58"/>
    </row>
    <row r="376" spans="4:6" x14ac:dyDescent="0.4">
      <c r="D376" s="57"/>
      <c r="F376" s="58"/>
    </row>
    <row r="377" spans="4:6" x14ac:dyDescent="0.4">
      <c r="D377" s="57"/>
      <c r="F377" s="58"/>
    </row>
    <row r="378" spans="4:6" x14ac:dyDescent="0.4">
      <c r="D378" s="57"/>
      <c r="F378" s="58"/>
    </row>
    <row r="379" spans="4:6" x14ac:dyDescent="0.4">
      <c r="D379" s="57"/>
      <c r="F379" s="58"/>
    </row>
    <row r="380" spans="4:6" x14ac:dyDescent="0.4">
      <c r="D380" s="57"/>
      <c r="F380" s="58"/>
    </row>
    <row r="381" spans="4:6" x14ac:dyDescent="0.4">
      <c r="D381" s="57"/>
      <c r="F381" s="58"/>
    </row>
    <row r="382" spans="4:6" x14ac:dyDescent="0.4">
      <c r="D382" s="57"/>
      <c r="F382" s="58"/>
    </row>
    <row r="383" spans="4:6" x14ac:dyDescent="0.4">
      <c r="D383" s="57"/>
      <c r="F383" s="58"/>
    </row>
    <row r="384" spans="4:6" x14ac:dyDescent="0.4">
      <c r="D384" s="57"/>
      <c r="F384" s="58"/>
    </row>
    <row r="385" spans="4:6" x14ac:dyDescent="0.4">
      <c r="D385" s="57"/>
      <c r="F385" s="58"/>
    </row>
    <row r="386" spans="4:6" x14ac:dyDescent="0.4">
      <c r="D386" s="57"/>
      <c r="F386" s="58"/>
    </row>
    <row r="387" spans="4:6" x14ac:dyDescent="0.4">
      <c r="D387" s="57"/>
      <c r="F387" s="58"/>
    </row>
    <row r="388" spans="4:6" x14ac:dyDescent="0.4">
      <c r="D388" s="57"/>
      <c r="F388" s="58"/>
    </row>
    <row r="389" spans="4:6" x14ac:dyDescent="0.4">
      <c r="D389" s="57"/>
      <c r="F389" s="58"/>
    </row>
    <row r="390" spans="4:6" x14ac:dyDescent="0.4">
      <c r="D390" s="57"/>
      <c r="F390" s="58"/>
    </row>
    <row r="391" spans="4:6" x14ac:dyDescent="0.4">
      <c r="D391" s="57"/>
      <c r="F391" s="58"/>
    </row>
    <row r="392" spans="4:6" x14ac:dyDescent="0.4">
      <c r="D392" s="57"/>
      <c r="F392" s="58"/>
    </row>
    <row r="393" spans="4:6" x14ac:dyDescent="0.4">
      <c r="D393" s="57"/>
      <c r="F393" s="58"/>
    </row>
    <row r="394" spans="4:6" x14ac:dyDescent="0.4">
      <c r="D394" s="57"/>
      <c r="F394" s="58"/>
    </row>
    <row r="395" spans="4:6" x14ac:dyDescent="0.4">
      <c r="D395" s="57"/>
      <c r="F395" s="58"/>
    </row>
    <row r="396" spans="4:6" x14ac:dyDescent="0.4">
      <c r="D396" s="57"/>
      <c r="F396" s="58"/>
    </row>
    <row r="397" spans="4:6" x14ac:dyDescent="0.4">
      <c r="D397" s="57"/>
      <c r="F397" s="58"/>
    </row>
    <row r="398" spans="4:6" x14ac:dyDescent="0.4">
      <c r="D398" s="57"/>
      <c r="F398" s="58"/>
    </row>
    <row r="399" spans="4:6" x14ac:dyDescent="0.4">
      <c r="D399" s="57"/>
      <c r="F399" s="58"/>
    </row>
    <row r="400" spans="4:6" x14ac:dyDescent="0.4">
      <c r="D400" s="57"/>
      <c r="F400" s="58"/>
    </row>
    <row r="401" spans="4:6" x14ac:dyDescent="0.4">
      <c r="D401" s="57"/>
      <c r="F401" s="58"/>
    </row>
    <row r="402" spans="4:6" x14ac:dyDescent="0.4">
      <c r="D402" s="57"/>
      <c r="F402" s="58"/>
    </row>
    <row r="403" spans="4:6" x14ac:dyDescent="0.4">
      <c r="D403" s="57"/>
      <c r="F403" s="58"/>
    </row>
    <row r="404" spans="4:6" x14ac:dyDescent="0.4">
      <c r="D404" s="57"/>
      <c r="F404" s="58"/>
    </row>
    <row r="405" spans="4:6" x14ac:dyDescent="0.4">
      <c r="D405" s="57"/>
      <c r="F405" s="58"/>
    </row>
    <row r="406" spans="4:6" x14ac:dyDescent="0.4">
      <c r="D406" s="57"/>
      <c r="F406" s="58"/>
    </row>
    <row r="407" spans="4:6" x14ac:dyDescent="0.4">
      <c r="D407" s="57"/>
      <c r="F407" s="58"/>
    </row>
    <row r="408" spans="4:6" x14ac:dyDescent="0.4">
      <c r="D408" s="57"/>
      <c r="F408" s="58"/>
    </row>
    <row r="409" spans="4:6" x14ac:dyDescent="0.4">
      <c r="D409" s="57"/>
      <c r="F409" s="58"/>
    </row>
    <row r="410" spans="4:6" x14ac:dyDescent="0.4">
      <c r="D410" s="57"/>
      <c r="F410" s="58"/>
    </row>
    <row r="411" spans="4:6" x14ac:dyDescent="0.4">
      <c r="D411" s="57"/>
      <c r="F411" s="58"/>
    </row>
    <row r="412" spans="4:6" x14ac:dyDescent="0.4">
      <c r="D412" s="57"/>
      <c r="F412" s="58"/>
    </row>
    <row r="413" spans="4:6" x14ac:dyDescent="0.4">
      <c r="D413" s="57"/>
      <c r="F413" s="58"/>
    </row>
    <row r="414" spans="4:6" x14ac:dyDescent="0.4">
      <c r="D414" s="57"/>
      <c r="F414" s="58"/>
    </row>
    <row r="415" spans="4:6" x14ac:dyDescent="0.4">
      <c r="D415" s="57"/>
      <c r="F415" s="58"/>
    </row>
    <row r="416" spans="4:6" x14ac:dyDescent="0.4">
      <c r="D416" s="57"/>
      <c r="F416" s="58"/>
    </row>
    <row r="417" spans="4:6" x14ac:dyDescent="0.4">
      <c r="D417" s="57"/>
      <c r="F417" s="58"/>
    </row>
    <row r="418" spans="4:6" x14ac:dyDescent="0.4">
      <c r="D418" s="57"/>
      <c r="F418" s="58"/>
    </row>
    <row r="419" spans="4:6" x14ac:dyDescent="0.4">
      <c r="D419" s="57"/>
      <c r="F419" s="58"/>
    </row>
    <row r="420" spans="4:6" x14ac:dyDescent="0.4">
      <c r="D420" s="57"/>
      <c r="F420" s="58"/>
    </row>
    <row r="421" spans="4:6" x14ac:dyDescent="0.4">
      <c r="D421" s="57"/>
      <c r="F421" s="58"/>
    </row>
    <row r="422" spans="4:6" x14ac:dyDescent="0.4">
      <c r="D422" s="57"/>
      <c r="F422" s="58"/>
    </row>
    <row r="423" spans="4:6" x14ac:dyDescent="0.4">
      <c r="D423" s="57"/>
      <c r="F423" s="58"/>
    </row>
    <row r="424" spans="4:6" x14ac:dyDescent="0.4">
      <c r="D424" s="57"/>
      <c r="F424" s="58"/>
    </row>
    <row r="425" spans="4:6" x14ac:dyDescent="0.4">
      <c r="D425" s="57"/>
      <c r="F425" s="58"/>
    </row>
    <row r="426" spans="4:6" x14ac:dyDescent="0.4">
      <c r="D426" s="57"/>
      <c r="F426" s="58"/>
    </row>
    <row r="427" spans="4:6" x14ac:dyDescent="0.4">
      <c r="D427" s="57"/>
      <c r="F427" s="58"/>
    </row>
    <row r="428" spans="4:6" x14ac:dyDescent="0.4">
      <c r="D428" s="57"/>
      <c r="F428" s="58"/>
    </row>
    <row r="429" spans="4:6" x14ac:dyDescent="0.4">
      <c r="D429" s="57"/>
      <c r="F429" s="58"/>
    </row>
    <row r="430" spans="4:6" x14ac:dyDescent="0.4">
      <c r="D430" s="57"/>
      <c r="F430" s="58"/>
    </row>
    <row r="431" spans="4:6" x14ac:dyDescent="0.4">
      <c r="D431" s="57"/>
      <c r="F431" s="58"/>
    </row>
    <row r="432" spans="4:6" x14ac:dyDescent="0.4">
      <c r="D432" s="57"/>
      <c r="F432" s="58"/>
    </row>
    <row r="433" spans="4:6" x14ac:dyDescent="0.4">
      <c r="D433" s="57"/>
      <c r="F433" s="58"/>
    </row>
    <row r="434" spans="4:6" x14ac:dyDescent="0.4">
      <c r="D434" s="57"/>
      <c r="F434" s="58"/>
    </row>
    <row r="435" spans="4:6" x14ac:dyDescent="0.4">
      <c r="D435" s="57"/>
      <c r="F435" s="58"/>
    </row>
    <row r="436" spans="4:6" x14ac:dyDescent="0.4">
      <c r="D436" s="57"/>
      <c r="F436" s="58"/>
    </row>
    <row r="437" spans="4:6" x14ac:dyDescent="0.4">
      <c r="D437" s="57"/>
      <c r="F437" s="58"/>
    </row>
    <row r="438" spans="4:6" x14ac:dyDescent="0.4">
      <c r="D438" s="57"/>
      <c r="F438" s="58"/>
    </row>
    <row r="439" spans="4:6" x14ac:dyDescent="0.4">
      <c r="D439" s="57"/>
      <c r="F439" s="58"/>
    </row>
    <row r="440" spans="4:6" x14ac:dyDescent="0.4">
      <c r="D440" s="57"/>
      <c r="F440" s="58"/>
    </row>
    <row r="441" spans="4:6" x14ac:dyDescent="0.4">
      <c r="D441" s="57"/>
      <c r="F441" s="58"/>
    </row>
    <row r="442" spans="4:6" x14ac:dyDescent="0.4">
      <c r="D442" s="57"/>
      <c r="F442" s="58"/>
    </row>
    <row r="443" spans="4:6" x14ac:dyDescent="0.4">
      <c r="D443" s="57"/>
      <c r="F443" s="58"/>
    </row>
    <row r="444" spans="4:6" x14ac:dyDescent="0.4">
      <c r="D444" s="57"/>
      <c r="F444" s="58"/>
    </row>
    <row r="445" spans="4:6" x14ac:dyDescent="0.4">
      <c r="D445" s="57"/>
      <c r="F445" s="58"/>
    </row>
    <row r="446" spans="4:6" x14ac:dyDescent="0.4">
      <c r="D446" s="57"/>
      <c r="F446" s="58"/>
    </row>
    <row r="447" spans="4:6" x14ac:dyDescent="0.4">
      <c r="D447" s="57"/>
      <c r="F447" s="58"/>
    </row>
    <row r="448" spans="4:6" x14ac:dyDescent="0.4">
      <c r="D448" s="57"/>
      <c r="F448" s="58"/>
    </row>
    <row r="449" spans="4:6" x14ac:dyDescent="0.4">
      <c r="D449" s="57"/>
      <c r="F449" s="58"/>
    </row>
    <row r="450" spans="4:6" x14ac:dyDescent="0.4">
      <c r="D450" s="57"/>
      <c r="F450" s="58"/>
    </row>
    <row r="451" spans="4:6" x14ac:dyDescent="0.4">
      <c r="D451" s="57"/>
      <c r="F451" s="58"/>
    </row>
    <row r="452" spans="4:6" x14ac:dyDescent="0.4">
      <c r="D452" s="57"/>
      <c r="F452" s="58"/>
    </row>
    <row r="453" spans="4:6" x14ac:dyDescent="0.4">
      <c r="D453" s="57"/>
      <c r="F453" s="58"/>
    </row>
    <row r="454" spans="4:6" x14ac:dyDescent="0.4">
      <c r="D454" s="57"/>
      <c r="F454" s="58"/>
    </row>
    <row r="455" spans="4:6" x14ac:dyDescent="0.4">
      <c r="D455" s="57"/>
      <c r="F455" s="58"/>
    </row>
    <row r="456" spans="4:6" x14ac:dyDescent="0.4">
      <c r="D456" s="57"/>
      <c r="F456" s="58"/>
    </row>
    <row r="457" spans="4:6" x14ac:dyDescent="0.4">
      <c r="D457" s="57"/>
      <c r="F457" s="58"/>
    </row>
    <row r="458" spans="4:6" x14ac:dyDescent="0.4">
      <c r="D458" s="57"/>
      <c r="F458" s="58"/>
    </row>
    <row r="459" spans="4:6" x14ac:dyDescent="0.4">
      <c r="D459" s="57"/>
      <c r="F459" s="58"/>
    </row>
    <row r="460" spans="4:6" x14ac:dyDescent="0.4">
      <c r="D460" s="57"/>
      <c r="F460" s="58"/>
    </row>
    <row r="461" spans="4:6" x14ac:dyDescent="0.4">
      <c r="D461" s="57"/>
      <c r="F461" s="58"/>
    </row>
    <row r="462" spans="4:6" x14ac:dyDescent="0.4">
      <c r="D462" s="57"/>
      <c r="F462" s="58"/>
    </row>
    <row r="463" spans="4:6" x14ac:dyDescent="0.4">
      <c r="D463" s="57"/>
      <c r="F463" s="58"/>
    </row>
    <row r="464" spans="4:6" x14ac:dyDescent="0.4">
      <c r="D464" s="57"/>
      <c r="F464" s="58"/>
    </row>
    <row r="465" spans="4:6" x14ac:dyDescent="0.4">
      <c r="D465" s="57"/>
      <c r="F465" s="58"/>
    </row>
    <row r="466" spans="4:6" x14ac:dyDescent="0.4">
      <c r="D466" s="57"/>
      <c r="F466" s="58"/>
    </row>
    <row r="467" spans="4:6" x14ac:dyDescent="0.4">
      <c r="D467" s="57"/>
      <c r="F467" s="58"/>
    </row>
    <row r="468" spans="4:6" x14ac:dyDescent="0.4">
      <c r="D468" s="57"/>
      <c r="F468" s="58"/>
    </row>
    <row r="469" spans="4:6" x14ac:dyDescent="0.4">
      <c r="D469" s="57"/>
      <c r="F469" s="58"/>
    </row>
    <row r="470" spans="4:6" x14ac:dyDescent="0.4">
      <c r="D470" s="57"/>
      <c r="F470" s="58"/>
    </row>
    <row r="471" spans="4:6" x14ac:dyDescent="0.4">
      <c r="D471" s="57"/>
      <c r="F471" s="58"/>
    </row>
    <row r="472" spans="4:6" x14ac:dyDescent="0.4">
      <c r="D472" s="57"/>
      <c r="F472" s="58"/>
    </row>
    <row r="473" spans="4:6" x14ac:dyDescent="0.4">
      <c r="D473" s="57"/>
      <c r="F473" s="58"/>
    </row>
    <row r="474" spans="4:6" x14ac:dyDescent="0.4">
      <c r="D474" s="57"/>
      <c r="F474" s="58"/>
    </row>
    <row r="475" spans="4:6" x14ac:dyDescent="0.4">
      <c r="D475" s="57"/>
      <c r="F475" s="58"/>
    </row>
    <row r="476" spans="4:6" x14ac:dyDescent="0.4">
      <c r="D476" s="57"/>
      <c r="F476" s="58"/>
    </row>
    <row r="477" spans="4:6" x14ac:dyDescent="0.4">
      <c r="D477" s="57"/>
      <c r="F477" s="58"/>
    </row>
    <row r="478" spans="4:6" x14ac:dyDescent="0.4">
      <c r="D478" s="57"/>
      <c r="F478" s="58"/>
    </row>
    <row r="479" spans="4:6" x14ac:dyDescent="0.4">
      <c r="D479" s="57"/>
      <c r="F479" s="58"/>
    </row>
    <row r="480" spans="4:6" x14ac:dyDescent="0.4">
      <c r="D480" s="57"/>
      <c r="F480" s="58"/>
    </row>
    <row r="481" spans="4:6" x14ac:dyDescent="0.4">
      <c r="D481" s="57"/>
      <c r="F481" s="58"/>
    </row>
    <row r="482" spans="4:6" x14ac:dyDescent="0.4">
      <c r="D482" s="57"/>
      <c r="F482" s="58"/>
    </row>
    <row r="483" spans="4:6" x14ac:dyDescent="0.4">
      <c r="D483" s="57"/>
      <c r="F483" s="58"/>
    </row>
    <row r="484" spans="4:6" x14ac:dyDescent="0.4">
      <c r="D484" s="57"/>
      <c r="F484" s="58"/>
    </row>
    <row r="485" spans="4:6" x14ac:dyDescent="0.4">
      <c r="D485" s="57"/>
      <c r="F485" s="58"/>
    </row>
    <row r="486" spans="4:6" x14ac:dyDescent="0.4">
      <c r="D486" s="57"/>
      <c r="F486" s="58"/>
    </row>
    <row r="487" spans="4:6" x14ac:dyDescent="0.4">
      <c r="D487" s="57"/>
      <c r="F487" s="58"/>
    </row>
    <row r="488" spans="4:6" x14ac:dyDescent="0.4">
      <c r="D488" s="57"/>
      <c r="F488" s="58"/>
    </row>
    <row r="489" spans="4:6" x14ac:dyDescent="0.4">
      <c r="D489" s="57"/>
      <c r="F489" s="58"/>
    </row>
    <row r="490" spans="4:6" x14ac:dyDescent="0.4">
      <c r="D490" s="57"/>
      <c r="F490" s="58"/>
    </row>
    <row r="491" spans="4:6" x14ac:dyDescent="0.4">
      <c r="D491" s="57"/>
      <c r="F491" s="58"/>
    </row>
    <row r="492" spans="4:6" x14ac:dyDescent="0.4">
      <c r="D492" s="57"/>
      <c r="F492" s="58"/>
    </row>
    <row r="493" spans="4:6" x14ac:dyDescent="0.4">
      <c r="D493" s="57"/>
      <c r="F493" s="58"/>
    </row>
    <row r="494" spans="4:6" x14ac:dyDescent="0.4">
      <c r="D494" s="57"/>
      <c r="F494" s="58"/>
    </row>
    <row r="495" spans="4:6" x14ac:dyDescent="0.4">
      <c r="D495" s="57"/>
      <c r="F495" s="58"/>
    </row>
    <row r="496" spans="4:6" x14ac:dyDescent="0.4">
      <c r="D496" s="57"/>
      <c r="F496" s="58"/>
    </row>
    <row r="497" spans="4:6" x14ac:dyDescent="0.4">
      <c r="D497" s="57"/>
      <c r="F497" s="58"/>
    </row>
    <row r="498" spans="4:6" x14ac:dyDescent="0.4">
      <c r="D498" s="57"/>
      <c r="F498" s="58"/>
    </row>
    <row r="499" spans="4:6" x14ac:dyDescent="0.4">
      <c r="D499" s="57"/>
      <c r="F499" s="58"/>
    </row>
    <row r="500" spans="4:6" x14ac:dyDescent="0.4">
      <c r="D500" s="57"/>
      <c r="F500" s="58"/>
    </row>
    <row r="501" spans="4:6" x14ac:dyDescent="0.4">
      <c r="D501" s="57"/>
      <c r="F501" s="58"/>
    </row>
    <row r="502" spans="4:6" x14ac:dyDescent="0.4">
      <c r="D502" s="57"/>
      <c r="F502" s="58"/>
    </row>
    <row r="503" spans="4:6" x14ac:dyDescent="0.4">
      <c r="D503" s="57"/>
      <c r="F503" s="58"/>
    </row>
    <row r="504" spans="4:6" x14ac:dyDescent="0.4">
      <c r="D504" s="57"/>
      <c r="F504" s="58"/>
    </row>
    <row r="505" spans="4:6" x14ac:dyDescent="0.4">
      <c r="D505" s="57"/>
      <c r="F505" s="58"/>
    </row>
    <row r="506" spans="4:6" x14ac:dyDescent="0.4">
      <c r="D506" s="57"/>
      <c r="F506" s="58"/>
    </row>
    <row r="507" spans="4:6" x14ac:dyDescent="0.4">
      <c r="D507" s="57"/>
      <c r="F507" s="58"/>
    </row>
    <row r="508" spans="4:6" x14ac:dyDescent="0.4">
      <c r="D508" s="57"/>
      <c r="F508" s="58"/>
    </row>
    <row r="509" spans="4:6" x14ac:dyDescent="0.4">
      <c r="D509" s="57"/>
      <c r="F509" s="58"/>
    </row>
    <row r="510" spans="4:6" x14ac:dyDescent="0.4">
      <c r="D510" s="57"/>
      <c r="F510" s="58"/>
    </row>
    <row r="511" spans="4:6" x14ac:dyDescent="0.4">
      <c r="D511" s="57"/>
      <c r="F511" s="58"/>
    </row>
    <row r="512" spans="4:6" x14ac:dyDescent="0.4">
      <c r="D512" s="57"/>
      <c r="F512" s="58"/>
    </row>
    <row r="513" spans="4:6" x14ac:dyDescent="0.4">
      <c r="D513" s="57"/>
      <c r="F513" s="58"/>
    </row>
    <row r="514" spans="4:6" x14ac:dyDescent="0.4">
      <c r="D514" s="57"/>
      <c r="F514" s="58"/>
    </row>
    <row r="515" spans="4:6" x14ac:dyDescent="0.4">
      <c r="D515" s="57"/>
      <c r="F515" s="58"/>
    </row>
    <row r="516" spans="4:6" x14ac:dyDescent="0.4">
      <c r="D516" s="57"/>
      <c r="F516" s="58"/>
    </row>
    <row r="517" spans="4:6" x14ac:dyDescent="0.4">
      <c r="D517" s="57"/>
      <c r="F517" s="58"/>
    </row>
    <row r="518" spans="4:6" x14ac:dyDescent="0.4">
      <c r="D518" s="57"/>
      <c r="F518" s="58"/>
    </row>
    <row r="519" spans="4:6" x14ac:dyDescent="0.4">
      <c r="D519" s="57"/>
      <c r="F519" s="58"/>
    </row>
    <row r="520" spans="4:6" x14ac:dyDescent="0.4">
      <c r="D520" s="57"/>
      <c r="F520" s="58"/>
    </row>
    <row r="521" spans="4:6" x14ac:dyDescent="0.4">
      <c r="D521" s="57"/>
      <c r="F521" s="58"/>
    </row>
    <row r="522" spans="4:6" x14ac:dyDescent="0.4">
      <c r="D522" s="57"/>
      <c r="F522" s="58"/>
    </row>
    <row r="523" spans="4:6" x14ac:dyDescent="0.4">
      <c r="D523" s="57"/>
      <c r="F523" s="58"/>
    </row>
    <row r="524" spans="4:6" x14ac:dyDescent="0.4">
      <c r="D524" s="57"/>
      <c r="F524" s="58"/>
    </row>
    <row r="525" spans="4:6" x14ac:dyDescent="0.4">
      <c r="D525" s="57"/>
      <c r="F525" s="58"/>
    </row>
    <row r="526" spans="4:6" x14ac:dyDescent="0.4">
      <c r="D526" s="57"/>
      <c r="F526" s="58"/>
    </row>
    <row r="527" spans="4:6" x14ac:dyDescent="0.4">
      <c r="D527" s="57"/>
      <c r="F527" s="58"/>
    </row>
    <row r="528" spans="4:6" x14ac:dyDescent="0.4">
      <c r="D528" s="57"/>
      <c r="F528" s="58"/>
    </row>
    <row r="529" spans="4:6" x14ac:dyDescent="0.4">
      <c r="D529" s="57"/>
      <c r="F529" s="58"/>
    </row>
    <row r="530" spans="4:6" x14ac:dyDescent="0.4">
      <c r="D530" s="57"/>
      <c r="F530" s="58"/>
    </row>
    <row r="531" spans="4:6" x14ac:dyDescent="0.4">
      <c r="D531" s="57"/>
      <c r="F531" s="58"/>
    </row>
    <row r="532" spans="4:6" x14ac:dyDescent="0.4">
      <c r="D532" s="57"/>
      <c r="F532" s="58"/>
    </row>
    <row r="533" spans="4:6" x14ac:dyDescent="0.4">
      <c r="D533" s="57"/>
      <c r="F533" s="58"/>
    </row>
    <row r="534" spans="4:6" x14ac:dyDescent="0.4">
      <c r="D534" s="57"/>
      <c r="F534" s="58"/>
    </row>
    <row r="535" spans="4:6" x14ac:dyDescent="0.4">
      <c r="D535" s="57"/>
      <c r="F535" s="58"/>
    </row>
    <row r="536" spans="4:6" x14ac:dyDescent="0.4">
      <c r="D536" s="57"/>
      <c r="F536" s="58"/>
    </row>
    <row r="537" spans="4:6" x14ac:dyDescent="0.4">
      <c r="D537" s="57"/>
      <c r="F537" s="58"/>
    </row>
    <row r="538" spans="4:6" x14ac:dyDescent="0.4">
      <c r="D538" s="57"/>
      <c r="F538" s="58"/>
    </row>
    <row r="539" spans="4:6" x14ac:dyDescent="0.4">
      <c r="D539" s="57"/>
      <c r="F539" s="58"/>
    </row>
    <row r="540" spans="4:6" x14ac:dyDescent="0.4">
      <c r="D540" s="57"/>
    </row>
    <row r="541" spans="4:6" x14ac:dyDescent="0.4">
      <c r="D541" s="57"/>
    </row>
    <row r="542" spans="4:6" x14ac:dyDescent="0.4">
      <c r="D542" s="57"/>
    </row>
    <row r="543" spans="4:6" x14ac:dyDescent="0.4">
      <c r="D543" s="57"/>
    </row>
    <row r="544" spans="4:6" x14ac:dyDescent="0.4">
      <c r="D544" s="57"/>
    </row>
    <row r="545" spans="4:4" x14ac:dyDescent="0.4">
      <c r="D545" s="57"/>
    </row>
    <row r="546" spans="4:4" x14ac:dyDescent="0.4">
      <c r="D546" s="57"/>
    </row>
    <row r="547" spans="4:4" x14ac:dyDescent="0.4">
      <c r="D547" s="57"/>
    </row>
    <row r="548" spans="4:4" x14ac:dyDescent="0.4">
      <c r="D548" s="57"/>
    </row>
    <row r="549" spans="4:4" x14ac:dyDescent="0.4">
      <c r="D549" s="57"/>
    </row>
    <row r="550" spans="4:4" x14ac:dyDescent="0.4">
      <c r="D550" s="57"/>
    </row>
    <row r="551" spans="4:4" x14ac:dyDescent="0.4">
      <c r="D551" s="57"/>
    </row>
    <row r="552" spans="4:4" x14ac:dyDescent="0.4">
      <c r="D552" s="57"/>
    </row>
    <row r="553" spans="4:4" x14ac:dyDescent="0.4">
      <c r="D553" s="57"/>
    </row>
    <row r="554" spans="4:4" x14ac:dyDescent="0.4">
      <c r="D554" s="57"/>
    </row>
    <row r="555" spans="4:4" x14ac:dyDescent="0.4">
      <c r="D555" s="57"/>
    </row>
    <row r="556" spans="4:4" x14ac:dyDescent="0.4">
      <c r="D556" s="57"/>
    </row>
    <row r="557" spans="4:4" x14ac:dyDescent="0.4">
      <c r="D557" s="57"/>
    </row>
    <row r="558" spans="4:4" x14ac:dyDescent="0.4">
      <c r="D558" s="57"/>
    </row>
    <row r="559" spans="4:4" x14ac:dyDescent="0.4">
      <c r="D559" s="57"/>
    </row>
    <row r="560" spans="4:4" x14ac:dyDescent="0.4">
      <c r="D560" s="57"/>
    </row>
    <row r="561" spans="4:4" x14ac:dyDescent="0.4">
      <c r="D561" s="57"/>
    </row>
    <row r="562" spans="4:4" x14ac:dyDescent="0.4">
      <c r="D562" s="57"/>
    </row>
    <row r="563" spans="4:4" x14ac:dyDescent="0.4">
      <c r="D563" s="57"/>
    </row>
    <row r="564" spans="4:4" x14ac:dyDescent="0.4">
      <c r="D564" s="57"/>
    </row>
    <row r="565" spans="4:4" x14ac:dyDescent="0.4">
      <c r="D565" s="57"/>
    </row>
    <row r="566" spans="4:4" x14ac:dyDescent="0.4">
      <c r="D566" s="57"/>
    </row>
    <row r="567" spans="4:4" x14ac:dyDescent="0.4">
      <c r="D567" s="57"/>
    </row>
    <row r="568" spans="4:4" x14ac:dyDescent="0.4">
      <c r="D568" s="57"/>
    </row>
    <row r="569" spans="4:4" x14ac:dyDescent="0.4">
      <c r="D569" s="57"/>
    </row>
    <row r="570" spans="4:4" x14ac:dyDescent="0.4">
      <c r="D570" s="57"/>
    </row>
    <row r="571" spans="4:4" x14ac:dyDescent="0.4">
      <c r="D571" s="57"/>
    </row>
    <row r="572" spans="4:4" x14ac:dyDescent="0.4">
      <c r="D572" s="57"/>
    </row>
    <row r="573" spans="4:4" x14ac:dyDescent="0.4">
      <c r="D573" s="57"/>
    </row>
    <row r="574" spans="4:4" x14ac:dyDescent="0.4">
      <c r="D574" s="57"/>
    </row>
    <row r="575" spans="4:4" x14ac:dyDescent="0.4">
      <c r="D575" s="57"/>
    </row>
    <row r="576" spans="4:4" x14ac:dyDescent="0.4">
      <c r="D576" s="57"/>
    </row>
    <row r="577" spans="4:4" x14ac:dyDescent="0.4">
      <c r="D577" s="57"/>
    </row>
    <row r="578" spans="4:4" x14ac:dyDescent="0.4">
      <c r="D578" s="57"/>
    </row>
    <row r="579" spans="4:4" x14ac:dyDescent="0.4">
      <c r="D579" s="57"/>
    </row>
    <row r="580" spans="4:4" x14ac:dyDescent="0.4">
      <c r="D580" s="57"/>
    </row>
    <row r="581" spans="4:4" x14ac:dyDescent="0.4">
      <c r="D581" s="57"/>
    </row>
    <row r="582" spans="4:4" x14ac:dyDescent="0.4">
      <c r="D582" s="57"/>
    </row>
    <row r="583" spans="4:4" x14ac:dyDescent="0.4">
      <c r="D583" s="57"/>
    </row>
    <row r="584" spans="4:4" x14ac:dyDescent="0.4">
      <c r="D584" s="57"/>
    </row>
    <row r="585" spans="4:4" x14ac:dyDescent="0.4">
      <c r="D585" s="57"/>
    </row>
    <row r="586" spans="4:4" x14ac:dyDescent="0.4">
      <c r="D586" s="57"/>
    </row>
    <row r="587" spans="4:4" x14ac:dyDescent="0.4">
      <c r="D587" s="57"/>
    </row>
    <row r="588" spans="4:4" x14ac:dyDescent="0.4">
      <c r="D588" s="57"/>
    </row>
    <row r="589" spans="4:4" x14ac:dyDescent="0.4">
      <c r="D589" s="57"/>
    </row>
    <row r="590" spans="4:4" x14ac:dyDescent="0.4">
      <c r="D590" s="57"/>
    </row>
    <row r="591" spans="4:4" x14ac:dyDescent="0.4">
      <c r="D591" s="57"/>
    </row>
    <row r="592" spans="4:4" x14ac:dyDescent="0.4">
      <c r="D592" s="57"/>
    </row>
    <row r="593" spans="4:4" x14ac:dyDescent="0.4">
      <c r="D593" s="57"/>
    </row>
    <row r="594" spans="4:4" x14ac:dyDescent="0.4">
      <c r="D594" s="57"/>
    </row>
    <row r="595" spans="4:4" x14ac:dyDescent="0.4">
      <c r="D595" s="57"/>
    </row>
    <row r="596" spans="4:4" x14ac:dyDescent="0.4">
      <c r="D596" s="57"/>
    </row>
    <row r="597" spans="4:4" x14ac:dyDescent="0.4">
      <c r="D597" s="57"/>
    </row>
    <row r="598" spans="4:4" x14ac:dyDescent="0.4">
      <c r="D598" s="57"/>
    </row>
    <row r="599" spans="4:4" x14ac:dyDescent="0.4">
      <c r="D599" s="57"/>
    </row>
    <row r="600" spans="4:4" x14ac:dyDescent="0.4">
      <c r="D600" s="57"/>
    </row>
    <row r="601" spans="4:4" x14ac:dyDescent="0.4">
      <c r="D601" s="57"/>
    </row>
    <row r="602" spans="4:4" x14ac:dyDescent="0.4">
      <c r="D602" s="57"/>
    </row>
    <row r="603" spans="4:4" x14ac:dyDescent="0.4">
      <c r="D603" s="57"/>
    </row>
    <row r="604" spans="4:4" x14ac:dyDescent="0.4">
      <c r="D604" s="57"/>
    </row>
    <row r="605" spans="4:4" x14ac:dyDescent="0.4">
      <c r="D605" s="57"/>
    </row>
    <row r="606" spans="4:4" x14ac:dyDescent="0.4">
      <c r="D606" s="57"/>
    </row>
    <row r="607" spans="4:4" x14ac:dyDescent="0.4">
      <c r="D607" s="57"/>
    </row>
    <row r="608" spans="4:4" x14ac:dyDescent="0.4">
      <c r="D608" s="57"/>
    </row>
    <row r="609" spans="4:4" x14ac:dyDescent="0.4">
      <c r="D609" s="57"/>
    </row>
    <row r="610" spans="4:4" x14ac:dyDescent="0.4">
      <c r="D610" s="57"/>
    </row>
    <row r="611" spans="4:4" x14ac:dyDescent="0.4">
      <c r="D611" s="57"/>
    </row>
    <row r="612" spans="4:4" x14ac:dyDescent="0.4">
      <c r="D612" s="57"/>
    </row>
    <row r="613" spans="4:4" x14ac:dyDescent="0.4">
      <c r="D613" s="57"/>
    </row>
    <row r="614" spans="4:4" x14ac:dyDescent="0.4">
      <c r="D614" s="57"/>
    </row>
    <row r="615" spans="4:4" x14ac:dyDescent="0.4">
      <c r="D615" s="57"/>
    </row>
    <row r="616" spans="4:4" x14ac:dyDescent="0.4">
      <c r="D616" s="57"/>
    </row>
    <row r="617" spans="4:4" x14ac:dyDescent="0.4">
      <c r="D617" s="57"/>
    </row>
    <row r="618" spans="4:4" x14ac:dyDescent="0.4">
      <c r="D618" s="57"/>
    </row>
    <row r="619" spans="4:4" x14ac:dyDescent="0.4">
      <c r="D619" s="57"/>
    </row>
    <row r="620" spans="4:4" x14ac:dyDescent="0.4">
      <c r="D620" s="57"/>
    </row>
    <row r="621" spans="4:4" x14ac:dyDescent="0.4">
      <c r="D621" s="57"/>
    </row>
    <row r="622" spans="4:4" x14ac:dyDescent="0.4">
      <c r="D622" s="57"/>
    </row>
    <row r="623" spans="4:4" x14ac:dyDescent="0.4">
      <c r="D623" s="57"/>
    </row>
    <row r="624" spans="4:4" x14ac:dyDescent="0.4">
      <c r="D624" s="57"/>
    </row>
    <row r="625" spans="4:4" x14ac:dyDescent="0.4">
      <c r="D625" s="57"/>
    </row>
    <row r="626" spans="4:4" x14ac:dyDescent="0.4">
      <c r="D626" s="57"/>
    </row>
    <row r="627" spans="4:4" x14ac:dyDescent="0.4">
      <c r="D627" s="57"/>
    </row>
    <row r="628" spans="4:4" x14ac:dyDescent="0.4">
      <c r="D628" s="57"/>
    </row>
    <row r="629" spans="4:4" x14ac:dyDescent="0.4">
      <c r="D629" s="57"/>
    </row>
    <row r="630" spans="4:4" x14ac:dyDescent="0.4">
      <c r="D630" s="57"/>
    </row>
    <row r="631" spans="4:4" x14ac:dyDescent="0.4">
      <c r="D631" s="57"/>
    </row>
    <row r="632" spans="4:4" x14ac:dyDescent="0.4">
      <c r="D632" s="57"/>
    </row>
    <row r="633" spans="4:4" x14ac:dyDescent="0.4">
      <c r="D633" s="57"/>
    </row>
    <row r="634" spans="4:4" x14ac:dyDescent="0.4">
      <c r="D634" s="57"/>
    </row>
    <row r="635" spans="4:4" x14ac:dyDescent="0.4">
      <c r="D635" s="57"/>
    </row>
    <row r="636" spans="4:4" x14ac:dyDescent="0.4">
      <c r="D636" s="57"/>
    </row>
    <row r="637" spans="4:4" x14ac:dyDescent="0.4">
      <c r="D637" s="57"/>
    </row>
    <row r="638" spans="4:4" x14ac:dyDescent="0.4">
      <c r="D638" s="57"/>
    </row>
    <row r="639" spans="4:4" x14ac:dyDescent="0.4">
      <c r="D639" s="57"/>
    </row>
    <row r="640" spans="4:4" x14ac:dyDescent="0.4">
      <c r="D640" s="57"/>
    </row>
    <row r="641" spans="4:4" x14ac:dyDescent="0.4">
      <c r="D641" s="57"/>
    </row>
    <row r="642" spans="4:4" x14ac:dyDescent="0.4">
      <c r="D642" s="57"/>
    </row>
    <row r="643" spans="4:4" x14ac:dyDescent="0.4">
      <c r="D643" s="57"/>
    </row>
    <row r="644" spans="4:4" x14ac:dyDescent="0.4">
      <c r="D644" s="57"/>
    </row>
    <row r="645" spans="4:4" x14ac:dyDescent="0.4">
      <c r="D645" s="57"/>
    </row>
    <row r="646" spans="4:4" x14ac:dyDescent="0.4">
      <c r="D646" s="57"/>
    </row>
    <row r="647" spans="4:4" x14ac:dyDescent="0.4">
      <c r="D647" s="57"/>
    </row>
    <row r="648" spans="4:4" x14ac:dyDescent="0.4">
      <c r="D648" s="57"/>
    </row>
    <row r="649" spans="4:4" x14ac:dyDescent="0.4">
      <c r="D649" s="57"/>
    </row>
    <row r="650" spans="4:4" x14ac:dyDescent="0.4">
      <c r="D650" s="57"/>
    </row>
    <row r="651" spans="4:4" x14ac:dyDescent="0.4">
      <c r="D651" s="57"/>
    </row>
    <row r="652" spans="4:4" x14ac:dyDescent="0.4">
      <c r="D652" s="57"/>
    </row>
    <row r="653" spans="4:4" x14ac:dyDescent="0.4">
      <c r="D653" s="57"/>
    </row>
    <row r="654" spans="4:4" x14ac:dyDescent="0.4">
      <c r="D654" s="57"/>
    </row>
    <row r="655" spans="4:4" x14ac:dyDescent="0.4">
      <c r="D655" s="57"/>
    </row>
    <row r="656" spans="4:4" x14ac:dyDescent="0.4">
      <c r="D656" s="57"/>
    </row>
    <row r="657" spans="4:4" x14ac:dyDescent="0.4">
      <c r="D657" s="57"/>
    </row>
    <row r="658" spans="4:4" x14ac:dyDescent="0.4">
      <c r="D658" s="57"/>
    </row>
    <row r="659" spans="4:4" x14ac:dyDescent="0.4">
      <c r="D659" s="57"/>
    </row>
    <row r="660" spans="4:4" x14ac:dyDescent="0.4">
      <c r="D660" s="57"/>
    </row>
    <row r="661" spans="4:4" x14ac:dyDescent="0.4">
      <c r="D661" s="57"/>
    </row>
    <row r="662" spans="4:4" x14ac:dyDescent="0.4">
      <c r="D662" s="57"/>
    </row>
    <row r="663" spans="4:4" x14ac:dyDescent="0.4">
      <c r="D663" s="57"/>
    </row>
    <row r="664" spans="4:4" x14ac:dyDescent="0.4">
      <c r="D664" s="57"/>
    </row>
    <row r="665" spans="4:4" x14ac:dyDescent="0.4">
      <c r="D665" s="57"/>
    </row>
    <row r="666" spans="4:4" x14ac:dyDescent="0.4">
      <c r="D666" s="57"/>
    </row>
    <row r="667" spans="4:4" x14ac:dyDescent="0.4">
      <c r="D667" s="57"/>
    </row>
    <row r="668" spans="4:4" x14ac:dyDescent="0.4">
      <c r="D668" s="57"/>
    </row>
    <row r="669" spans="4:4" x14ac:dyDescent="0.4">
      <c r="D669" s="57"/>
    </row>
    <row r="670" spans="4:4" x14ac:dyDescent="0.4">
      <c r="D670" s="57"/>
    </row>
    <row r="671" spans="4:4" x14ac:dyDescent="0.4">
      <c r="D671" s="57"/>
    </row>
    <row r="672" spans="4:4" x14ac:dyDescent="0.4">
      <c r="D672" s="57"/>
    </row>
    <row r="673" spans="4:4" x14ac:dyDescent="0.4">
      <c r="D673" s="57"/>
    </row>
    <row r="674" spans="4:4" x14ac:dyDescent="0.4">
      <c r="D674" s="57"/>
    </row>
    <row r="675" spans="4:4" x14ac:dyDescent="0.4">
      <c r="D675" s="57"/>
    </row>
    <row r="676" spans="4:4" x14ac:dyDescent="0.4">
      <c r="D676" s="57"/>
    </row>
    <row r="677" spans="4:4" x14ac:dyDescent="0.4">
      <c r="D677" s="57"/>
    </row>
    <row r="678" spans="4:4" x14ac:dyDescent="0.4">
      <c r="D678" s="57"/>
    </row>
    <row r="679" spans="4:4" x14ac:dyDescent="0.4">
      <c r="D679" s="57"/>
    </row>
    <row r="680" spans="4:4" x14ac:dyDescent="0.4">
      <c r="D680" s="57"/>
    </row>
    <row r="681" spans="4:4" x14ac:dyDescent="0.4">
      <c r="D681" s="57"/>
    </row>
    <row r="682" spans="4:4" x14ac:dyDescent="0.4">
      <c r="D682" s="57"/>
    </row>
    <row r="683" spans="4:4" x14ac:dyDescent="0.4">
      <c r="D683" s="57"/>
    </row>
    <row r="684" spans="4:4" x14ac:dyDescent="0.4">
      <c r="D684" s="57"/>
    </row>
    <row r="685" spans="4:4" x14ac:dyDescent="0.4">
      <c r="D685" s="57"/>
    </row>
    <row r="686" spans="4:4" x14ac:dyDescent="0.4">
      <c r="D686" s="57"/>
    </row>
    <row r="687" spans="4:4" x14ac:dyDescent="0.4">
      <c r="D687" s="57"/>
    </row>
    <row r="688" spans="4:4" x14ac:dyDescent="0.4">
      <c r="D688" s="57"/>
    </row>
    <row r="689" spans="4:4" x14ac:dyDescent="0.4">
      <c r="D689" s="57"/>
    </row>
    <row r="690" spans="4:4" x14ac:dyDescent="0.4">
      <c r="D690" s="57"/>
    </row>
    <row r="691" spans="4:4" x14ac:dyDescent="0.4">
      <c r="D691" s="57"/>
    </row>
    <row r="692" spans="4:4" x14ac:dyDescent="0.4">
      <c r="D692" s="57"/>
    </row>
    <row r="693" spans="4:4" x14ac:dyDescent="0.4">
      <c r="D693" s="57"/>
    </row>
    <row r="694" spans="4:4" x14ac:dyDescent="0.4">
      <c r="D694" s="57"/>
    </row>
    <row r="695" spans="4:4" x14ac:dyDescent="0.4">
      <c r="D695" s="57"/>
    </row>
    <row r="696" spans="4:4" x14ac:dyDescent="0.4">
      <c r="D696" s="57"/>
    </row>
    <row r="697" spans="4:4" x14ac:dyDescent="0.4">
      <c r="D697" s="57"/>
    </row>
    <row r="698" spans="4:4" x14ac:dyDescent="0.4">
      <c r="D698" s="57"/>
    </row>
    <row r="699" spans="4:4" x14ac:dyDescent="0.4">
      <c r="D699" s="57"/>
    </row>
    <row r="700" spans="4:4" x14ac:dyDescent="0.4">
      <c r="D700" s="57"/>
    </row>
    <row r="701" spans="4:4" x14ac:dyDescent="0.4">
      <c r="D701" s="57"/>
    </row>
    <row r="702" spans="4:4" x14ac:dyDescent="0.4">
      <c r="D702" s="57"/>
    </row>
    <row r="703" spans="4:4" x14ac:dyDescent="0.4">
      <c r="D703" s="57"/>
    </row>
    <row r="704" spans="4:4" x14ac:dyDescent="0.4">
      <c r="D704" s="57"/>
    </row>
    <row r="705" spans="4:4" x14ac:dyDescent="0.4">
      <c r="D705" s="57"/>
    </row>
    <row r="706" spans="4:4" x14ac:dyDescent="0.4">
      <c r="D706" s="57"/>
    </row>
    <row r="707" spans="4:4" x14ac:dyDescent="0.4">
      <c r="D707" s="57"/>
    </row>
    <row r="708" spans="4:4" x14ac:dyDescent="0.4">
      <c r="D708" s="57"/>
    </row>
    <row r="709" spans="4:4" x14ac:dyDescent="0.4">
      <c r="D709" s="57"/>
    </row>
    <row r="710" spans="4:4" x14ac:dyDescent="0.4">
      <c r="D710" s="57"/>
    </row>
    <row r="711" spans="4:4" x14ac:dyDescent="0.4">
      <c r="D711" s="57"/>
    </row>
    <row r="712" spans="4:4" x14ac:dyDescent="0.4">
      <c r="D712" s="57"/>
    </row>
    <row r="713" spans="4:4" x14ac:dyDescent="0.4">
      <c r="D713" s="57"/>
    </row>
    <row r="714" spans="4:4" x14ac:dyDescent="0.4">
      <c r="D714" s="57"/>
    </row>
    <row r="715" spans="4:4" x14ac:dyDescent="0.4">
      <c r="D715" s="57"/>
    </row>
    <row r="716" spans="4:4" x14ac:dyDescent="0.4">
      <c r="D716" s="57"/>
    </row>
    <row r="717" spans="4:4" x14ac:dyDescent="0.4">
      <c r="D717" s="57"/>
    </row>
    <row r="718" spans="4:4" x14ac:dyDescent="0.4">
      <c r="D718" s="57"/>
    </row>
    <row r="719" spans="4:4" x14ac:dyDescent="0.4">
      <c r="D719" s="57"/>
    </row>
    <row r="720" spans="4:4" x14ac:dyDescent="0.4">
      <c r="D720" s="57"/>
    </row>
    <row r="721" spans="4:4" x14ac:dyDescent="0.4">
      <c r="D721" s="57"/>
    </row>
    <row r="722" spans="4:4" x14ac:dyDescent="0.4">
      <c r="D722" s="57"/>
    </row>
    <row r="723" spans="4:4" x14ac:dyDescent="0.4">
      <c r="D723" s="57"/>
    </row>
    <row r="724" spans="4:4" x14ac:dyDescent="0.4">
      <c r="D724" s="57"/>
    </row>
    <row r="725" spans="4:4" x14ac:dyDescent="0.4">
      <c r="D725" s="57"/>
    </row>
    <row r="726" spans="4:4" x14ac:dyDescent="0.4">
      <c r="D726" s="57"/>
    </row>
    <row r="727" spans="4:4" x14ac:dyDescent="0.4">
      <c r="D727" s="57"/>
    </row>
    <row r="728" spans="4:4" x14ac:dyDescent="0.4">
      <c r="D728" s="57"/>
    </row>
    <row r="729" spans="4:4" x14ac:dyDescent="0.4">
      <c r="D729" s="57"/>
    </row>
    <row r="730" spans="4:4" x14ac:dyDescent="0.4">
      <c r="D730" s="57"/>
    </row>
    <row r="731" spans="4:4" x14ac:dyDescent="0.4">
      <c r="D731" s="57"/>
    </row>
    <row r="732" spans="4:4" x14ac:dyDescent="0.4">
      <c r="D732" s="57"/>
    </row>
    <row r="733" spans="4:4" x14ac:dyDescent="0.4">
      <c r="D733" s="57"/>
    </row>
    <row r="734" spans="4:4" x14ac:dyDescent="0.4">
      <c r="D734" s="57"/>
    </row>
    <row r="735" spans="4:4" x14ac:dyDescent="0.4">
      <c r="D735" s="57"/>
    </row>
    <row r="736" spans="4:4" x14ac:dyDescent="0.4">
      <c r="D736" s="57"/>
    </row>
    <row r="737" spans="4:4" x14ac:dyDescent="0.4">
      <c r="D737" s="57"/>
    </row>
    <row r="738" spans="4:4" x14ac:dyDescent="0.4">
      <c r="D738" s="57"/>
    </row>
    <row r="739" spans="4:4" x14ac:dyDescent="0.4">
      <c r="D739" s="57"/>
    </row>
    <row r="740" spans="4:4" x14ac:dyDescent="0.4">
      <c r="D740" s="57"/>
    </row>
    <row r="741" spans="4:4" x14ac:dyDescent="0.4">
      <c r="D741" s="57"/>
    </row>
    <row r="742" spans="4:4" x14ac:dyDescent="0.4">
      <c r="D742" s="57"/>
    </row>
    <row r="743" spans="4:4" x14ac:dyDescent="0.4">
      <c r="D743" s="57"/>
    </row>
    <row r="744" spans="4:4" x14ac:dyDescent="0.4">
      <c r="D744" s="57"/>
    </row>
    <row r="745" spans="4:4" x14ac:dyDescent="0.4">
      <c r="D745" s="57"/>
    </row>
    <row r="746" spans="4:4" x14ac:dyDescent="0.4">
      <c r="D746" s="57"/>
    </row>
    <row r="747" spans="4:4" x14ac:dyDescent="0.4">
      <c r="D747" s="57"/>
    </row>
    <row r="748" spans="4:4" x14ac:dyDescent="0.4">
      <c r="D748" s="57"/>
    </row>
    <row r="749" spans="4:4" x14ac:dyDescent="0.4">
      <c r="D749" s="57"/>
    </row>
    <row r="750" spans="4:4" x14ac:dyDescent="0.4">
      <c r="D750" s="57"/>
    </row>
    <row r="751" spans="4:4" x14ac:dyDescent="0.4">
      <c r="D751" s="57"/>
    </row>
    <row r="752" spans="4:4" x14ac:dyDescent="0.4">
      <c r="D752" s="57"/>
    </row>
    <row r="753" spans="4:4" x14ac:dyDescent="0.4">
      <c r="D753" s="57"/>
    </row>
    <row r="754" spans="4:4" x14ac:dyDescent="0.4">
      <c r="D754" s="57"/>
    </row>
    <row r="755" spans="4:4" x14ac:dyDescent="0.4">
      <c r="D755" s="57"/>
    </row>
    <row r="756" spans="4:4" x14ac:dyDescent="0.4">
      <c r="D756" s="57"/>
    </row>
    <row r="757" spans="4:4" x14ac:dyDescent="0.4">
      <c r="D757" s="57"/>
    </row>
    <row r="758" spans="4:4" x14ac:dyDescent="0.4">
      <c r="D758" s="57"/>
    </row>
    <row r="759" spans="4:4" x14ac:dyDescent="0.4">
      <c r="D759" s="57"/>
    </row>
    <row r="760" spans="4:4" x14ac:dyDescent="0.4">
      <c r="D760" s="57"/>
    </row>
    <row r="761" spans="4:4" x14ac:dyDescent="0.4">
      <c r="D761" s="57"/>
    </row>
    <row r="762" spans="4:4" x14ac:dyDescent="0.4">
      <c r="D762" s="57"/>
    </row>
    <row r="763" spans="4:4" x14ac:dyDescent="0.4">
      <c r="D763" s="57"/>
    </row>
    <row r="764" spans="4:4" x14ac:dyDescent="0.4">
      <c r="D764" s="57"/>
    </row>
    <row r="765" spans="4:4" x14ac:dyDescent="0.4">
      <c r="D765" s="57"/>
    </row>
    <row r="766" spans="4:4" x14ac:dyDescent="0.4">
      <c r="D766" s="57"/>
    </row>
    <row r="767" spans="4:4" x14ac:dyDescent="0.4">
      <c r="D767" s="57"/>
    </row>
    <row r="768" spans="4:4" x14ac:dyDescent="0.4">
      <c r="D768" s="57"/>
    </row>
    <row r="769" spans="4:4" x14ac:dyDescent="0.4">
      <c r="D769" s="57"/>
    </row>
    <row r="770" spans="4:4" x14ac:dyDescent="0.4">
      <c r="D770" s="57"/>
    </row>
    <row r="771" spans="4:4" x14ac:dyDescent="0.4">
      <c r="D771" s="57"/>
    </row>
    <row r="772" spans="4:4" x14ac:dyDescent="0.4">
      <c r="D772" s="57"/>
    </row>
    <row r="773" spans="4:4" x14ac:dyDescent="0.4">
      <c r="D773" s="57"/>
    </row>
    <row r="774" spans="4:4" x14ac:dyDescent="0.4">
      <c r="D774" s="57"/>
    </row>
    <row r="775" spans="4:4" x14ac:dyDescent="0.4">
      <c r="D775" s="57"/>
    </row>
    <row r="776" spans="4:4" x14ac:dyDescent="0.4">
      <c r="D776" s="57"/>
    </row>
    <row r="777" spans="4:4" x14ac:dyDescent="0.4">
      <c r="D777" s="57"/>
    </row>
    <row r="778" spans="4:4" x14ac:dyDescent="0.4">
      <c r="D778" s="57"/>
    </row>
    <row r="779" spans="4:4" x14ac:dyDescent="0.4">
      <c r="D779" s="57"/>
    </row>
    <row r="780" spans="4:4" x14ac:dyDescent="0.4">
      <c r="D780" s="57"/>
    </row>
    <row r="781" spans="4:4" x14ac:dyDescent="0.4">
      <c r="D781" s="57"/>
    </row>
    <row r="782" spans="4:4" x14ac:dyDescent="0.4">
      <c r="D782" s="57"/>
    </row>
    <row r="783" spans="4:4" x14ac:dyDescent="0.4">
      <c r="D783" s="57"/>
    </row>
    <row r="784" spans="4:4" x14ac:dyDescent="0.4">
      <c r="D784" s="57"/>
    </row>
    <row r="785" spans="4:4" x14ac:dyDescent="0.4">
      <c r="D785" s="57"/>
    </row>
    <row r="786" spans="4:4" x14ac:dyDescent="0.4">
      <c r="D786" s="57"/>
    </row>
    <row r="787" spans="4:4" x14ac:dyDescent="0.4">
      <c r="D787" s="57"/>
    </row>
    <row r="788" spans="4:4" x14ac:dyDescent="0.4">
      <c r="D788" s="57"/>
    </row>
    <row r="789" spans="4:4" x14ac:dyDescent="0.4">
      <c r="D789" s="57"/>
    </row>
    <row r="790" spans="4:4" x14ac:dyDescent="0.4">
      <c r="D790" s="57"/>
    </row>
    <row r="791" spans="4:4" x14ac:dyDescent="0.4">
      <c r="D791" s="57"/>
    </row>
    <row r="792" spans="4:4" x14ac:dyDescent="0.4">
      <c r="D792" s="57"/>
    </row>
    <row r="793" spans="4:4" x14ac:dyDescent="0.4">
      <c r="D793" s="57"/>
    </row>
    <row r="794" spans="4:4" x14ac:dyDescent="0.4">
      <c r="D794" s="57"/>
    </row>
    <row r="795" spans="4:4" x14ac:dyDescent="0.4">
      <c r="D795" s="57"/>
    </row>
    <row r="796" spans="4:4" x14ac:dyDescent="0.4">
      <c r="D796" s="57"/>
    </row>
    <row r="797" spans="4:4" x14ac:dyDescent="0.4">
      <c r="D797" s="57"/>
    </row>
    <row r="798" spans="4:4" x14ac:dyDescent="0.4">
      <c r="D798" s="57"/>
    </row>
    <row r="799" spans="4:4" x14ac:dyDescent="0.4">
      <c r="D799" s="57"/>
    </row>
    <row r="800" spans="4:4" x14ac:dyDescent="0.4">
      <c r="D800" s="57"/>
    </row>
    <row r="801" spans="4:4" x14ac:dyDescent="0.4">
      <c r="D801" s="57"/>
    </row>
    <row r="802" spans="4:4" x14ac:dyDescent="0.4">
      <c r="D802" s="57"/>
    </row>
    <row r="803" spans="4:4" x14ac:dyDescent="0.4">
      <c r="D803" s="57"/>
    </row>
    <row r="804" spans="4:4" x14ac:dyDescent="0.4">
      <c r="D804" s="57"/>
    </row>
    <row r="805" spans="4:4" x14ac:dyDescent="0.4">
      <c r="D805" s="57"/>
    </row>
    <row r="806" spans="4:4" x14ac:dyDescent="0.4">
      <c r="D806" s="57"/>
    </row>
    <row r="807" spans="4:4" x14ac:dyDescent="0.4">
      <c r="D807" s="57"/>
    </row>
    <row r="808" spans="4:4" x14ac:dyDescent="0.4">
      <c r="D808" s="57"/>
    </row>
    <row r="809" spans="4:4" x14ac:dyDescent="0.4">
      <c r="D809" s="57"/>
    </row>
    <row r="810" spans="4:4" x14ac:dyDescent="0.4">
      <c r="D810" s="57"/>
    </row>
    <row r="811" spans="4:4" x14ac:dyDescent="0.4">
      <c r="D811" s="57"/>
    </row>
    <row r="812" spans="4:4" x14ac:dyDescent="0.4">
      <c r="D812" s="57"/>
    </row>
    <row r="813" spans="4:4" x14ac:dyDescent="0.4">
      <c r="D813" s="57"/>
    </row>
    <row r="814" spans="4:4" x14ac:dyDescent="0.4">
      <c r="D814" s="57"/>
    </row>
    <row r="815" spans="4:4" x14ac:dyDescent="0.4">
      <c r="D815" s="57"/>
    </row>
    <row r="816" spans="4:4" x14ac:dyDescent="0.4">
      <c r="D816" s="57"/>
    </row>
    <row r="817" spans="4:4" x14ac:dyDescent="0.4">
      <c r="D817" s="57"/>
    </row>
    <row r="818" spans="4:4" x14ac:dyDescent="0.4">
      <c r="D818" s="57"/>
    </row>
    <row r="819" spans="4:4" x14ac:dyDescent="0.4">
      <c r="D819" s="57"/>
    </row>
    <row r="820" spans="4:4" x14ac:dyDescent="0.4">
      <c r="D820" s="57"/>
    </row>
    <row r="821" spans="4:4" x14ac:dyDescent="0.4">
      <c r="D821" s="57"/>
    </row>
    <row r="822" spans="4:4" x14ac:dyDescent="0.4">
      <c r="D822" s="57"/>
    </row>
    <row r="823" spans="4:4" x14ac:dyDescent="0.4">
      <c r="D823" s="57"/>
    </row>
    <row r="824" spans="4:4" x14ac:dyDescent="0.4">
      <c r="D824" s="57"/>
    </row>
    <row r="825" spans="4:4" x14ac:dyDescent="0.4">
      <c r="D825" s="57"/>
    </row>
    <row r="826" spans="4:4" x14ac:dyDescent="0.4">
      <c r="D826" s="57"/>
    </row>
    <row r="827" spans="4:4" x14ac:dyDescent="0.4">
      <c r="D827" s="57"/>
    </row>
    <row r="828" spans="4:4" x14ac:dyDescent="0.4">
      <c r="D828" s="57"/>
    </row>
    <row r="829" spans="4:4" x14ac:dyDescent="0.4">
      <c r="D829" s="57"/>
    </row>
    <row r="830" spans="4:4" x14ac:dyDescent="0.4">
      <c r="D830" s="57"/>
    </row>
    <row r="831" spans="4:4" x14ac:dyDescent="0.4">
      <c r="D831" s="57"/>
    </row>
    <row r="832" spans="4:4" x14ac:dyDescent="0.4">
      <c r="D832" s="57"/>
    </row>
    <row r="833" spans="4:4" x14ac:dyDescent="0.4">
      <c r="D833" s="57"/>
    </row>
    <row r="834" spans="4:4" x14ac:dyDescent="0.4">
      <c r="D834" s="57"/>
    </row>
    <row r="835" spans="4:4" x14ac:dyDescent="0.4">
      <c r="D835" s="57"/>
    </row>
    <row r="836" spans="4:4" x14ac:dyDescent="0.4">
      <c r="D836" s="57"/>
    </row>
    <row r="837" spans="4:4" x14ac:dyDescent="0.4">
      <c r="D837" s="57"/>
    </row>
    <row r="838" spans="4:4" x14ac:dyDescent="0.4">
      <c r="D838" s="57"/>
    </row>
    <row r="839" spans="4:4" x14ac:dyDescent="0.4">
      <c r="D839" s="57"/>
    </row>
    <row r="840" spans="4:4" x14ac:dyDescent="0.4">
      <c r="D840" s="57"/>
    </row>
    <row r="841" spans="4:4" x14ac:dyDescent="0.4">
      <c r="D841" s="57"/>
    </row>
    <row r="842" spans="4:4" x14ac:dyDescent="0.4">
      <c r="D842" s="57"/>
    </row>
    <row r="843" spans="4:4" x14ac:dyDescent="0.4">
      <c r="D843" s="57"/>
    </row>
    <row r="844" spans="4:4" x14ac:dyDescent="0.4">
      <c r="D844" s="57"/>
    </row>
    <row r="845" spans="4:4" x14ac:dyDescent="0.4">
      <c r="D845" s="57"/>
    </row>
    <row r="846" spans="4:4" x14ac:dyDescent="0.4">
      <c r="D846" s="57"/>
    </row>
    <row r="847" spans="4:4" x14ac:dyDescent="0.4">
      <c r="D847" s="57"/>
    </row>
    <row r="848" spans="4:4" x14ac:dyDescent="0.4">
      <c r="D848" s="57"/>
    </row>
    <row r="849" spans="4:4" x14ac:dyDescent="0.4">
      <c r="D849" s="57"/>
    </row>
    <row r="850" spans="4:4" x14ac:dyDescent="0.4">
      <c r="D850" s="57"/>
    </row>
    <row r="851" spans="4:4" x14ac:dyDescent="0.4">
      <c r="D851" s="57"/>
    </row>
    <row r="852" spans="4:4" x14ac:dyDescent="0.4">
      <c r="D852" s="57"/>
    </row>
    <row r="853" spans="4:4" x14ac:dyDescent="0.4">
      <c r="D853" s="57"/>
    </row>
    <row r="854" spans="4:4" x14ac:dyDescent="0.4">
      <c r="D854" s="57"/>
    </row>
    <row r="855" spans="4:4" x14ac:dyDescent="0.4">
      <c r="D855" s="57"/>
    </row>
    <row r="856" spans="4:4" x14ac:dyDescent="0.4">
      <c r="D856" s="57"/>
    </row>
    <row r="857" spans="4:4" x14ac:dyDescent="0.4">
      <c r="D857" s="57"/>
    </row>
    <row r="858" spans="4:4" x14ac:dyDescent="0.4">
      <c r="D858" s="57"/>
    </row>
    <row r="859" spans="4:4" x14ac:dyDescent="0.4">
      <c r="D859" s="57"/>
    </row>
    <row r="860" spans="4:4" x14ac:dyDescent="0.4">
      <c r="D860" s="57"/>
    </row>
    <row r="861" spans="4:4" x14ac:dyDescent="0.4">
      <c r="D861" s="57"/>
    </row>
    <row r="862" spans="4:4" x14ac:dyDescent="0.4">
      <c r="D862" s="57"/>
    </row>
    <row r="863" spans="4:4" x14ac:dyDescent="0.4">
      <c r="D863" s="57"/>
    </row>
    <row r="864" spans="4:4" x14ac:dyDescent="0.4">
      <c r="D864" s="57"/>
    </row>
    <row r="865" spans="4:4" x14ac:dyDescent="0.4">
      <c r="D865" s="57"/>
    </row>
    <row r="866" spans="4:4" x14ac:dyDescent="0.4">
      <c r="D866" s="57"/>
    </row>
    <row r="867" spans="4:4" x14ac:dyDescent="0.4">
      <c r="D867" s="57"/>
    </row>
    <row r="868" spans="4:4" x14ac:dyDescent="0.4">
      <c r="D868" s="57"/>
    </row>
    <row r="869" spans="4:4" x14ac:dyDescent="0.4">
      <c r="D869" s="57"/>
    </row>
    <row r="870" spans="4:4" x14ac:dyDescent="0.4">
      <c r="D870" s="57"/>
    </row>
    <row r="871" spans="4:4" x14ac:dyDescent="0.4">
      <c r="D871" s="57"/>
    </row>
    <row r="872" spans="4:4" x14ac:dyDescent="0.4">
      <c r="D872" s="57"/>
    </row>
    <row r="873" spans="4:4" x14ac:dyDescent="0.4">
      <c r="D873" s="57"/>
    </row>
    <row r="874" spans="4:4" x14ac:dyDescent="0.4">
      <c r="D874" s="57"/>
    </row>
    <row r="875" spans="4:4" x14ac:dyDescent="0.4">
      <c r="D875" s="57"/>
    </row>
    <row r="876" spans="4:4" x14ac:dyDescent="0.4">
      <c r="D876" s="57"/>
    </row>
    <row r="877" spans="4:4" x14ac:dyDescent="0.4">
      <c r="D877" s="57"/>
    </row>
    <row r="878" spans="4:4" x14ac:dyDescent="0.4">
      <c r="D878" s="57"/>
    </row>
    <row r="879" spans="4:4" x14ac:dyDescent="0.4">
      <c r="D879" s="57"/>
    </row>
    <row r="880" spans="4:4" x14ac:dyDescent="0.4">
      <c r="D880" s="57"/>
    </row>
    <row r="881" spans="4:4" x14ac:dyDescent="0.4">
      <c r="D881" s="57"/>
    </row>
    <row r="882" spans="4:4" x14ac:dyDescent="0.4">
      <c r="D882" s="57"/>
    </row>
    <row r="883" spans="4:4" x14ac:dyDescent="0.4">
      <c r="D883" s="57"/>
    </row>
    <row r="884" spans="4:4" x14ac:dyDescent="0.4">
      <c r="D884" s="57"/>
    </row>
    <row r="885" spans="4:4" x14ac:dyDescent="0.4">
      <c r="D885" s="57"/>
    </row>
    <row r="886" spans="4:4" x14ac:dyDescent="0.4">
      <c r="D886" s="57"/>
    </row>
    <row r="887" spans="4:4" x14ac:dyDescent="0.4">
      <c r="D887" s="57"/>
    </row>
    <row r="888" spans="4:4" x14ac:dyDescent="0.4">
      <c r="D888" s="57"/>
    </row>
    <row r="889" spans="4:4" x14ac:dyDescent="0.4">
      <c r="D889" s="57"/>
    </row>
    <row r="890" spans="4:4" x14ac:dyDescent="0.4">
      <c r="D890" s="57"/>
    </row>
    <row r="891" spans="4:4" x14ac:dyDescent="0.4">
      <c r="D891" s="57"/>
    </row>
    <row r="892" spans="4:4" x14ac:dyDescent="0.4">
      <c r="D892" s="57"/>
    </row>
    <row r="893" spans="4:4" x14ac:dyDescent="0.4">
      <c r="D893" s="57"/>
    </row>
    <row r="894" spans="4:4" x14ac:dyDescent="0.4">
      <c r="D894" s="57"/>
    </row>
    <row r="895" spans="4:4" x14ac:dyDescent="0.4">
      <c r="D895" s="57"/>
    </row>
    <row r="896" spans="4:4" x14ac:dyDescent="0.4">
      <c r="D896" s="57"/>
    </row>
    <row r="897" spans="4:4" x14ac:dyDescent="0.4">
      <c r="D897" s="57"/>
    </row>
    <row r="898" spans="4:4" x14ac:dyDescent="0.4">
      <c r="D898" s="57"/>
    </row>
    <row r="899" spans="4:4" x14ac:dyDescent="0.4">
      <c r="D899" s="57"/>
    </row>
    <row r="900" spans="4:4" x14ac:dyDescent="0.4">
      <c r="D900" s="57"/>
    </row>
    <row r="901" spans="4:4" x14ac:dyDescent="0.4">
      <c r="D901" s="57"/>
    </row>
    <row r="902" spans="4:4" x14ac:dyDescent="0.4">
      <c r="D902" s="57"/>
    </row>
    <row r="903" spans="4:4" x14ac:dyDescent="0.4">
      <c r="D903" s="57"/>
    </row>
    <row r="904" spans="4:4" x14ac:dyDescent="0.4">
      <c r="D904" s="57"/>
    </row>
    <row r="905" spans="4:4" x14ac:dyDescent="0.4">
      <c r="D905" s="57"/>
    </row>
    <row r="906" spans="4:4" x14ac:dyDescent="0.4">
      <c r="D906" s="57"/>
    </row>
    <row r="907" spans="4:4" x14ac:dyDescent="0.4">
      <c r="D907" s="57"/>
    </row>
    <row r="908" spans="4:4" x14ac:dyDescent="0.4">
      <c r="D908" s="57"/>
    </row>
    <row r="909" spans="4:4" x14ac:dyDescent="0.4">
      <c r="D909" s="57"/>
    </row>
    <row r="910" spans="4:4" x14ac:dyDescent="0.4">
      <c r="D910" s="57"/>
    </row>
    <row r="911" spans="4:4" x14ac:dyDescent="0.4">
      <c r="D911" s="57"/>
    </row>
    <row r="912" spans="4:4" x14ac:dyDescent="0.4">
      <c r="D912" s="57"/>
    </row>
    <row r="913" spans="4:4" x14ac:dyDescent="0.4">
      <c r="D913" s="57"/>
    </row>
    <row r="914" spans="4:4" x14ac:dyDescent="0.4">
      <c r="D914" s="57"/>
    </row>
    <row r="915" spans="4:4" x14ac:dyDescent="0.4">
      <c r="D915" s="57"/>
    </row>
    <row r="916" spans="4:4" x14ac:dyDescent="0.4">
      <c r="D916" s="57"/>
    </row>
    <row r="917" spans="4:4" x14ac:dyDescent="0.4">
      <c r="D917" s="57"/>
    </row>
    <row r="918" spans="4:4" x14ac:dyDescent="0.4">
      <c r="D918" s="57"/>
    </row>
    <row r="919" spans="4:4" x14ac:dyDescent="0.4">
      <c r="D919" s="57"/>
    </row>
    <row r="920" spans="4:4" x14ac:dyDescent="0.4">
      <c r="D920" s="57"/>
    </row>
    <row r="921" spans="4:4" x14ac:dyDescent="0.4">
      <c r="D921" s="57"/>
    </row>
    <row r="922" spans="4:4" x14ac:dyDescent="0.4">
      <c r="D922" s="57"/>
    </row>
    <row r="923" spans="4:4" x14ac:dyDescent="0.4">
      <c r="D923" s="57"/>
    </row>
    <row r="924" spans="4:4" x14ac:dyDescent="0.4">
      <c r="D924" s="57"/>
    </row>
    <row r="925" spans="4:4" x14ac:dyDescent="0.4">
      <c r="D925" s="57"/>
    </row>
    <row r="926" spans="4:4" x14ac:dyDescent="0.4">
      <c r="D926" s="57"/>
    </row>
    <row r="927" spans="4:4" x14ac:dyDescent="0.4">
      <c r="D927" s="57"/>
    </row>
    <row r="928" spans="4:4" x14ac:dyDescent="0.4">
      <c r="D928" s="57"/>
    </row>
    <row r="929" spans="4:4" x14ac:dyDescent="0.4">
      <c r="D929" s="57"/>
    </row>
    <row r="930" spans="4:4" x14ac:dyDescent="0.4">
      <c r="D930" s="57"/>
    </row>
    <row r="931" spans="4:4" x14ac:dyDescent="0.4">
      <c r="D931" s="57"/>
    </row>
    <row r="932" spans="4:4" x14ac:dyDescent="0.4">
      <c r="D932" s="57"/>
    </row>
    <row r="933" spans="4:4" x14ac:dyDescent="0.4">
      <c r="D933" s="57"/>
    </row>
    <row r="934" spans="4:4" x14ac:dyDescent="0.4">
      <c r="D934" s="57"/>
    </row>
    <row r="935" spans="4:4" x14ac:dyDescent="0.4">
      <c r="D935" s="57"/>
    </row>
    <row r="936" spans="4:4" x14ac:dyDescent="0.4">
      <c r="D936" s="57"/>
    </row>
    <row r="937" spans="4:4" x14ac:dyDescent="0.4">
      <c r="D937" s="57"/>
    </row>
    <row r="938" spans="4:4" x14ac:dyDescent="0.4">
      <c r="D938" s="57"/>
    </row>
    <row r="939" spans="4:4" x14ac:dyDescent="0.4">
      <c r="D939" s="57"/>
    </row>
    <row r="940" spans="4:4" x14ac:dyDescent="0.4">
      <c r="D940" s="57"/>
    </row>
    <row r="941" spans="4:4" x14ac:dyDescent="0.4">
      <c r="D941" s="57"/>
    </row>
    <row r="942" spans="4:4" x14ac:dyDescent="0.4">
      <c r="D942" s="57"/>
    </row>
    <row r="943" spans="4:4" x14ac:dyDescent="0.4">
      <c r="D943" s="57"/>
    </row>
    <row r="944" spans="4:4" x14ac:dyDescent="0.4">
      <c r="D944" s="57"/>
    </row>
    <row r="945" spans="4:4" x14ac:dyDescent="0.4">
      <c r="D945" s="57"/>
    </row>
    <row r="946" spans="4:4" x14ac:dyDescent="0.4">
      <c r="D946" s="57"/>
    </row>
    <row r="947" spans="4:4" x14ac:dyDescent="0.4">
      <c r="D947" s="57"/>
    </row>
    <row r="948" spans="4:4" x14ac:dyDescent="0.4">
      <c r="D948" s="57"/>
    </row>
    <row r="949" spans="4:4" x14ac:dyDescent="0.4">
      <c r="D949" s="57"/>
    </row>
    <row r="950" spans="4:4" x14ac:dyDescent="0.4">
      <c r="D950" s="57"/>
    </row>
    <row r="951" spans="4:4" x14ac:dyDescent="0.4">
      <c r="D951" s="57"/>
    </row>
    <row r="952" spans="4:4" x14ac:dyDescent="0.4">
      <c r="D952" s="57"/>
    </row>
    <row r="953" spans="4:4" x14ac:dyDescent="0.4">
      <c r="D953" s="57"/>
    </row>
    <row r="954" spans="4:4" x14ac:dyDescent="0.4">
      <c r="D954" s="57"/>
    </row>
    <row r="955" spans="4:4" x14ac:dyDescent="0.4">
      <c r="D955" s="57"/>
    </row>
    <row r="956" spans="4:4" x14ac:dyDescent="0.4">
      <c r="D956" s="57"/>
    </row>
    <row r="957" spans="4:4" x14ac:dyDescent="0.4">
      <c r="D957" s="57"/>
    </row>
    <row r="958" spans="4:4" x14ac:dyDescent="0.4">
      <c r="D958" s="57"/>
    </row>
    <row r="959" spans="4:4" x14ac:dyDescent="0.4">
      <c r="D959" s="57"/>
    </row>
    <row r="960" spans="4:4" x14ac:dyDescent="0.4">
      <c r="D960" s="57"/>
    </row>
    <row r="961" spans="4:4" x14ac:dyDescent="0.4">
      <c r="D961" s="57"/>
    </row>
    <row r="962" spans="4:4" x14ac:dyDescent="0.4">
      <c r="D962" s="57"/>
    </row>
    <row r="963" spans="4:4" x14ac:dyDescent="0.4">
      <c r="D963" s="57"/>
    </row>
    <row r="964" spans="4:4" x14ac:dyDescent="0.4">
      <c r="D964" s="57"/>
    </row>
    <row r="965" spans="4:4" x14ac:dyDescent="0.4">
      <c r="D965" s="57"/>
    </row>
    <row r="966" spans="4:4" x14ac:dyDescent="0.4">
      <c r="D966" s="57"/>
    </row>
    <row r="967" spans="4:4" x14ac:dyDescent="0.4">
      <c r="D967" s="57"/>
    </row>
    <row r="968" spans="4:4" x14ac:dyDescent="0.4">
      <c r="D968" s="57"/>
    </row>
    <row r="969" spans="4:4" x14ac:dyDescent="0.4">
      <c r="D969" s="57"/>
    </row>
    <row r="970" spans="4:4" x14ac:dyDescent="0.4">
      <c r="D970" s="57"/>
    </row>
    <row r="971" spans="4:4" x14ac:dyDescent="0.4">
      <c r="D971" s="57"/>
    </row>
    <row r="972" spans="4:4" x14ac:dyDescent="0.4">
      <c r="D972" s="57"/>
    </row>
    <row r="973" spans="4:4" x14ac:dyDescent="0.4">
      <c r="D973" s="57"/>
    </row>
    <row r="974" spans="4:4" x14ac:dyDescent="0.4">
      <c r="D974" s="57"/>
    </row>
    <row r="975" spans="4:4" x14ac:dyDescent="0.4">
      <c r="D975" s="57"/>
    </row>
    <row r="976" spans="4:4" x14ac:dyDescent="0.4">
      <c r="D976" s="57"/>
    </row>
    <row r="977" spans="4:4" x14ac:dyDescent="0.4">
      <c r="D977" s="57"/>
    </row>
    <row r="978" spans="4:4" x14ac:dyDescent="0.4">
      <c r="D978" s="57"/>
    </row>
    <row r="979" spans="4:4" x14ac:dyDescent="0.4">
      <c r="D979" s="57"/>
    </row>
    <row r="980" spans="4:4" x14ac:dyDescent="0.4">
      <c r="D980" s="57"/>
    </row>
    <row r="981" spans="4:4" x14ac:dyDescent="0.4">
      <c r="D981" s="57"/>
    </row>
    <row r="982" spans="4:4" x14ac:dyDescent="0.4">
      <c r="D982" s="57"/>
    </row>
    <row r="983" spans="4:4" x14ac:dyDescent="0.4">
      <c r="D983" s="57"/>
    </row>
    <row r="984" spans="4:4" x14ac:dyDescent="0.4">
      <c r="D984" s="57"/>
    </row>
    <row r="985" spans="4:4" x14ac:dyDescent="0.4">
      <c r="D985" s="57"/>
    </row>
    <row r="986" spans="4:4" x14ac:dyDescent="0.4">
      <c r="D986" s="57"/>
    </row>
    <row r="987" spans="4:4" x14ac:dyDescent="0.4">
      <c r="D987" s="57"/>
    </row>
    <row r="988" spans="4:4" x14ac:dyDescent="0.4">
      <c r="D988" s="57"/>
    </row>
    <row r="989" spans="4:4" x14ac:dyDescent="0.4">
      <c r="D989" s="57"/>
    </row>
    <row r="990" spans="4:4" x14ac:dyDescent="0.4">
      <c r="D990" s="57"/>
    </row>
    <row r="991" spans="4:4" x14ac:dyDescent="0.4">
      <c r="D991" s="57"/>
    </row>
    <row r="992" spans="4:4" x14ac:dyDescent="0.4">
      <c r="D992" s="57"/>
    </row>
    <row r="993" spans="4:4" x14ac:dyDescent="0.4">
      <c r="D993" s="57"/>
    </row>
    <row r="994" spans="4:4" x14ac:dyDescent="0.4">
      <c r="D994" s="57"/>
    </row>
    <row r="995" spans="4:4" x14ac:dyDescent="0.4">
      <c r="D995" s="57"/>
    </row>
    <row r="996" spans="4:4" x14ac:dyDescent="0.4">
      <c r="D996" s="57"/>
    </row>
    <row r="997" spans="4:4" x14ac:dyDescent="0.4">
      <c r="D997" s="57"/>
    </row>
    <row r="998" spans="4:4" x14ac:dyDescent="0.4">
      <c r="D998" s="57"/>
    </row>
    <row r="999" spans="4:4" x14ac:dyDescent="0.4">
      <c r="D999" s="57"/>
    </row>
    <row r="1000" spans="4:4" x14ac:dyDescent="0.4">
      <c r="D1000" s="57"/>
    </row>
    <row r="1001" spans="4:4" x14ac:dyDescent="0.4">
      <c r="D1001" s="57"/>
    </row>
    <row r="1002" spans="4:4" x14ac:dyDescent="0.4">
      <c r="D1002" s="57"/>
    </row>
    <row r="1003" spans="4:4" x14ac:dyDescent="0.4">
      <c r="D1003" s="57"/>
    </row>
    <row r="1004" spans="4:4" x14ac:dyDescent="0.4">
      <c r="D1004" s="57"/>
    </row>
    <row r="1005" spans="4:4" x14ac:dyDescent="0.4">
      <c r="D1005" s="57"/>
    </row>
    <row r="1006" spans="4:4" x14ac:dyDescent="0.4">
      <c r="D1006" s="57"/>
    </row>
    <row r="1007" spans="4:4" x14ac:dyDescent="0.4">
      <c r="D1007" s="57"/>
    </row>
    <row r="1008" spans="4:4" x14ac:dyDescent="0.4">
      <c r="D1008" s="57"/>
    </row>
    <row r="1009" spans="4:4" x14ac:dyDescent="0.4">
      <c r="D1009" s="57"/>
    </row>
    <row r="1010" spans="4:4" x14ac:dyDescent="0.4">
      <c r="D1010" s="57"/>
    </row>
    <row r="1011" spans="4:4" x14ac:dyDescent="0.4">
      <c r="D1011" s="57"/>
    </row>
    <row r="1012" spans="4:4" x14ac:dyDescent="0.4">
      <c r="D1012" s="57"/>
    </row>
    <row r="1013" spans="4:4" x14ac:dyDescent="0.4">
      <c r="D1013" s="57"/>
    </row>
    <row r="1014" spans="4:4" x14ac:dyDescent="0.4">
      <c r="D1014" s="57"/>
    </row>
    <row r="1015" spans="4:4" x14ac:dyDescent="0.4">
      <c r="D1015" s="57"/>
    </row>
    <row r="1016" spans="4:4" x14ac:dyDescent="0.4">
      <c r="D1016" s="57"/>
    </row>
    <row r="1017" spans="4:4" x14ac:dyDescent="0.4">
      <c r="D1017" s="57"/>
    </row>
    <row r="1018" spans="4:4" x14ac:dyDescent="0.4">
      <c r="D1018" s="57"/>
    </row>
    <row r="1019" spans="4:4" x14ac:dyDescent="0.4">
      <c r="D1019" s="57"/>
    </row>
    <row r="1020" spans="4:4" x14ac:dyDescent="0.4">
      <c r="D1020" s="57"/>
    </row>
    <row r="1021" spans="4:4" x14ac:dyDescent="0.4">
      <c r="D1021" s="57"/>
    </row>
    <row r="1022" spans="4:4" x14ac:dyDescent="0.4">
      <c r="D1022" s="57"/>
    </row>
    <row r="1023" spans="4:4" x14ac:dyDescent="0.4">
      <c r="D1023" s="57"/>
    </row>
    <row r="1024" spans="4:4" x14ac:dyDescent="0.4">
      <c r="D1024" s="57"/>
    </row>
    <row r="1025" spans="4:4" x14ac:dyDescent="0.4">
      <c r="D1025" s="57"/>
    </row>
    <row r="1026" spans="4:4" x14ac:dyDescent="0.4">
      <c r="D1026" s="57"/>
    </row>
    <row r="1027" spans="4:4" x14ac:dyDescent="0.4">
      <c r="D1027" s="57"/>
    </row>
    <row r="1028" spans="4:4" x14ac:dyDescent="0.4">
      <c r="D1028" s="57"/>
    </row>
    <row r="1029" spans="4:4" x14ac:dyDescent="0.4">
      <c r="D1029" s="57"/>
    </row>
    <row r="1030" spans="4:4" x14ac:dyDescent="0.4">
      <c r="D1030" s="57"/>
    </row>
    <row r="1031" spans="4:4" x14ac:dyDescent="0.4">
      <c r="D1031" s="57"/>
    </row>
    <row r="1032" spans="4:4" x14ac:dyDescent="0.4">
      <c r="D1032" s="57"/>
    </row>
    <row r="1033" spans="4:4" x14ac:dyDescent="0.4">
      <c r="D1033" s="57"/>
    </row>
    <row r="1034" spans="4:4" x14ac:dyDescent="0.4">
      <c r="D1034" s="57"/>
    </row>
    <row r="1035" spans="4:4" x14ac:dyDescent="0.4">
      <c r="D1035" s="57"/>
    </row>
    <row r="1036" spans="4:4" x14ac:dyDescent="0.4">
      <c r="D1036" s="57"/>
    </row>
    <row r="1037" spans="4:4" x14ac:dyDescent="0.4">
      <c r="D1037" s="57"/>
    </row>
    <row r="1038" spans="4:4" x14ac:dyDescent="0.4">
      <c r="D1038" s="57"/>
    </row>
    <row r="1039" spans="4:4" x14ac:dyDescent="0.4">
      <c r="D1039" s="57"/>
    </row>
    <row r="1040" spans="4:4" x14ac:dyDescent="0.4">
      <c r="D1040" s="57"/>
    </row>
    <row r="1041" spans="4:4" x14ac:dyDescent="0.4">
      <c r="D1041" s="57"/>
    </row>
    <row r="1042" spans="4:4" x14ac:dyDescent="0.4">
      <c r="D1042" s="57"/>
    </row>
    <row r="1043" spans="4:4" x14ac:dyDescent="0.4">
      <c r="D1043" s="57"/>
    </row>
    <row r="1044" spans="4:4" x14ac:dyDescent="0.4">
      <c r="D1044" s="57"/>
    </row>
    <row r="1045" spans="4:4" x14ac:dyDescent="0.4">
      <c r="D1045" s="57"/>
    </row>
    <row r="1046" spans="4:4" x14ac:dyDescent="0.4">
      <c r="D1046" s="57"/>
    </row>
    <row r="1047" spans="4:4" x14ac:dyDescent="0.4">
      <c r="D1047" s="57"/>
    </row>
    <row r="1048" spans="4:4" x14ac:dyDescent="0.4">
      <c r="D1048" s="57"/>
    </row>
    <row r="1049" spans="4:4" x14ac:dyDescent="0.4">
      <c r="D1049" s="57"/>
    </row>
    <row r="1050" spans="4:4" x14ac:dyDescent="0.4">
      <c r="D1050" s="57"/>
    </row>
    <row r="1051" spans="4:4" x14ac:dyDescent="0.4">
      <c r="D1051" s="57"/>
    </row>
    <row r="1052" spans="4:4" x14ac:dyDescent="0.4">
      <c r="D1052" s="57"/>
    </row>
    <row r="1053" spans="4:4" x14ac:dyDescent="0.4">
      <c r="D1053" s="57"/>
    </row>
    <row r="1054" spans="4:4" x14ac:dyDescent="0.4">
      <c r="D1054" s="57"/>
    </row>
    <row r="1055" spans="4:4" x14ac:dyDescent="0.4">
      <c r="D1055" s="57"/>
    </row>
    <row r="1056" spans="4:4" x14ac:dyDescent="0.4">
      <c r="D1056" s="57"/>
    </row>
    <row r="1057" spans="4:4" x14ac:dyDescent="0.4">
      <c r="D1057" s="57"/>
    </row>
    <row r="1058" spans="4:4" x14ac:dyDescent="0.4">
      <c r="D1058" s="57"/>
    </row>
    <row r="1059" spans="4:4" x14ac:dyDescent="0.4">
      <c r="D1059" s="57"/>
    </row>
    <row r="1060" spans="4:4" x14ac:dyDescent="0.4">
      <c r="D1060" s="57"/>
    </row>
    <row r="1061" spans="4:4" x14ac:dyDescent="0.4">
      <c r="D1061" s="57"/>
    </row>
    <row r="1062" spans="4:4" x14ac:dyDescent="0.4">
      <c r="D1062" s="57"/>
    </row>
    <row r="1063" spans="4:4" x14ac:dyDescent="0.4">
      <c r="D1063" s="57"/>
    </row>
    <row r="1064" spans="4:4" x14ac:dyDescent="0.4">
      <c r="D1064" s="57"/>
    </row>
    <row r="1065" spans="4:4" x14ac:dyDescent="0.4">
      <c r="D1065" s="57"/>
    </row>
    <row r="1066" spans="4:4" x14ac:dyDescent="0.4">
      <c r="D1066" s="57"/>
    </row>
    <row r="1067" spans="4:4" x14ac:dyDescent="0.4">
      <c r="D1067" s="57"/>
    </row>
    <row r="1068" spans="4:4" x14ac:dyDescent="0.4">
      <c r="D1068" s="57"/>
    </row>
    <row r="1069" spans="4:4" x14ac:dyDescent="0.4">
      <c r="D1069" s="57"/>
    </row>
    <row r="1070" spans="4:4" x14ac:dyDescent="0.4">
      <c r="D1070" s="57"/>
    </row>
    <row r="1071" spans="4:4" x14ac:dyDescent="0.4">
      <c r="D1071" s="57"/>
    </row>
    <row r="1072" spans="4:4" x14ac:dyDescent="0.4">
      <c r="D1072" s="57"/>
    </row>
    <row r="1073" spans="4:4" x14ac:dyDescent="0.4">
      <c r="D1073" s="57"/>
    </row>
    <row r="1074" spans="4:4" x14ac:dyDescent="0.4">
      <c r="D1074" s="57"/>
    </row>
    <row r="1075" spans="4:4" x14ac:dyDescent="0.4">
      <c r="D1075" s="57"/>
    </row>
    <row r="1076" spans="4:4" x14ac:dyDescent="0.4">
      <c r="D1076" s="57"/>
    </row>
    <row r="1077" spans="4:4" x14ac:dyDescent="0.4">
      <c r="D1077" s="57"/>
    </row>
    <row r="1078" spans="4:4" x14ac:dyDescent="0.4">
      <c r="D1078" s="57"/>
    </row>
    <row r="1079" spans="4:4" x14ac:dyDescent="0.4">
      <c r="D1079" s="57"/>
    </row>
    <row r="1080" spans="4:4" x14ac:dyDescent="0.4">
      <c r="D1080" s="57"/>
    </row>
    <row r="1081" spans="4:4" x14ac:dyDescent="0.4">
      <c r="D1081" s="57"/>
    </row>
    <row r="1082" spans="4:4" x14ac:dyDescent="0.4">
      <c r="D1082" s="57"/>
    </row>
    <row r="1083" spans="4:4" x14ac:dyDescent="0.4">
      <c r="D1083" s="57"/>
    </row>
    <row r="1084" spans="4:4" x14ac:dyDescent="0.4">
      <c r="D1084" s="57"/>
    </row>
    <row r="1085" spans="4:4" x14ac:dyDescent="0.4">
      <c r="D1085" s="57"/>
    </row>
    <row r="1086" spans="4:4" x14ac:dyDescent="0.4">
      <c r="D1086" s="57"/>
    </row>
    <row r="1087" spans="4:4" x14ac:dyDescent="0.4">
      <c r="D1087" s="57"/>
    </row>
    <row r="1088" spans="4:4" x14ac:dyDescent="0.4">
      <c r="D1088" s="57"/>
    </row>
    <row r="1089" spans="4:4" x14ac:dyDescent="0.4">
      <c r="D1089" s="57"/>
    </row>
    <row r="1090" spans="4:4" x14ac:dyDescent="0.4">
      <c r="D1090" s="57"/>
    </row>
    <row r="1091" spans="4:4" x14ac:dyDescent="0.4">
      <c r="D1091" s="57"/>
    </row>
    <row r="1092" spans="4:4" x14ac:dyDescent="0.4">
      <c r="D1092" s="57"/>
    </row>
    <row r="1093" spans="4:4" x14ac:dyDescent="0.4">
      <c r="D1093" s="57"/>
    </row>
    <row r="1094" spans="4:4" x14ac:dyDescent="0.4">
      <c r="D1094" s="57"/>
    </row>
    <row r="1095" spans="4:4" x14ac:dyDescent="0.4">
      <c r="D1095" s="57"/>
    </row>
    <row r="1096" spans="4:4" x14ac:dyDescent="0.4">
      <c r="D1096" s="57"/>
    </row>
    <row r="1097" spans="4:4" x14ac:dyDescent="0.4">
      <c r="D1097" s="57"/>
    </row>
    <row r="1098" spans="4:4" x14ac:dyDescent="0.4">
      <c r="D1098" s="57"/>
    </row>
    <row r="1099" spans="4:4" x14ac:dyDescent="0.4">
      <c r="D1099" s="57"/>
    </row>
    <row r="1100" spans="4:4" x14ac:dyDescent="0.4">
      <c r="D1100" s="57"/>
    </row>
    <row r="1101" spans="4:4" x14ac:dyDescent="0.4">
      <c r="D1101" s="57"/>
    </row>
    <row r="1102" spans="4:4" x14ac:dyDescent="0.4">
      <c r="D1102" s="57"/>
    </row>
    <row r="1103" spans="4:4" x14ac:dyDescent="0.4">
      <c r="D1103" s="57"/>
    </row>
    <row r="1104" spans="4:4" x14ac:dyDescent="0.4">
      <c r="D1104" s="57"/>
    </row>
    <row r="1105" spans="4:4" x14ac:dyDescent="0.4">
      <c r="D1105" s="57"/>
    </row>
    <row r="1106" spans="4:4" x14ac:dyDescent="0.4">
      <c r="D1106" s="57"/>
    </row>
    <row r="1107" spans="4:4" x14ac:dyDescent="0.4">
      <c r="D1107" s="57"/>
    </row>
    <row r="1108" spans="4:4" x14ac:dyDescent="0.4">
      <c r="D1108" s="57"/>
    </row>
    <row r="1109" spans="4:4" x14ac:dyDescent="0.4">
      <c r="D1109" s="57"/>
    </row>
    <row r="1110" spans="4:4" x14ac:dyDescent="0.4">
      <c r="D1110" s="57"/>
    </row>
    <row r="1111" spans="4:4" x14ac:dyDescent="0.4">
      <c r="D1111" s="57"/>
    </row>
    <row r="1112" spans="4:4" x14ac:dyDescent="0.4">
      <c r="D1112" s="57"/>
    </row>
    <row r="1113" spans="4:4" x14ac:dyDescent="0.4">
      <c r="D1113" s="57"/>
    </row>
    <row r="1114" spans="4:4" x14ac:dyDescent="0.4">
      <c r="D1114" s="57"/>
    </row>
    <row r="1115" spans="4:4" x14ac:dyDescent="0.4">
      <c r="D1115" s="57"/>
    </row>
    <row r="1116" spans="4:4" x14ac:dyDescent="0.4">
      <c r="D1116" s="57"/>
    </row>
    <row r="1117" spans="4:4" x14ac:dyDescent="0.4">
      <c r="D1117" s="57"/>
    </row>
    <row r="1118" spans="4:4" x14ac:dyDescent="0.4">
      <c r="D1118" s="57"/>
    </row>
    <row r="1119" spans="4:4" x14ac:dyDescent="0.4">
      <c r="D1119" s="57"/>
    </row>
    <row r="1120" spans="4:4" x14ac:dyDescent="0.4">
      <c r="D1120" s="57"/>
    </row>
    <row r="1121" spans="4:4" x14ac:dyDescent="0.4">
      <c r="D1121" s="57"/>
    </row>
    <row r="1122" spans="4:4" x14ac:dyDescent="0.4">
      <c r="D1122" s="57"/>
    </row>
    <row r="1123" spans="4:4" x14ac:dyDescent="0.4">
      <c r="D1123" s="57"/>
    </row>
    <row r="1124" spans="4:4" x14ac:dyDescent="0.4">
      <c r="D1124" s="57"/>
    </row>
    <row r="1125" spans="4:4" x14ac:dyDescent="0.4">
      <c r="D1125" s="57"/>
    </row>
    <row r="1126" spans="4:4" x14ac:dyDescent="0.4">
      <c r="D1126" s="57"/>
    </row>
    <row r="1127" spans="4:4" x14ac:dyDescent="0.4">
      <c r="D1127" s="57"/>
    </row>
    <row r="1128" spans="4:4" x14ac:dyDescent="0.4">
      <c r="D1128" s="57"/>
    </row>
    <row r="1129" spans="4:4" x14ac:dyDescent="0.4">
      <c r="D1129" s="57"/>
    </row>
    <row r="1130" spans="4:4" x14ac:dyDescent="0.4">
      <c r="D1130" s="57"/>
    </row>
    <row r="1131" spans="4:4" x14ac:dyDescent="0.4">
      <c r="D1131" s="57"/>
    </row>
    <row r="1132" spans="4:4" x14ac:dyDescent="0.4">
      <c r="D1132" s="57"/>
    </row>
    <row r="1133" spans="4:4" x14ac:dyDescent="0.4">
      <c r="D1133" s="57"/>
    </row>
    <row r="1134" spans="4:4" x14ac:dyDescent="0.4">
      <c r="D1134" s="57"/>
    </row>
    <row r="1135" spans="4:4" x14ac:dyDescent="0.4">
      <c r="D1135" s="57"/>
    </row>
    <row r="1136" spans="4:4" x14ac:dyDescent="0.4">
      <c r="D1136" s="57"/>
    </row>
    <row r="1137" spans="4:4" x14ac:dyDescent="0.4">
      <c r="D1137" s="57"/>
    </row>
    <row r="1138" spans="4:4" x14ac:dyDescent="0.4">
      <c r="D1138" s="57"/>
    </row>
    <row r="1139" spans="4:4" x14ac:dyDescent="0.4">
      <c r="D1139" s="57"/>
    </row>
    <row r="1140" spans="4:4" x14ac:dyDescent="0.4">
      <c r="D1140" s="57"/>
    </row>
    <row r="1141" spans="4:4" x14ac:dyDescent="0.4">
      <c r="D1141" s="57"/>
    </row>
    <row r="1142" spans="4:4" x14ac:dyDescent="0.4">
      <c r="D1142" s="57"/>
    </row>
    <row r="1143" spans="4:4" x14ac:dyDescent="0.4">
      <c r="D1143" s="57"/>
    </row>
    <row r="1144" spans="4:4" x14ac:dyDescent="0.4">
      <c r="D1144" s="57"/>
    </row>
    <row r="1145" spans="4:4" x14ac:dyDescent="0.4">
      <c r="D1145" s="57"/>
    </row>
    <row r="1146" spans="4:4" x14ac:dyDescent="0.4">
      <c r="D1146" s="57"/>
    </row>
    <row r="1147" spans="4:4" x14ac:dyDescent="0.4">
      <c r="D1147" s="57"/>
    </row>
    <row r="1148" spans="4:4" x14ac:dyDescent="0.4">
      <c r="D1148" s="57"/>
    </row>
    <row r="1149" spans="4:4" x14ac:dyDescent="0.4">
      <c r="D1149" s="57"/>
    </row>
    <row r="1150" spans="4:4" x14ac:dyDescent="0.4">
      <c r="D1150" s="57"/>
    </row>
    <row r="1151" spans="4:4" x14ac:dyDescent="0.4">
      <c r="D1151" s="57"/>
    </row>
    <row r="1152" spans="4:4" x14ac:dyDescent="0.4">
      <c r="D1152" s="57"/>
    </row>
    <row r="1153" spans="4:4" x14ac:dyDescent="0.4">
      <c r="D1153" s="57"/>
    </row>
    <row r="1154" spans="4:4" x14ac:dyDescent="0.4">
      <c r="D1154" s="57"/>
    </row>
    <row r="1155" spans="4:4" x14ac:dyDescent="0.4">
      <c r="D1155" s="57"/>
    </row>
    <row r="1156" spans="4:4" x14ac:dyDescent="0.4">
      <c r="D1156" s="57"/>
    </row>
    <row r="1157" spans="4:4" x14ac:dyDescent="0.4">
      <c r="D1157" s="57"/>
    </row>
    <row r="1158" spans="4:4" x14ac:dyDescent="0.4">
      <c r="D1158" s="57"/>
    </row>
    <row r="1159" spans="4:4" x14ac:dyDescent="0.4">
      <c r="D1159" s="57"/>
    </row>
    <row r="1160" spans="4:4" x14ac:dyDescent="0.4">
      <c r="D1160" s="57"/>
    </row>
    <row r="1161" spans="4:4" x14ac:dyDescent="0.4">
      <c r="D1161" s="57"/>
    </row>
    <row r="1162" spans="4:4" x14ac:dyDescent="0.4">
      <c r="D1162" s="57"/>
    </row>
    <row r="1163" spans="4:4" x14ac:dyDescent="0.4">
      <c r="D1163" s="57"/>
    </row>
    <row r="1164" spans="4:4" x14ac:dyDescent="0.4">
      <c r="D1164" s="57"/>
    </row>
    <row r="1165" spans="4:4" x14ac:dyDescent="0.4">
      <c r="D1165" s="57"/>
    </row>
    <row r="1166" spans="4:4" x14ac:dyDescent="0.4">
      <c r="D1166" s="57"/>
    </row>
    <row r="1167" spans="4:4" x14ac:dyDescent="0.4">
      <c r="D1167" s="57"/>
    </row>
    <row r="1168" spans="4:4" x14ac:dyDescent="0.4">
      <c r="D1168" s="57"/>
    </row>
    <row r="1169" spans="4:4" x14ac:dyDescent="0.4">
      <c r="D1169" s="57"/>
    </row>
    <row r="1170" spans="4:4" x14ac:dyDescent="0.4">
      <c r="D1170" s="57"/>
    </row>
    <row r="1171" spans="4:4" x14ac:dyDescent="0.4">
      <c r="D1171" s="57"/>
    </row>
    <row r="1172" spans="4:4" x14ac:dyDescent="0.4">
      <c r="D1172" s="57"/>
    </row>
    <row r="1173" spans="4:4" x14ac:dyDescent="0.4">
      <c r="D1173" s="57"/>
    </row>
    <row r="1174" spans="4:4" x14ac:dyDescent="0.4">
      <c r="D1174" s="57"/>
    </row>
    <row r="1175" spans="4:4" x14ac:dyDescent="0.4">
      <c r="D1175" s="57"/>
    </row>
    <row r="1176" spans="4:4" x14ac:dyDescent="0.4">
      <c r="D1176" s="57"/>
    </row>
    <row r="1177" spans="4:4" x14ac:dyDescent="0.4">
      <c r="D1177" s="57"/>
    </row>
    <row r="1178" spans="4:4" x14ac:dyDescent="0.4">
      <c r="D1178" s="57"/>
    </row>
    <row r="1179" spans="4:4" x14ac:dyDescent="0.4">
      <c r="D1179" s="57"/>
    </row>
    <row r="1180" spans="4:4" x14ac:dyDescent="0.4">
      <c r="D1180" s="57"/>
    </row>
    <row r="1181" spans="4:4" x14ac:dyDescent="0.4">
      <c r="D1181" s="57"/>
    </row>
    <row r="1182" spans="4:4" x14ac:dyDescent="0.4">
      <c r="D1182" s="57"/>
    </row>
    <row r="1183" spans="4:4" x14ac:dyDescent="0.4">
      <c r="D1183" s="57"/>
    </row>
    <row r="1184" spans="4:4" x14ac:dyDescent="0.4">
      <c r="D1184" s="57"/>
    </row>
    <row r="1185" spans="4:4" x14ac:dyDescent="0.4">
      <c r="D1185" s="57"/>
    </row>
    <row r="1186" spans="4:4" x14ac:dyDescent="0.4">
      <c r="D1186" s="57"/>
    </row>
    <row r="1187" spans="4:4" x14ac:dyDescent="0.4">
      <c r="D1187" s="57"/>
    </row>
    <row r="1188" spans="4:4" x14ac:dyDescent="0.4">
      <c r="D1188" s="57"/>
    </row>
    <row r="1189" spans="4:4" x14ac:dyDescent="0.4">
      <c r="D1189" s="57"/>
    </row>
    <row r="1190" spans="4:4" x14ac:dyDescent="0.4">
      <c r="D1190" s="57"/>
    </row>
    <row r="1191" spans="4:4" x14ac:dyDescent="0.4">
      <c r="D1191" s="57"/>
    </row>
    <row r="1192" spans="4:4" x14ac:dyDescent="0.4">
      <c r="D1192" s="57"/>
    </row>
    <row r="1193" spans="4:4" x14ac:dyDescent="0.4">
      <c r="D1193" s="57"/>
    </row>
    <row r="1194" spans="4:4" x14ac:dyDescent="0.4">
      <c r="D1194" s="57"/>
    </row>
    <row r="1195" spans="4:4" x14ac:dyDescent="0.4">
      <c r="D1195" s="57"/>
    </row>
    <row r="1196" spans="4:4" x14ac:dyDescent="0.4">
      <c r="D1196" s="57"/>
    </row>
    <row r="1197" spans="4:4" x14ac:dyDescent="0.4">
      <c r="D1197" s="57"/>
    </row>
    <row r="1198" spans="4:4" x14ac:dyDescent="0.4">
      <c r="D1198" s="57"/>
    </row>
    <row r="1199" spans="4:4" x14ac:dyDescent="0.4">
      <c r="D1199" s="57"/>
    </row>
    <row r="1200" spans="4:4" x14ac:dyDescent="0.4">
      <c r="D1200" s="57"/>
    </row>
    <row r="1201" spans="4:4" x14ac:dyDescent="0.4">
      <c r="D1201" s="57"/>
    </row>
    <row r="1202" spans="4:4" x14ac:dyDescent="0.4">
      <c r="D1202" s="57"/>
    </row>
    <row r="1203" spans="4:4" x14ac:dyDescent="0.4">
      <c r="D1203" s="57"/>
    </row>
    <row r="1204" spans="4:4" x14ac:dyDescent="0.4">
      <c r="D1204" s="57"/>
    </row>
    <row r="1205" spans="4:4" x14ac:dyDescent="0.4">
      <c r="D1205" s="57"/>
    </row>
    <row r="1206" spans="4:4" x14ac:dyDescent="0.4">
      <c r="D1206" s="57"/>
    </row>
    <row r="1207" spans="4:4" x14ac:dyDescent="0.4">
      <c r="D1207" s="57"/>
    </row>
    <row r="1208" spans="4:4" x14ac:dyDescent="0.4">
      <c r="D1208" s="57"/>
    </row>
    <row r="1209" spans="4:4" x14ac:dyDescent="0.4">
      <c r="D1209" s="57"/>
    </row>
    <row r="1210" spans="4:4" x14ac:dyDescent="0.4">
      <c r="D1210" s="57"/>
    </row>
    <row r="1211" spans="4:4" x14ac:dyDescent="0.4">
      <c r="D1211" s="57"/>
    </row>
    <row r="1212" spans="4:4" x14ac:dyDescent="0.4">
      <c r="D1212" s="57"/>
    </row>
    <row r="1213" spans="4:4" x14ac:dyDescent="0.4">
      <c r="D1213" s="57"/>
    </row>
    <row r="1214" spans="4:4" x14ac:dyDescent="0.4">
      <c r="D1214" s="57"/>
    </row>
    <row r="1215" spans="4:4" x14ac:dyDescent="0.4">
      <c r="D1215" s="57"/>
    </row>
    <row r="1216" spans="4:4" x14ac:dyDescent="0.4">
      <c r="D1216" s="57"/>
    </row>
    <row r="1217" spans="4:4" x14ac:dyDescent="0.4">
      <c r="D1217" s="57"/>
    </row>
    <row r="1218" spans="4:4" x14ac:dyDescent="0.4">
      <c r="D1218" s="57"/>
    </row>
    <row r="1219" spans="4:4" x14ac:dyDescent="0.4">
      <c r="D1219" s="57"/>
    </row>
    <row r="1220" spans="4:4" x14ac:dyDescent="0.4">
      <c r="D1220" s="57"/>
    </row>
    <row r="1221" spans="4:4" x14ac:dyDescent="0.4">
      <c r="D1221" s="57"/>
    </row>
    <row r="1222" spans="4:4" x14ac:dyDescent="0.4">
      <c r="D1222" s="57"/>
    </row>
    <row r="1223" spans="4:4" x14ac:dyDescent="0.4">
      <c r="D1223" s="57"/>
    </row>
    <row r="1224" spans="4:4" x14ac:dyDescent="0.4">
      <c r="D1224" s="57"/>
    </row>
    <row r="1225" spans="4:4" x14ac:dyDescent="0.4">
      <c r="D1225" s="57"/>
    </row>
    <row r="1226" spans="4:4" x14ac:dyDescent="0.4">
      <c r="D1226" s="57"/>
    </row>
    <row r="1227" spans="4:4" x14ac:dyDescent="0.4">
      <c r="D1227" s="57"/>
    </row>
    <row r="1228" spans="4:4" x14ac:dyDescent="0.4">
      <c r="D1228" s="57"/>
    </row>
    <row r="1229" spans="4:4" x14ac:dyDescent="0.4">
      <c r="D1229" s="57"/>
    </row>
    <row r="1230" spans="4:4" x14ac:dyDescent="0.4">
      <c r="D1230" s="57"/>
    </row>
    <row r="1231" spans="4:4" x14ac:dyDescent="0.4">
      <c r="D1231" s="57"/>
    </row>
    <row r="1232" spans="4:4" x14ac:dyDescent="0.4">
      <c r="D1232" s="57"/>
    </row>
    <row r="1233" spans="4:4" x14ac:dyDescent="0.4">
      <c r="D1233" s="57"/>
    </row>
    <row r="1234" spans="4:4" x14ac:dyDescent="0.4">
      <c r="D1234" s="57"/>
    </row>
    <row r="1235" spans="4:4" x14ac:dyDescent="0.4">
      <c r="D1235" s="57"/>
    </row>
    <row r="1236" spans="4:4" x14ac:dyDescent="0.4">
      <c r="D1236" s="57"/>
    </row>
    <row r="1237" spans="4:4" x14ac:dyDescent="0.4">
      <c r="D1237" s="57"/>
    </row>
    <row r="1238" spans="4:4" x14ac:dyDescent="0.4">
      <c r="D1238" s="57"/>
    </row>
    <row r="1239" spans="4:4" x14ac:dyDescent="0.4">
      <c r="D1239" s="57"/>
    </row>
    <row r="1240" spans="4:4" x14ac:dyDescent="0.4">
      <c r="D1240" s="57"/>
    </row>
    <row r="1241" spans="4:4" x14ac:dyDescent="0.4">
      <c r="D1241" s="57"/>
    </row>
    <row r="1242" spans="4:4" x14ac:dyDescent="0.4">
      <c r="D1242" s="57"/>
    </row>
    <row r="1243" spans="4:4" x14ac:dyDescent="0.4">
      <c r="D1243" s="57"/>
    </row>
    <row r="1244" spans="4:4" x14ac:dyDescent="0.4">
      <c r="D1244" s="57"/>
    </row>
    <row r="1245" spans="4:4" x14ac:dyDescent="0.4">
      <c r="D1245" s="57"/>
    </row>
    <row r="1246" spans="4:4" x14ac:dyDescent="0.4">
      <c r="D1246" s="57"/>
    </row>
    <row r="1247" spans="4:4" x14ac:dyDescent="0.4">
      <c r="D1247" s="57"/>
    </row>
    <row r="1248" spans="4:4" x14ac:dyDescent="0.4">
      <c r="D1248" s="57"/>
    </row>
    <row r="1249" spans="4:4" x14ac:dyDescent="0.4">
      <c r="D1249" s="57"/>
    </row>
    <row r="1250" spans="4:4" x14ac:dyDescent="0.4">
      <c r="D1250" s="57"/>
    </row>
    <row r="1251" spans="4:4" x14ac:dyDescent="0.4">
      <c r="D1251" s="57"/>
    </row>
    <row r="1252" spans="4:4" x14ac:dyDescent="0.4">
      <c r="D1252" s="57"/>
    </row>
    <row r="1253" spans="4:4" x14ac:dyDescent="0.4">
      <c r="D1253" s="57"/>
    </row>
    <row r="1254" spans="4:4" x14ac:dyDescent="0.4">
      <c r="D1254" s="57"/>
    </row>
    <row r="1255" spans="4:4" x14ac:dyDescent="0.4">
      <c r="D1255" s="57"/>
    </row>
    <row r="1256" spans="4:4" x14ac:dyDescent="0.4">
      <c r="D1256" s="57"/>
    </row>
    <row r="1257" spans="4:4" x14ac:dyDescent="0.4">
      <c r="D1257" s="57"/>
    </row>
    <row r="1258" spans="4:4" x14ac:dyDescent="0.4">
      <c r="D1258" s="57"/>
    </row>
    <row r="1259" spans="4:4" x14ac:dyDescent="0.4">
      <c r="D1259" s="57"/>
    </row>
    <row r="1260" spans="4:4" x14ac:dyDescent="0.4">
      <c r="D1260" s="57"/>
    </row>
    <row r="1261" spans="4:4" x14ac:dyDescent="0.4">
      <c r="D1261" s="57"/>
    </row>
    <row r="1262" spans="4:4" x14ac:dyDescent="0.4">
      <c r="D1262" s="57"/>
    </row>
    <row r="1263" spans="4:4" x14ac:dyDescent="0.4">
      <c r="D1263" s="57"/>
    </row>
    <row r="1264" spans="4:4" x14ac:dyDescent="0.4">
      <c r="D1264" s="57"/>
    </row>
    <row r="1265" spans="4:4" x14ac:dyDescent="0.4">
      <c r="D1265" s="57"/>
    </row>
    <row r="1266" spans="4:4" x14ac:dyDescent="0.4">
      <c r="D1266" s="57"/>
    </row>
    <row r="1267" spans="4:4" x14ac:dyDescent="0.4">
      <c r="D1267" s="57"/>
    </row>
    <row r="1268" spans="4:4" x14ac:dyDescent="0.4">
      <c r="D1268" s="57"/>
    </row>
    <row r="1269" spans="4:4" x14ac:dyDescent="0.4">
      <c r="D1269" s="57"/>
    </row>
    <row r="1270" spans="4:4" x14ac:dyDescent="0.4">
      <c r="D1270" s="57"/>
    </row>
    <row r="1271" spans="4:4" x14ac:dyDescent="0.4">
      <c r="D1271" s="57"/>
    </row>
    <row r="1272" spans="4:4" x14ac:dyDescent="0.4">
      <c r="D1272" s="57"/>
    </row>
    <row r="1273" spans="4:4" x14ac:dyDescent="0.4">
      <c r="D1273" s="57"/>
    </row>
    <row r="1274" spans="4:4" x14ac:dyDescent="0.4">
      <c r="D1274" s="57"/>
    </row>
    <row r="1275" spans="4:4" x14ac:dyDescent="0.4">
      <c r="D1275" s="57"/>
    </row>
    <row r="1276" spans="4:4" x14ac:dyDescent="0.4">
      <c r="D1276" s="57"/>
    </row>
    <row r="1277" spans="4:4" x14ac:dyDescent="0.4">
      <c r="D1277" s="57"/>
    </row>
    <row r="1278" spans="4:4" x14ac:dyDescent="0.4">
      <c r="D1278" s="57"/>
    </row>
    <row r="1279" spans="4:4" x14ac:dyDescent="0.4">
      <c r="D1279" s="57"/>
    </row>
    <row r="1280" spans="4:4" x14ac:dyDescent="0.4">
      <c r="D1280" s="57"/>
    </row>
    <row r="1281" spans="4:4" x14ac:dyDescent="0.4">
      <c r="D1281" s="57"/>
    </row>
    <row r="1282" spans="4:4" x14ac:dyDescent="0.4">
      <c r="D1282" s="57"/>
    </row>
    <row r="1283" spans="4:4" x14ac:dyDescent="0.4">
      <c r="D1283" s="57"/>
    </row>
    <row r="1284" spans="4:4" x14ac:dyDescent="0.4">
      <c r="D1284" s="57"/>
    </row>
    <row r="1285" spans="4:4" x14ac:dyDescent="0.4">
      <c r="D1285" s="57"/>
    </row>
    <row r="1286" spans="4:4" x14ac:dyDescent="0.4">
      <c r="D1286" s="57"/>
    </row>
    <row r="1287" spans="4:4" x14ac:dyDescent="0.4">
      <c r="D1287" s="57"/>
    </row>
    <row r="1288" spans="4:4" x14ac:dyDescent="0.4">
      <c r="D1288" s="57"/>
    </row>
    <row r="1289" spans="4:4" x14ac:dyDescent="0.4">
      <c r="D1289" s="57"/>
    </row>
    <row r="1290" spans="4:4" x14ac:dyDescent="0.4">
      <c r="D1290" s="57"/>
    </row>
    <row r="1291" spans="4:4" x14ac:dyDescent="0.4">
      <c r="D1291" s="57"/>
    </row>
    <row r="1292" spans="4:4" x14ac:dyDescent="0.4">
      <c r="D1292" s="57"/>
    </row>
    <row r="1293" spans="4:4" x14ac:dyDescent="0.4">
      <c r="D1293" s="57"/>
    </row>
    <row r="1294" spans="4:4" x14ac:dyDescent="0.4">
      <c r="D1294" s="57"/>
    </row>
    <row r="1295" spans="4:4" x14ac:dyDescent="0.4">
      <c r="D1295" s="57"/>
    </row>
    <row r="1296" spans="4:4" x14ac:dyDescent="0.4">
      <c r="D1296" s="57"/>
    </row>
    <row r="1297" spans="4:4" x14ac:dyDescent="0.4">
      <c r="D1297" s="57"/>
    </row>
    <row r="1298" spans="4:4" x14ac:dyDescent="0.4">
      <c r="D1298" s="57"/>
    </row>
    <row r="1299" spans="4:4" x14ac:dyDescent="0.4">
      <c r="D1299" s="57"/>
    </row>
    <row r="1300" spans="4:4" x14ac:dyDescent="0.4">
      <c r="D1300" s="57"/>
    </row>
    <row r="1301" spans="4:4" x14ac:dyDescent="0.4">
      <c r="D1301" s="57"/>
    </row>
    <row r="1302" spans="4:4" x14ac:dyDescent="0.4">
      <c r="D1302" s="57"/>
    </row>
    <row r="1303" spans="4:4" x14ac:dyDescent="0.4">
      <c r="D1303" s="57"/>
    </row>
    <row r="1304" spans="4:4" x14ac:dyDescent="0.4">
      <c r="D1304" s="57"/>
    </row>
    <row r="1305" spans="4:4" x14ac:dyDescent="0.4">
      <c r="D1305" s="57"/>
    </row>
    <row r="1306" spans="4:4" x14ac:dyDescent="0.4">
      <c r="D1306" s="57"/>
    </row>
    <row r="1307" spans="4:4" x14ac:dyDescent="0.4">
      <c r="D1307" s="57"/>
    </row>
    <row r="1308" spans="4:4" x14ac:dyDescent="0.4">
      <c r="D1308" s="57"/>
    </row>
    <row r="1309" spans="4:4" x14ac:dyDescent="0.4">
      <c r="D1309" s="57"/>
    </row>
    <row r="1310" spans="4:4" x14ac:dyDescent="0.4">
      <c r="D1310" s="57"/>
    </row>
    <row r="1311" spans="4:4" x14ac:dyDescent="0.4">
      <c r="D1311" s="57"/>
    </row>
    <row r="1312" spans="4:4" x14ac:dyDescent="0.4">
      <c r="D1312" s="57"/>
    </row>
    <row r="1313" spans="4:4" x14ac:dyDescent="0.4">
      <c r="D1313" s="57"/>
    </row>
    <row r="1314" spans="4:4" x14ac:dyDescent="0.4">
      <c r="D1314" s="57"/>
    </row>
    <row r="1315" spans="4:4" x14ac:dyDescent="0.4">
      <c r="D1315" s="57"/>
    </row>
    <row r="1316" spans="4:4" x14ac:dyDescent="0.4">
      <c r="D1316" s="57"/>
    </row>
    <row r="1317" spans="4:4" x14ac:dyDescent="0.4">
      <c r="D1317" s="57"/>
    </row>
    <row r="1318" spans="4:4" x14ac:dyDescent="0.4">
      <c r="D1318" s="57"/>
    </row>
    <row r="1319" spans="4:4" x14ac:dyDescent="0.4">
      <c r="D1319" s="57"/>
    </row>
    <row r="1320" spans="4:4" x14ac:dyDescent="0.4">
      <c r="D1320" s="57"/>
    </row>
    <row r="1321" spans="4:4" x14ac:dyDescent="0.4">
      <c r="D1321" s="57"/>
    </row>
    <row r="1322" spans="4:4" x14ac:dyDescent="0.4">
      <c r="D1322" s="57"/>
    </row>
    <row r="1323" spans="4:4" x14ac:dyDescent="0.4">
      <c r="D1323" s="57"/>
    </row>
    <row r="1324" spans="4:4" x14ac:dyDescent="0.4">
      <c r="D1324" s="57"/>
    </row>
    <row r="1325" spans="4:4" x14ac:dyDescent="0.4">
      <c r="D1325" s="57"/>
    </row>
    <row r="1326" spans="4:4" x14ac:dyDescent="0.4">
      <c r="D1326" s="57"/>
    </row>
    <row r="1327" spans="4:4" x14ac:dyDescent="0.4">
      <c r="D1327" s="57"/>
    </row>
    <row r="1328" spans="4:4" x14ac:dyDescent="0.4">
      <c r="D1328" s="57"/>
    </row>
    <row r="1329" spans="4:4" x14ac:dyDescent="0.4">
      <c r="D1329" s="57"/>
    </row>
    <row r="1330" spans="4:4" x14ac:dyDescent="0.4">
      <c r="D1330" s="57"/>
    </row>
    <row r="1331" spans="4:4" x14ac:dyDescent="0.4">
      <c r="D1331" s="57"/>
    </row>
    <row r="1332" spans="4:4" x14ac:dyDescent="0.4">
      <c r="D1332" s="57"/>
    </row>
    <row r="1333" spans="4:4" x14ac:dyDescent="0.4">
      <c r="D1333" s="57"/>
    </row>
    <row r="1334" spans="4:4" x14ac:dyDescent="0.4">
      <c r="D1334" s="57"/>
    </row>
    <row r="1335" spans="4:4" x14ac:dyDescent="0.4">
      <c r="D1335" s="57"/>
    </row>
    <row r="1336" spans="4:4" x14ac:dyDescent="0.4">
      <c r="D1336" s="57"/>
    </row>
    <row r="1337" spans="4:4" x14ac:dyDescent="0.4">
      <c r="D1337" s="57"/>
    </row>
    <row r="1338" spans="4:4" x14ac:dyDescent="0.4">
      <c r="D1338" s="57"/>
    </row>
    <row r="1339" spans="4:4" x14ac:dyDescent="0.4">
      <c r="D1339" s="57"/>
    </row>
    <row r="1340" spans="4:4" x14ac:dyDescent="0.4">
      <c r="D1340" s="57"/>
    </row>
    <row r="1341" spans="4:4" x14ac:dyDescent="0.4">
      <c r="D1341" s="57"/>
    </row>
    <row r="1342" spans="4:4" x14ac:dyDescent="0.4">
      <c r="D1342" s="57"/>
    </row>
    <row r="1343" spans="4:4" x14ac:dyDescent="0.4">
      <c r="D1343" s="57"/>
    </row>
    <row r="1344" spans="4:4" x14ac:dyDescent="0.4">
      <c r="D1344" s="57"/>
    </row>
    <row r="1345" spans="4:4" x14ac:dyDescent="0.4">
      <c r="D1345" s="57"/>
    </row>
    <row r="1346" spans="4:4" x14ac:dyDescent="0.4">
      <c r="D1346" s="57"/>
    </row>
    <row r="1347" spans="4:4" x14ac:dyDescent="0.4">
      <c r="D1347" s="57"/>
    </row>
    <row r="1348" spans="4:4" x14ac:dyDescent="0.4">
      <c r="D1348" s="57"/>
    </row>
    <row r="1349" spans="4:4" x14ac:dyDescent="0.4">
      <c r="D1349" s="57"/>
    </row>
    <row r="1350" spans="4:4" x14ac:dyDescent="0.4">
      <c r="D1350" s="57"/>
    </row>
    <row r="1351" spans="4:4" x14ac:dyDescent="0.4">
      <c r="D1351" s="57"/>
    </row>
    <row r="1352" spans="4:4" x14ac:dyDescent="0.4">
      <c r="D1352" s="57"/>
    </row>
    <row r="1353" spans="4:4" x14ac:dyDescent="0.4">
      <c r="D1353" s="57"/>
    </row>
    <row r="1354" spans="4:4" x14ac:dyDescent="0.4">
      <c r="D1354" s="57"/>
    </row>
    <row r="1355" spans="4:4" x14ac:dyDescent="0.4">
      <c r="D1355" s="57"/>
    </row>
    <row r="1356" spans="4:4" x14ac:dyDescent="0.4">
      <c r="D1356" s="57"/>
    </row>
    <row r="1357" spans="4:4" x14ac:dyDescent="0.4">
      <c r="D1357" s="57"/>
    </row>
    <row r="1358" spans="4:4" x14ac:dyDescent="0.4">
      <c r="D1358" s="57"/>
    </row>
    <row r="1359" spans="4:4" x14ac:dyDescent="0.4">
      <c r="D1359" s="57"/>
    </row>
    <row r="1360" spans="4:4" x14ac:dyDescent="0.4">
      <c r="D1360" s="57"/>
    </row>
    <row r="1361" spans="4:4" x14ac:dyDescent="0.4">
      <c r="D1361" s="57"/>
    </row>
    <row r="1362" spans="4:4" x14ac:dyDescent="0.4">
      <c r="D1362" s="57"/>
    </row>
    <row r="1363" spans="4:4" x14ac:dyDescent="0.4">
      <c r="D1363" s="57"/>
    </row>
    <row r="1364" spans="4:4" x14ac:dyDescent="0.4">
      <c r="D1364" s="57"/>
    </row>
    <row r="1365" spans="4:4" x14ac:dyDescent="0.4">
      <c r="D1365" s="57"/>
    </row>
    <row r="1366" spans="4:4" x14ac:dyDescent="0.4">
      <c r="D1366" s="57"/>
    </row>
    <row r="1367" spans="4:4" x14ac:dyDescent="0.4">
      <c r="D1367" s="57"/>
    </row>
    <row r="1368" spans="4:4" x14ac:dyDescent="0.4">
      <c r="D1368" s="57"/>
    </row>
    <row r="1369" spans="4:4" x14ac:dyDescent="0.4">
      <c r="D1369" s="57"/>
    </row>
    <row r="1370" spans="4:4" x14ac:dyDescent="0.4">
      <c r="D1370" s="57"/>
    </row>
    <row r="1371" spans="4:4" x14ac:dyDescent="0.4">
      <c r="D1371" s="57"/>
    </row>
    <row r="1372" spans="4:4" x14ac:dyDescent="0.4">
      <c r="D1372" s="57"/>
    </row>
    <row r="1373" spans="4:4" x14ac:dyDescent="0.4">
      <c r="D1373" s="57"/>
    </row>
    <row r="1374" spans="4:4" x14ac:dyDescent="0.4">
      <c r="D1374" s="57"/>
    </row>
    <row r="1375" spans="4:4" x14ac:dyDescent="0.4">
      <c r="D1375" s="57"/>
    </row>
    <row r="1376" spans="4:4" x14ac:dyDescent="0.4">
      <c r="D1376" s="57"/>
    </row>
    <row r="1377" spans="4:4" x14ac:dyDescent="0.4">
      <c r="D1377" s="57"/>
    </row>
    <row r="1378" spans="4:4" x14ac:dyDescent="0.4">
      <c r="D1378" s="57"/>
    </row>
    <row r="1379" spans="4:4" x14ac:dyDescent="0.4">
      <c r="D1379" s="57"/>
    </row>
    <row r="1380" spans="4:4" x14ac:dyDescent="0.4">
      <c r="D1380" s="57"/>
    </row>
    <row r="1381" spans="4:4" x14ac:dyDescent="0.4">
      <c r="D1381" s="57"/>
    </row>
    <row r="1382" spans="4:4" x14ac:dyDescent="0.4">
      <c r="D1382" s="57"/>
    </row>
    <row r="1383" spans="4:4" x14ac:dyDescent="0.4">
      <c r="D1383" s="57"/>
    </row>
    <row r="1384" spans="4:4" x14ac:dyDescent="0.4">
      <c r="D1384" s="57"/>
    </row>
    <row r="1385" spans="4:4" x14ac:dyDescent="0.4">
      <c r="D1385" s="57"/>
    </row>
    <row r="1386" spans="4:4" x14ac:dyDescent="0.4">
      <c r="D1386" s="57"/>
    </row>
    <row r="1387" spans="4:4" x14ac:dyDescent="0.4">
      <c r="D1387" s="57"/>
    </row>
    <row r="1388" spans="4:4" x14ac:dyDescent="0.4">
      <c r="D1388" s="57"/>
    </row>
    <row r="1389" spans="4:4" x14ac:dyDescent="0.4">
      <c r="D1389" s="57"/>
    </row>
    <row r="1390" spans="4:4" x14ac:dyDescent="0.4">
      <c r="D1390" s="57"/>
    </row>
    <row r="1391" spans="4:4" x14ac:dyDescent="0.4">
      <c r="D1391" s="57"/>
    </row>
    <row r="1392" spans="4:4" x14ac:dyDescent="0.4">
      <c r="D1392" s="57"/>
    </row>
    <row r="1393" spans="4:4" x14ac:dyDescent="0.4">
      <c r="D1393" s="57"/>
    </row>
    <row r="1394" spans="4:4" x14ac:dyDescent="0.4">
      <c r="D1394" s="57"/>
    </row>
    <row r="1395" spans="4:4" x14ac:dyDescent="0.4">
      <c r="D1395" s="57"/>
    </row>
    <row r="1396" spans="4:4" x14ac:dyDescent="0.4">
      <c r="D1396" s="57"/>
    </row>
    <row r="1397" spans="4:4" x14ac:dyDescent="0.4">
      <c r="D1397" s="57"/>
    </row>
    <row r="1398" spans="4:4" x14ac:dyDescent="0.4">
      <c r="D1398" s="57"/>
    </row>
    <row r="1399" spans="4:4" x14ac:dyDescent="0.4">
      <c r="D1399" s="57"/>
    </row>
    <row r="1400" spans="4:4" x14ac:dyDescent="0.4">
      <c r="D1400" s="57"/>
    </row>
    <row r="1401" spans="4:4" x14ac:dyDescent="0.4">
      <c r="D1401" s="57"/>
    </row>
    <row r="1402" spans="4:4" x14ac:dyDescent="0.4">
      <c r="D1402" s="57"/>
    </row>
    <row r="1403" spans="4:4" x14ac:dyDescent="0.4">
      <c r="D1403" s="57"/>
    </row>
    <row r="1404" spans="4:4" x14ac:dyDescent="0.4">
      <c r="D1404" s="57"/>
    </row>
    <row r="1405" spans="4:4" x14ac:dyDescent="0.4">
      <c r="D1405" s="57"/>
    </row>
    <row r="1406" spans="4:4" x14ac:dyDescent="0.4">
      <c r="D1406" s="57"/>
    </row>
    <row r="1407" spans="4:4" x14ac:dyDescent="0.4">
      <c r="D1407" s="57"/>
    </row>
    <row r="1408" spans="4:4" x14ac:dyDescent="0.4">
      <c r="D1408" s="57"/>
    </row>
    <row r="1409" spans="4:4" x14ac:dyDescent="0.4">
      <c r="D1409" s="57"/>
    </row>
    <row r="1410" spans="4:4" x14ac:dyDescent="0.4">
      <c r="D1410" s="57"/>
    </row>
    <row r="1411" spans="4:4" x14ac:dyDescent="0.4">
      <c r="D1411" s="57"/>
    </row>
    <row r="1412" spans="4:4" x14ac:dyDescent="0.4">
      <c r="D1412" s="57"/>
    </row>
    <row r="1413" spans="4:4" x14ac:dyDescent="0.4">
      <c r="D1413" s="57"/>
    </row>
    <row r="1414" spans="4:4" x14ac:dyDescent="0.4">
      <c r="D1414" s="57"/>
    </row>
    <row r="1415" spans="4:4" x14ac:dyDescent="0.4">
      <c r="D1415" s="57"/>
    </row>
    <row r="1416" spans="4:4" x14ac:dyDescent="0.4">
      <c r="D1416" s="57"/>
    </row>
    <row r="1417" spans="4:4" x14ac:dyDescent="0.4">
      <c r="D1417" s="57"/>
    </row>
    <row r="1418" spans="4:4" x14ac:dyDescent="0.4">
      <c r="D1418" s="57"/>
    </row>
    <row r="1419" spans="4:4" x14ac:dyDescent="0.4">
      <c r="D1419" s="57"/>
    </row>
    <row r="1420" spans="4:4" x14ac:dyDescent="0.4">
      <c r="D1420" s="57"/>
    </row>
    <row r="1421" spans="4:4" x14ac:dyDescent="0.4">
      <c r="D1421" s="57"/>
    </row>
    <row r="1422" spans="4:4" x14ac:dyDescent="0.4">
      <c r="D1422" s="57"/>
    </row>
    <row r="1423" spans="4:4" x14ac:dyDescent="0.4">
      <c r="D1423" s="57"/>
    </row>
    <row r="1424" spans="4:4" x14ac:dyDescent="0.4">
      <c r="D1424" s="57"/>
    </row>
    <row r="1425" spans="4:4" x14ac:dyDescent="0.4">
      <c r="D1425" s="57"/>
    </row>
    <row r="1426" spans="4:4" x14ac:dyDescent="0.4">
      <c r="D1426" s="57"/>
    </row>
    <row r="1427" spans="4:4" x14ac:dyDescent="0.4">
      <c r="D1427" s="57"/>
    </row>
    <row r="1428" spans="4:4" x14ac:dyDescent="0.4">
      <c r="D1428" s="57"/>
    </row>
    <row r="1429" spans="4:4" x14ac:dyDescent="0.4">
      <c r="D1429" s="57"/>
    </row>
    <row r="1430" spans="4:4" x14ac:dyDescent="0.4">
      <c r="D1430" s="57"/>
    </row>
    <row r="1431" spans="4:4" x14ac:dyDescent="0.4">
      <c r="D1431" s="57"/>
    </row>
    <row r="1432" spans="4:4" x14ac:dyDescent="0.4">
      <c r="D1432" s="57"/>
    </row>
    <row r="1433" spans="4:4" x14ac:dyDescent="0.4">
      <c r="D1433" s="57"/>
    </row>
    <row r="1434" spans="4:4" x14ac:dyDescent="0.4">
      <c r="D1434" s="57"/>
    </row>
    <row r="1435" spans="4:4" x14ac:dyDescent="0.4">
      <c r="D1435" s="57"/>
    </row>
    <row r="1436" spans="4:4" x14ac:dyDescent="0.4">
      <c r="D1436" s="57"/>
    </row>
    <row r="1437" spans="4:4" x14ac:dyDescent="0.4">
      <c r="D1437" s="57"/>
    </row>
    <row r="1438" spans="4:4" x14ac:dyDescent="0.4">
      <c r="D1438" s="57"/>
    </row>
    <row r="1439" spans="4:4" x14ac:dyDescent="0.4">
      <c r="D1439" s="57"/>
    </row>
    <row r="1440" spans="4:4" x14ac:dyDescent="0.4">
      <c r="D1440" s="57"/>
    </row>
    <row r="1441" spans="4:4" x14ac:dyDescent="0.4">
      <c r="D1441" s="57"/>
    </row>
    <row r="1442" spans="4:4" x14ac:dyDescent="0.4">
      <c r="D1442" s="57"/>
    </row>
    <row r="1443" spans="4:4" x14ac:dyDescent="0.4">
      <c r="D1443" s="57"/>
    </row>
    <row r="1444" spans="4:4" x14ac:dyDescent="0.4">
      <c r="D1444" s="57"/>
    </row>
    <row r="1445" spans="4:4" x14ac:dyDescent="0.4">
      <c r="D1445" s="57"/>
    </row>
    <row r="1446" spans="4:4" x14ac:dyDescent="0.4">
      <c r="D1446" s="57"/>
    </row>
    <row r="1447" spans="4:4" x14ac:dyDescent="0.4">
      <c r="D1447" s="57"/>
    </row>
    <row r="1448" spans="4:4" x14ac:dyDescent="0.4">
      <c r="D1448" s="57"/>
    </row>
    <row r="1449" spans="4:4" x14ac:dyDescent="0.4">
      <c r="D1449" s="57"/>
    </row>
    <row r="1450" spans="4:4" x14ac:dyDescent="0.4">
      <c r="D1450" s="57"/>
    </row>
    <row r="1451" spans="4:4" x14ac:dyDescent="0.4">
      <c r="D1451" s="57"/>
    </row>
    <row r="1452" spans="4:4" x14ac:dyDescent="0.4">
      <c r="D1452" s="57"/>
    </row>
    <row r="1453" spans="4:4" x14ac:dyDescent="0.4">
      <c r="D1453" s="57"/>
    </row>
    <row r="1454" spans="4:4" x14ac:dyDescent="0.4">
      <c r="D1454" s="57"/>
    </row>
    <row r="1455" spans="4:4" x14ac:dyDescent="0.4">
      <c r="D1455" s="57"/>
    </row>
    <row r="1456" spans="4:4" x14ac:dyDescent="0.4">
      <c r="D1456" s="57"/>
    </row>
    <row r="1457" spans="4:4" x14ac:dyDescent="0.4">
      <c r="D1457" s="57"/>
    </row>
    <row r="1458" spans="4:4" x14ac:dyDescent="0.4">
      <c r="D1458" s="57"/>
    </row>
    <row r="1459" spans="4:4" x14ac:dyDescent="0.4">
      <c r="D1459" s="57"/>
    </row>
    <row r="1460" spans="4:4" x14ac:dyDescent="0.4">
      <c r="D1460" s="57"/>
    </row>
    <row r="1461" spans="4:4" x14ac:dyDescent="0.4">
      <c r="D1461" s="57"/>
    </row>
    <row r="1462" spans="4:4" x14ac:dyDescent="0.4">
      <c r="D1462" s="57"/>
    </row>
    <row r="1463" spans="4:4" x14ac:dyDescent="0.4">
      <c r="D1463" s="57"/>
    </row>
    <row r="1464" spans="4:4" x14ac:dyDescent="0.4">
      <c r="D1464" s="57"/>
    </row>
    <row r="1465" spans="4:4" x14ac:dyDescent="0.4">
      <c r="D1465" s="57"/>
    </row>
    <row r="1466" spans="4:4" x14ac:dyDescent="0.4">
      <c r="D1466" s="57"/>
    </row>
    <row r="1467" spans="4:4" x14ac:dyDescent="0.4">
      <c r="D1467" s="57"/>
    </row>
  </sheetData>
  <sheetProtection algorithmName="SHA-512" hashValue="dGiiB6NXvktuPch6dSaKfGHEPP6I2+yhPaOenDUdWpGRC8Xyv/W0gd0ILb8QN2c1B1WYfi5HyqC/oPlRiCctnA==" saltValue="Hs8e+fsyk3tnUcO1XhkKjA==" spinCount="100000" sheet="1" objects="1" scenarios="1"/>
  <phoneticPr fontId="10"/>
  <pageMargins left="0.7" right="0.7" top="0.75" bottom="0.75" header="0.3" footer="0.3"/>
  <pageSetup paperSize="9"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1D1A03DA884064781C789797E6CA20E" ma:contentTypeVersion="13" ma:contentTypeDescription="Create a new document." ma:contentTypeScope="" ma:versionID="5773655d77a8eea41671388d0355889e">
  <xsd:schema xmlns:xsd="http://www.w3.org/2001/XMLSchema" xmlns:xs="http://www.w3.org/2001/XMLSchema" xmlns:p="http://schemas.microsoft.com/office/2006/metadata/properties" xmlns:ns3="9b25db44-f4ed-41e2-9180-2fa1d84f9e49" xmlns:ns4="0226817f-863f-4c37-b622-8fa91f5acb63" targetNamespace="http://schemas.microsoft.com/office/2006/metadata/properties" ma:root="true" ma:fieldsID="64f1d31a9a25e9bd791cea3e66e02a40" ns3:_="" ns4:_="">
    <xsd:import namespace="9b25db44-f4ed-41e2-9180-2fa1d84f9e49"/>
    <xsd:import namespace="0226817f-863f-4c37-b622-8fa91f5acb6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25db44-f4ed-41e2-9180-2fa1d84f9e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26817f-863f-4c37-b622-8fa91f5acb6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7F16DE7-66BC-4D51-A035-EF987E6583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b25db44-f4ed-41e2-9180-2fa1d84f9e49"/>
    <ds:schemaRef ds:uri="0226817f-863f-4c37-b622-8fa91f5acb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67C316B-A6E2-4CDF-92E0-738B39F98CC5}">
  <ds:schemaRefs>
    <ds:schemaRef ds:uri="http://schemas.microsoft.com/office/2006/documentManagement/types"/>
    <ds:schemaRef ds:uri="http://schemas.microsoft.com/office/2006/metadata/properties"/>
    <ds:schemaRef ds:uri="http://www.w3.org/XML/1998/namespace"/>
    <ds:schemaRef ds:uri="0226817f-863f-4c37-b622-8fa91f5acb63"/>
    <ds:schemaRef ds:uri="http://purl.org/dc/elements/1.1/"/>
    <ds:schemaRef ds:uri="9b25db44-f4ed-41e2-9180-2fa1d84f9e49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ED355F7-BFB8-4FBB-BCBF-1B343A3CE5E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2024-05-08</vt:lpstr>
      <vt:lpstr>Dashboard</vt:lpstr>
      <vt:lpstr>MHT</vt:lpstr>
      <vt:lpstr>Deliverables</vt:lpstr>
      <vt:lpstr>Raw</vt:lpstr>
      <vt:lpstr>MHT!Extract</vt:lpstr>
      <vt:lpstr>Raw!Extract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 Tracking Sheet</dc:title>
  <dc:creator>charnyl</dc:creator>
  <cp:keywords>Time Sheet Tracker; Time Tracking Sheet; Time Tracking Spreadsheet</cp:keywords>
  <dc:description>Automated Time Tracking Sheet.</dc:description>
  <cp:lastModifiedBy>Charnyl Alpanta Adaro</cp:lastModifiedBy>
  <cp:revision>1</cp:revision>
  <cp:lastPrinted>2024-04-25T15:25:39Z</cp:lastPrinted>
  <dcterms:created xsi:type="dcterms:W3CDTF">2021-01-06T08:36:14Z</dcterms:created>
  <dcterms:modified xsi:type="dcterms:W3CDTF">2024-05-08T08:43:17Z</dcterms:modified>
  <dc:language>English</dc:language>
  <cp:version>1.0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0x01010081D1A03DA884064781C789797E6CA20E</vt:lpwstr>
  </property>
</Properties>
</file>